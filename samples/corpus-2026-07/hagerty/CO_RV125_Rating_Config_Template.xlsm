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ts.accenture.com/sites/Hagerty-ApexDiagnostics/Shared Documents/General/1. Phase 2/Product Workstream/Hagerty Product Files/Core Product Files/State Templates _Core/"/>
    </mc:Choice>
  </mc:AlternateContent>
  <xr:revisionPtr revIDLastSave="93" documentId="13_ncr:1_{A0D14BF9-3905-4324-8DD2-59E426E5F65F}" xr6:coauthVersionLast="47" xr6:coauthVersionMax="47" xr10:uidLastSave="{813C45DB-F803-46D0-AB2E-26D0B7248331}"/>
  <bookViews>
    <workbookView xWindow="-110" yWindow="-110" windowWidth="25820" windowHeight="13900" tabRatio="691" firstSheet="14" activeTab="22" xr2:uid="{00000000-000D-0000-FFFF-FFFF00000000}"/>
  </bookViews>
  <sheets>
    <sheet name="Program Version" sheetId="39" r:id="rId1"/>
    <sheet name="Coverages" sheetId="43" r:id="rId2"/>
    <sheet name="Liab BI (2)" sheetId="45" r:id="rId3"/>
    <sheet name="Liab BI &amp; PD (1)" sheetId="46" r:id="rId4"/>
    <sheet name="Liab PD (8)" sheetId="47" r:id="rId5"/>
    <sheet name="Med Payments (12)" sheetId="48" r:id="rId6"/>
    <sheet name="UM BI (20)" sheetId="49" state="hidden" r:id="rId7"/>
    <sheet name="UM BI (6)" sheetId="50" state="hidden" r:id="rId8"/>
    <sheet name="UM PD (52)" sheetId="56" r:id="rId9"/>
    <sheet name="MC Pass Liab (33)" sheetId="53" r:id="rId10"/>
    <sheet name="MC Pass Liab (163)" sheetId="54" r:id="rId11"/>
    <sheet name="Coverage Item" sheetId="42" r:id="rId12"/>
    <sheet name="IM Policy Coverages" sheetId="21" r:id="rId13"/>
    <sheet name="IM Features (R.M)" sheetId="22" r:id="rId14"/>
    <sheet name="IM Credits" sheetId="23" r:id="rId15"/>
    <sheet name="IM Debits" sheetId="24" r:id="rId16"/>
    <sheet name="COLL (4)" sheetId="17" r:id="rId17"/>
    <sheet name="OTC (5)" sheetId="3" r:id="rId18"/>
    <sheet name="Deductible Availability" sheetId="18" r:id="rId19"/>
    <sheet name="Event Coverages" sheetId="4" r:id="rId20"/>
    <sheet name="Specialty Coverages" sheetId="11" r:id="rId21"/>
    <sheet name="Features" sheetId="5" r:id="rId22"/>
    <sheet name="PV Documents" sheetId="13" r:id="rId23"/>
    <sheet name="Misc. Coverages" sheetId="15" state="hidden" r:id="rId24"/>
    <sheet name="DocPckt Documents" sheetId="14" r:id="rId25"/>
    <sheet name="INS SCORE" sheetId="33" r:id="rId26"/>
    <sheet name="State Region Table" sheetId="34" r:id="rId27"/>
    <sheet name="Application Text" sheetId="31" r:id="rId28"/>
    <sheet name="IM App Text" sheetId="26" r:id="rId29"/>
    <sheet name="Coverage Rules" sheetId="19" r:id="rId30"/>
    <sheet name="FLEX" sheetId="32" r:id="rId31"/>
    <sheet name="NPO Mapping" sheetId="35" r:id="rId32"/>
    <sheet name="Coverages (Comp Coll)" sheetId="37" state="hidden" r:id="rId33"/>
  </sheets>
  <definedNames>
    <definedName name="_xlnm._FilterDatabase" localSheetId="16" hidden="1">'COLL (4)'!$A$1:$R$531</definedName>
    <definedName name="_xlnm._FilterDatabase" localSheetId="24" hidden="1">'DocPckt Documents'!$A$1:$AA$1</definedName>
    <definedName name="_xlnm._FilterDatabase" localSheetId="30" hidden="1">FLEX!$A$1:$O$1</definedName>
    <definedName name="_xlnm._FilterDatabase" localSheetId="3" hidden="1">'Liab BI &amp; PD (1)'!$A$1:$O$281</definedName>
    <definedName name="_xlnm._FilterDatabase" localSheetId="2" hidden="1">'Liab BI (2)'!$A$1:$O$283</definedName>
    <definedName name="_xlnm._FilterDatabase" localSheetId="4" hidden="1">'Liab PD (8)'!$A$1:$R$282</definedName>
    <definedName name="_xlnm._FilterDatabase" localSheetId="10" hidden="1">'MC Pass Liab (163)'!$A$1:$R$281</definedName>
    <definedName name="_xlnm._FilterDatabase" localSheetId="9" hidden="1">'MC Pass Liab (33)'!$A$1:$R$283</definedName>
    <definedName name="_xlnm._FilterDatabase" localSheetId="5" hidden="1">'Med Payments (12)'!$A$1:$R$276</definedName>
    <definedName name="_xlnm._FilterDatabase" localSheetId="31" hidden="1">'NPO Mapping'!$A$2:$N$2</definedName>
    <definedName name="_xlnm._FilterDatabase" localSheetId="17" hidden="1">'OTC (5)'!$A$1:$U$636</definedName>
    <definedName name="_xlnm._FilterDatabase" localSheetId="22" hidden="1">'PV Documents'!$A$1:$V$102</definedName>
    <definedName name="_xlnm._FilterDatabase" localSheetId="6" hidden="1">'UM BI (20)'!$A$1:$R$1</definedName>
    <definedName name="_xlnm._FilterDatabase" localSheetId="7" hidden="1">'UM BI (6)'!$A$1:$O$1</definedName>
    <definedName name="_xlnm._FilterDatabase" localSheetId="8" hidden="1">'UM PD (52)'!$A$1:$O$1</definedName>
    <definedName name="_xlnm.Print_Area" localSheetId="21">Features!$A$1:$D$206</definedName>
    <definedName name="_xlnm.Print_Area" localSheetId="20">'Specialty Coverages'!$A$342:$T$358</definedName>
  </definedNames>
  <calcPr calcId="191028"/>
  <customWorkbookViews>
    <customWorkbookView name="Hagerty Insurance - Personal View" guid="{0351F9C7-7403-460E-BE2C-296F078AE5FB}" mergeInterval="0" personalView="1" maximized="1" windowWidth="1020" windowHeight="539" tabRatio="697" activeSheetId="2" showComments="commIndAndComment"/>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5" i="42" l="1"/>
  <c r="Q23" i="42"/>
  <c r="R23" i="42"/>
  <c r="S23" i="42"/>
  <c r="T23" i="42"/>
  <c r="U23" i="42"/>
  <c r="V23" i="42"/>
  <c r="W23" i="42"/>
  <c r="X23" i="42"/>
  <c r="Y23" i="42"/>
  <c r="Z23" i="42"/>
  <c r="AA23" i="42"/>
  <c r="AB23" i="42"/>
  <c r="Q24" i="42"/>
  <c r="R24" i="42"/>
  <c r="S24" i="42"/>
  <c r="T24" i="42"/>
  <c r="U24" i="42"/>
  <c r="V24" i="42"/>
  <c r="W24" i="42"/>
  <c r="X24" i="42"/>
  <c r="Y24" i="42"/>
  <c r="Z24" i="42"/>
  <c r="AA24" i="42"/>
  <c r="AB24" i="42"/>
  <c r="Q25" i="42"/>
  <c r="R25" i="42"/>
  <c r="S25" i="42"/>
  <c r="T25" i="42"/>
  <c r="U25" i="42"/>
  <c r="V25" i="42"/>
  <c r="W25" i="42"/>
  <c r="X25" i="42"/>
  <c r="Y25" i="42"/>
  <c r="Z25" i="42"/>
  <c r="AB25" i="42"/>
  <c r="Q26" i="42"/>
  <c r="R26" i="42"/>
  <c r="S26" i="42"/>
  <c r="T26" i="42"/>
  <c r="U26" i="42"/>
  <c r="V26" i="42"/>
  <c r="W26" i="42"/>
  <c r="X26" i="42"/>
  <c r="Y26" i="42"/>
  <c r="Z26" i="42"/>
  <c r="AA26" i="42"/>
  <c r="AB26" i="42"/>
  <c r="R22" i="42"/>
  <c r="S22" i="42"/>
  <c r="T22" i="42"/>
  <c r="U22" i="42"/>
  <c r="V22" i="42"/>
  <c r="W22" i="42"/>
  <c r="X22" i="42"/>
  <c r="Y22" i="42"/>
  <c r="Z22" i="42"/>
  <c r="AA22" i="42"/>
  <c r="AB22" i="42"/>
  <c r="Q22" i="42"/>
  <c r="P22" i="42"/>
  <c r="Q3" i="42"/>
  <c r="R3" i="42"/>
  <c r="S3" i="42"/>
  <c r="T3" i="42"/>
  <c r="U3" i="42"/>
  <c r="V3" i="42"/>
  <c r="W3" i="42"/>
  <c r="X3" i="42"/>
  <c r="Y3" i="42"/>
  <c r="Z3" i="42"/>
  <c r="AA3" i="42"/>
  <c r="AB3" i="42"/>
  <c r="Q4" i="42"/>
  <c r="R4" i="42"/>
  <c r="S4" i="42"/>
  <c r="T4" i="42"/>
  <c r="U4" i="42"/>
  <c r="V4" i="42"/>
  <c r="W4" i="42"/>
  <c r="X4" i="42"/>
  <c r="Y4" i="42"/>
  <c r="Z4" i="42"/>
  <c r="AA4" i="42"/>
  <c r="AB4" i="42"/>
  <c r="Q5" i="42"/>
  <c r="R5" i="42"/>
  <c r="S5" i="42"/>
  <c r="T5" i="42"/>
  <c r="U5" i="42"/>
  <c r="V5" i="42"/>
  <c r="W5" i="42"/>
  <c r="X5" i="42"/>
  <c r="Y5" i="42"/>
  <c r="Z5" i="42"/>
  <c r="AA5" i="42"/>
  <c r="AB5" i="42"/>
  <c r="Q6" i="42"/>
  <c r="R6" i="42"/>
  <c r="S6" i="42"/>
  <c r="T6" i="42"/>
  <c r="U6" i="42"/>
  <c r="V6" i="42"/>
  <c r="W6" i="42"/>
  <c r="X6" i="42"/>
  <c r="Y6" i="42"/>
  <c r="Z6" i="42"/>
  <c r="AA6" i="42"/>
  <c r="AB6" i="42"/>
  <c r="Q7" i="42"/>
  <c r="R7" i="42"/>
  <c r="S7" i="42"/>
  <c r="T7" i="42"/>
  <c r="U7" i="42"/>
  <c r="V7" i="42"/>
  <c r="W7" i="42"/>
  <c r="X7" i="42"/>
  <c r="Y7" i="42"/>
  <c r="Z7" i="42"/>
  <c r="AA7" i="42"/>
  <c r="AB7" i="42"/>
  <c r="Q8" i="42"/>
  <c r="R8" i="42"/>
  <c r="S8" i="42"/>
  <c r="T8" i="42"/>
  <c r="U8" i="42"/>
  <c r="V8" i="42"/>
  <c r="W8" i="42"/>
  <c r="X8" i="42"/>
  <c r="Y8" i="42"/>
  <c r="Z8" i="42"/>
  <c r="AA8" i="42"/>
  <c r="AB8" i="42"/>
  <c r="Q9" i="42"/>
  <c r="R9" i="42"/>
  <c r="S9" i="42"/>
  <c r="T9" i="42"/>
  <c r="U9" i="42"/>
  <c r="V9" i="42"/>
  <c r="W9" i="42"/>
  <c r="X9" i="42"/>
  <c r="Y9" i="42"/>
  <c r="Z9" i="42"/>
  <c r="AA9" i="42"/>
  <c r="AB9" i="42"/>
  <c r="Q10" i="42"/>
  <c r="R10" i="42"/>
  <c r="S10" i="42"/>
  <c r="T10" i="42"/>
  <c r="U10" i="42"/>
  <c r="V10" i="42"/>
  <c r="W10" i="42"/>
  <c r="X10" i="42"/>
  <c r="Y10" i="42"/>
  <c r="Z10" i="42"/>
  <c r="AA10" i="42"/>
  <c r="AB10" i="42"/>
  <c r="Q11" i="42"/>
  <c r="R11" i="42"/>
  <c r="S11" i="42"/>
  <c r="T11" i="42"/>
  <c r="U11" i="42"/>
  <c r="V11" i="42"/>
  <c r="W11" i="42"/>
  <c r="X11" i="42"/>
  <c r="Y11" i="42"/>
  <c r="Z11" i="42"/>
  <c r="AA11" i="42"/>
  <c r="AB11" i="42"/>
  <c r="Q12" i="42"/>
  <c r="R12" i="42"/>
  <c r="S12" i="42"/>
  <c r="T12" i="42"/>
  <c r="U12" i="42"/>
  <c r="V12" i="42"/>
  <c r="W12" i="42"/>
  <c r="X12" i="42"/>
  <c r="Y12" i="42"/>
  <c r="Z12" i="42"/>
  <c r="AA12" i="42"/>
  <c r="AB12" i="42"/>
  <c r="Q13" i="42"/>
  <c r="R13" i="42"/>
  <c r="S13" i="42"/>
  <c r="T13" i="42"/>
  <c r="U13" i="42"/>
  <c r="V13" i="42"/>
  <c r="W13" i="42"/>
  <c r="X13" i="42"/>
  <c r="Y13" i="42"/>
  <c r="Z13" i="42"/>
  <c r="AA13" i="42"/>
  <c r="AB13" i="42"/>
  <c r="Q14" i="42"/>
  <c r="R14" i="42"/>
  <c r="S14" i="42"/>
  <c r="T14" i="42"/>
  <c r="U14" i="42"/>
  <c r="V14" i="42"/>
  <c r="W14" i="42"/>
  <c r="X14" i="42"/>
  <c r="Y14" i="42"/>
  <c r="Z14" i="42"/>
  <c r="AA14" i="42"/>
  <c r="AB14" i="42"/>
  <c r="Q15" i="42"/>
  <c r="R15" i="42"/>
  <c r="S15" i="42"/>
  <c r="T15" i="42"/>
  <c r="U15" i="42"/>
  <c r="V15" i="42"/>
  <c r="W15" i="42"/>
  <c r="X15" i="42"/>
  <c r="Y15" i="42"/>
  <c r="Z15" i="42"/>
  <c r="AA15" i="42"/>
  <c r="AB15" i="42"/>
  <c r="Q16" i="42"/>
  <c r="R16" i="42"/>
  <c r="S16" i="42"/>
  <c r="T16" i="42"/>
  <c r="U16" i="42"/>
  <c r="V16" i="42"/>
  <c r="W16" i="42"/>
  <c r="X16" i="42"/>
  <c r="Y16" i="42"/>
  <c r="Z16" i="42"/>
  <c r="AA16" i="42"/>
  <c r="AB16" i="42"/>
  <c r="Q17" i="42"/>
  <c r="R17" i="42"/>
  <c r="S17" i="42"/>
  <c r="T17" i="42"/>
  <c r="U17" i="42"/>
  <c r="V17" i="42"/>
  <c r="W17" i="42"/>
  <c r="X17" i="42"/>
  <c r="Y17" i="42"/>
  <c r="Z17" i="42"/>
  <c r="AA17" i="42"/>
  <c r="AB17" i="42"/>
  <c r="Q18" i="42"/>
  <c r="R18" i="42"/>
  <c r="S18" i="42"/>
  <c r="T18" i="42"/>
  <c r="U18" i="42"/>
  <c r="V18" i="42"/>
  <c r="W18" i="42"/>
  <c r="X18" i="42"/>
  <c r="Y18" i="42"/>
  <c r="Z18" i="42"/>
  <c r="AA18" i="42"/>
  <c r="AB18" i="42"/>
  <c r="AB2" i="42"/>
  <c r="Q2" i="42"/>
  <c r="R2" i="42"/>
  <c r="S2" i="42"/>
  <c r="T2" i="42"/>
  <c r="U2" i="42"/>
  <c r="V2" i="42"/>
  <c r="W2" i="42"/>
  <c r="X2" i="42"/>
  <c r="Y2" i="42"/>
  <c r="Z2" i="42"/>
  <c r="AA2" i="42"/>
  <c r="P23" i="42"/>
  <c r="P24" i="42"/>
  <c r="P25" i="42"/>
  <c r="P26" i="42"/>
  <c r="P3" i="42"/>
  <c r="P4" i="42"/>
  <c r="P5" i="42"/>
  <c r="P6" i="42"/>
  <c r="P7" i="42"/>
  <c r="P8" i="42"/>
  <c r="P9" i="42"/>
  <c r="P10" i="42"/>
  <c r="P11" i="42"/>
  <c r="P12" i="42"/>
  <c r="P13" i="42"/>
  <c r="P14" i="42"/>
  <c r="P15" i="42"/>
  <c r="P16" i="42"/>
  <c r="P17" i="42"/>
  <c r="P18" i="42"/>
  <c r="P2" i="42"/>
  <c r="T45" i="13" l="1"/>
  <c r="T30" i="13" l="1"/>
  <c r="T28" i="13"/>
  <c r="T79" i="13" l="1"/>
  <c r="T86" i="13"/>
  <c r="G84" i="35" l="1"/>
  <c r="G83" i="35"/>
  <c r="G82" i="35"/>
  <c r="G81" i="35"/>
  <c r="G80" i="35"/>
  <c r="G79" i="35"/>
  <c r="G78" i="35"/>
  <c r="G77" i="35"/>
  <c r="G76" i="35"/>
  <c r="G75" i="35"/>
  <c r="G74" i="35"/>
  <c r="G73" i="35"/>
  <c r="G72" i="35"/>
  <c r="G71" i="35"/>
  <c r="G70" i="35"/>
  <c r="G69" i="35"/>
  <c r="G68" i="35"/>
  <c r="G67" i="35"/>
  <c r="G66" i="35"/>
  <c r="G65" i="35"/>
  <c r="G64" i="35"/>
  <c r="G63" i="35"/>
  <c r="G62" i="35"/>
  <c r="G61" i="35"/>
  <c r="G60" i="35"/>
  <c r="G59" i="35"/>
  <c r="G58" i="35"/>
  <c r="G57" i="35"/>
  <c r="G56" i="35"/>
  <c r="G55" i="35"/>
  <c r="G54" i="35"/>
  <c r="G53" i="35"/>
  <c r="G52" i="35"/>
  <c r="G51" i="35"/>
  <c r="G50" i="35"/>
  <c r="G49" i="35"/>
  <c r="G48" i="35"/>
  <c r="G47" i="35"/>
  <c r="G46" i="35"/>
  <c r="G45" i="35"/>
  <c r="G44" i="35"/>
  <c r="G43" i="35"/>
  <c r="G42" i="35"/>
  <c r="G41" i="35"/>
  <c r="G40" i="35"/>
  <c r="G39" i="35"/>
  <c r="G38" i="35"/>
  <c r="G37" i="35"/>
  <c r="G36" i="35"/>
  <c r="G35" i="35"/>
  <c r="G34" i="35"/>
  <c r="G33" i="35"/>
  <c r="G32" i="35"/>
  <c r="G31" i="35"/>
  <c r="G30" i="35"/>
  <c r="G29" i="35"/>
  <c r="G28" i="35"/>
  <c r="G27" i="35"/>
  <c r="G26" i="35"/>
  <c r="G25" i="35"/>
  <c r="G24" i="35"/>
  <c r="G23" i="35"/>
  <c r="G22" i="35"/>
  <c r="G21" i="35"/>
  <c r="G20" i="35"/>
  <c r="G19" i="35"/>
  <c r="G18" i="35"/>
  <c r="G17" i="35"/>
  <c r="G16" i="35"/>
  <c r="G15" i="35"/>
  <c r="G14" i="35"/>
  <c r="G13" i="35"/>
  <c r="G12" i="35"/>
  <c r="G11" i="35"/>
  <c r="G10" i="35"/>
  <c r="G9" i="35"/>
  <c r="G8" i="35"/>
  <c r="G7" i="35"/>
  <c r="G6" i="35"/>
  <c r="G5" i="35"/>
  <c r="G4" i="35"/>
  <c r="G3"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Noah Stearns</author>
    <author>Katie Olinik</author>
  </authors>
  <commentList>
    <comment ref="A38" authorId="0" shapeId="0" xr:uid="{3D27DF0A-935B-42FB-937F-6D7798886DDA}">
      <text>
        <r>
          <rPr>
            <b/>
            <sz val="9"/>
            <color indexed="81"/>
            <rFont val="Tahoma"/>
            <family val="2"/>
          </rPr>
          <t>Noah Stearns:</t>
        </r>
        <r>
          <rPr>
            <sz val="9"/>
            <color indexed="81"/>
            <rFont val="Tahoma"/>
            <family val="2"/>
          </rPr>
          <t xml:space="preserve">
Enable vehicle rated policy coverage logic.</t>
        </r>
      </text>
    </comment>
    <comment ref="A39" authorId="0" shapeId="0" xr:uid="{B3931E28-734B-480E-A1CB-2BAD2DBDB231}">
      <text>
        <r>
          <rPr>
            <b/>
            <sz val="9"/>
            <color indexed="81"/>
            <rFont val="Tahoma"/>
            <family val="2"/>
          </rPr>
          <t>Noah Stearns:</t>
        </r>
        <r>
          <rPr>
            <sz val="9"/>
            <color indexed="81"/>
            <rFont val="Tahoma"/>
            <family val="2"/>
          </rPr>
          <t xml:space="preserve">
Rating symbols check descriptions when IDs not found.</t>
        </r>
      </text>
    </comment>
    <comment ref="A40" authorId="0" shapeId="0" xr:uid="{4C99C01A-4438-4CBE-9AF2-371A59212D25}">
      <text>
        <r>
          <rPr>
            <b/>
            <sz val="9"/>
            <color indexed="81"/>
            <rFont val="Tahoma"/>
            <family val="2"/>
          </rPr>
          <t>Noah Stearns:</t>
        </r>
        <r>
          <rPr>
            <sz val="9"/>
            <color indexed="81"/>
            <rFont val="Tahoma"/>
            <family val="2"/>
          </rPr>
          <t xml:space="preserve">
Display decimals for Assessments.</t>
        </r>
      </text>
    </comment>
    <comment ref="A41" authorId="1" shapeId="0" xr:uid="{F93B2BC7-B8CF-4A83-A93E-4E989332CD20}">
      <text>
        <r>
          <rPr>
            <b/>
            <sz val="9"/>
            <color indexed="81"/>
            <rFont val="Tahoma"/>
            <family val="2"/>
          </rPr>
          <t>Katie Olinik:</t>
        </r>
        <r>
          <rPr>
            <sz val="9"/>
            <color indexed="81"/>
            <rFont val="Tahoma"/>
            <family val="2"/>
          </rPr>
          <t xml:space="preserve">
Impacted single limits must be equal to both the per-person and per-accident limit from the driving coverage.
EX 100/300 &lt; 300 but 300/300 is = 300</t>
        </r>
      </text>
    </comment>
    <comment ref="A42" authorId="0" shapeId="0" xr:uid="{0E21FC34-D767-4531-893F-FB4FCED18085}">
      <text>
        <r>
          <rPr>
            <b/>
            <sz val="9"/>
            <color indexed="81"/>
            <rFont val="Tahoma"/>
            <family val="2"/>
          </rPr>
          <t>Noah Stearns:</t>
        </r>
        <r>
          <rPr>
            <sz val="9"/>
            <color indexed="81"/>
            <rFont val="Tahoma"/>
            <family val="2"/>
          </rPr>
          <t xml:space="preserve">
Rate version allows Camper Trailer items types.</t>
        </r>
      </text>
    </comment>
    <comment ref="A43" authorId="0" shapeId="0" xr:uid="{B4A386EA-0617-4E88-974A-EB7B946B1046}">
      <text>
        <r>
          <rPr>
            <b/>
            <sz val="9"/>
            <color indexed="81"/>
            <rFont val="Tahoma"/>
            <family val="2"/>
          </rPr>
          <t>Noah Stearns:</t>
        </r>
        <r>
          <rPr>
            <sz val="9"/>
            <color indexed="81"/>
            <rFont val="Tahoma"/>
            <family val="2"/>
          </rPr>
          <t xml:space="preserve">
When enabled, top three vehicle factor logic is disabled under factored policy-level rating.  See ADO 252992</t>
        </r>
      </text>
    </comment>
    <comment ref="A44" authorId="0" shapeId="0" xr:uid="{571F4819-9761-47A9-A49B-3AF0CF2DCC6A}">
      <text>
        <r>
          <rPr>
            <b/>
            <sz val="9"/>
            <color indexed="81"/>
            <rFont val="Tahoma"/>
            <family val="2"/>
          </rPr>
          <t>Noah Stearns:</t>
        </r>
        <r>
          <rPr>
            <sz val="9"/>
            <color indexed="81"/>
            <rFont val="Tahoma"/>
            <family val="2"/>
          </rPr>
          <t xml:space="preserve">
Exclude Vintage Camper Trailers item type from the Items With Coveragerate factor calculations for Liability coverage types</t>
        </r>
      </text>
    </comment>
    <comment ref="A45" authorId="0" shapeId="0" xr:uid="{7D2EE83A-50EB-441A-BBC1-F8DCE4CC98C0}">
      <text>
        <r>
          <rPr>
            <b/>
            <sz val="9"/>
            <color indexed="81"/>
            <rFont val="Tahoma"/>
            <family val="2"/>
          </rPr>
          <t>Noah Stearns:</t>
        </r>
        <r>
          <rPr>
            <sz val="9"/>
            <color indexed="81"/>
            <rFont val="Tahoma"/>
            <family val="2"/>
          </rPr>
          <t xml:space="preserve">
Correct Vehicles With Liability Count For Item Type Specific Liability Coverages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Trissa Killeen</author>
  </authors>
  <commentList>
    <comment ref="G51" authorId="0" shapeId="0" xr:uid="{7B14B24B-22C3-40DF-ACE3-9587093C6145}">
      <text>
        <r>
          <rPr>
            <b/>
            <sz val="9"/>
            <color indexed="81"/>
            <rFont val="Tahoma"/>
            <family val="2"/>
          </rPr>
          <t>Trissa Killeen:</t>
        </r>
        <r>
          <rPr>
            <sz val="9"/>
            <color indexed="81"/>
            <rFont val="Tahoma"/>
            <family val="2"/>
          </rPr>
          <t xml:space="preserve">
PolicyRatingOptions.ValueAddedIncludedInd=1
Current Val Added threshold = $500k any number of vehicles
Old Val Added threshold = 6 or more vehs with min of $250k TIV or any # of vehs TIV $500k 
If member was ever Val Added they stay Val added  </t>
        </r>
      </text>
    </comment>
  </commentList>
</comments>
</file>

<file path=xl/sharedStrings.xml><?xml version="1.0" encoding="utf-8"?>
<sst xmlns="http://schemas.openxmlformats.org/spreadsheetml/2006/main" count="39692" uniqueCount="1879">
  <si>
    <t>Release Date</t>
  </si>
  <si>
    <t>Program Version Form Data</t>
  </si>
  <si>
    <t>Description</t>
  </si>
  <si>
    <t>CO - 12/01/24</t>
  </si>
  <si>
    <t>Version Number</t>
  </si>
  <si>
    <t>Program</t>
  </si>
  <si>
    <t>Standard Auto Program</t>
  </si>
  <si>
    <t>State/Region</t>
  </si>
  <si>
    <t>CO</t>
  </si>
  <si>
    <t>New Bus Effective Date</t>
  </si>
  <si>
    <t>Termination Date</t>
  </si>
  <si>
    <t>Linked Class</t>
  </si>
  <si>
    <t>Colorado111</t>
  </si>
  <si>
    <t>Version Prefix</t>
  </si>
  <si>
    <t>Renewal Effective Date</t>
  </si>
  <si>
    <t>Renewal Termination Date</t>
  </si>
  <si>
    <t>Locked Legacy Version</t>
  </si>
  <si>
    <t>Program Version Options</t>
  </si>
  <si>
    <t>Effective Date</t>
  </si>
  <si>
    <t>Rating Options</t>
  </si>
  <si>
    <t>Program Version Entry Fields</t>
  </si>
  <si>
    <t>Eff Date</t>
  </si>
  <si>
    <t>Program Type</t>
  </si>
  <si>
    <t>Standard Auto Policy</t>
  </si>
  <si>
    <t>All Perils Sum Comp &amp; Collision</t>
  </si>
  <si>
    <t>App Warning Threshold</t>
  </si>
  <si>
    <t>Underwriter</t>
  </si>
  <si>
    <t>EIC</t>
  </si>
  <si>
    <t>Apply Multi-Liability Factors</t>
  </si>
  <si>
    <t>X</t>
  </si>
  <si>
    <t>8/15/18 NB &amp; 9/15/18 RB</t>
  </si>
  <si>
    <t>Max Yrs Capping Dec.</t>
  </si>
  <si>
    <t>Capping End Date</t>
  </si>
  <si>
    <t>Not Approved</t>
  </si>
  <si>
    <t>Factored Level Rating V2</t>
  </si>
  <si>
    <t>2/1/16 NB &amp; 3/1/16 RB</t>
  </si>
  <si>
    <t>Max Yrs Caping Inc</t>
  </si>
  <si>
    <t>Cap Premium Increase</t>
  </si>
  <si>
    <t>Liability Only Policies Allowed</t>
  </si>
  <si>
    <t>Min Endo Premium</t>
  </si>
  <si>
    <t>Cap Premium Decrease</t>
  </si>
  <si>
    <t>LTP Motorsports - No Liability</t>
  </si>
  <si>
    <t>Min Endo Refund</t>
  </si>
  <si>
    <t>Cap Only Prior Capped</t>
  </si>
  <si>
    <t>Reduced Rounding</t>
  </si>
  <si>
    <t>Min Polixy Premium</t>
  </si>
  <si>
    <r>
      <rPr>
        <strike/>
        <sz val="11"/>
        <color theme="1"/>
        <rFont val="Calibri"/>
        <family val="2"/>
        <scheme val="minor"/>
      </rPr>
      <t>115</t>
    </r>
    <r>
      <rPr>
        <sz val="11"/>
        <color theme="1"/>
        <rFont val="Calibri"/>
        <family val="2"/>
        <scheme val="minor"/>
      </rPr>
      <t xml:space="preserve"> 125</t>
    </r>
  </si>
  <si>
    <t>12/01/24 NB
01/01/25 RB</t>
  </si>
  <si>
    <t>EAP Enabled</t>
  </si>
  <si>
    <t>Use Liability Zip Rating</t>
  </si>
  <si>
    <t>Premium Calc Fix</t>
  </si>
  <si>
    <t>FTFTF</t>
  </si>
  <si>
    <t>Excluded Drivers Allowed</t>
  </si>
  <si>
    <t>Use Multi-Liability Logic</t>
  </si>
  <si>
    <t>Quote Decline Threshold</t>
  </si>
  <si>
    <t>Inland Marine</t>
  </si>
  <si>
    <t>9/17/13 NB &amp; 11/01/13 RB</t>
  </si>
  <si>
    <t>Use New LTP Motorsports</t>
  </si>
  <si>
    <t>10/10/14 NB &amp; 11/10/14 RB</t>
  </si>
  <si>
    <t>Filing Stream</t>
  </si>
  <si>
    <t>EIC_4.5</t>
  </si>
  <si>
    <t>Key-On Exclusion</t>
  </si>
  <si>
    <t>8/15/18 NB &amp; 9/15/2018 RB</t>
  </si>
  <si>
    <t>Use New MCPL Sublimit Logic</t>
  </si>
  <si>
    <t>Policy TIV New</t>
  </si>
  <si>
    <t>Use Replica Year</t>
  </si>
  <si>
    <t>Use Phase III Factors</t>
  </si>
  <si>
    <t>Policy TIV Renewal</t>
  </si>
  <si>
    <t>Payment Plan Allowed</t>
  </si>
  <si>
    <t>Use Single Point Logic</t>
  </si>
  <si>
    <t>Policy Vehicle Count New</t>
  </si>
  <si>
    <t>Min. Pay Plan Premium</t>
  </si>
  <si>
    <t>Use Storage Rating</t>
  </si>
  <si>
    <t>Policy Vehicle Count Renewal</t>
  </si>
  <si>
    <t>Rate Stabilization</t>
  </si>
  <si>
    <t>Use Symbol Rating</t>
  </si>
  <si>
    <t>Minimum Vehicle Age</t>
  </si>
  <si>
    <t>Allow Stabilization Increase</t>
  </si>
  <si>
    <t>Use Symbol Rating V2</t>
  </si>
  <si>
    <t>Allow Stabilization Decrease</t>
  </si>
  <si>
    <t>Use Zip Code Prefix Rating</t>
  </si>
  <si>
    <t>Max Stabilization Terms</t>
  </si>
  <si>
    <t>Use Zip Code Rating</t>
  </si>
  <si>
    <t>Use LTP Reduced Rounding</t>
  </si>
  <si>
    <t>Document Options</t>
  </si>
  <si>
    <t>Dec Page Form Number</t>
  </si>
  <si>
    <t>Display Rating Synbol on Dec</t>
  </si>
  <si>
    <t>Display Territory Code on Dec Page</t>
  </si>
  <si>
    <t>Use Authorized Driver Text</t>
  </si>
  <si>
    <t>ID Card Edition</t>
  </si>
  <si>
    <t>AC ID CO 12 21</t>
  </si>
  <si>
    <t>AC ID CO 03 25</t>
  </si>
  <si>
    <t>Config Key</t>
  </si>
  <si>
    <t>Key Name</t>
  </si>
  <si>
    <t>Data Type</t>
  </si>
  <si>
    <t>Value</t>
  </si>
  <si>
    <t>Expiration Date</t>
  </si>
  <si>
    <t>VehicleRatedPolicyCoveragesInd</t>
  </si>
  <si>
    <t>Bit Flag</t>
  </si>
  <si>
    <t>SymbolRatingInd</t>
  </si>
  <si>
    <t>DisplayDecimalsInd</t>
  </si>
  <si>
    <t>NewEqualLogic</t>
  </si>
  <si>
    <t>CamperTrailerInd</t>
  </si>
  <si>
    <t>DisableTopThreeVehicleFactorLogicInd</t>
  </si>
  <si>
    <t>ExcludeCampersFromItemsWithCoverage</t>
  </si>
  <si>
    <t>CorrectVehiclesWithLiabilityCountForItemTypeSpecificLiabilityCoverages</t>
  </si>
  <si>
    <t>Diamond Fees</t>
  </si>
  <si>
    <t>Amount</t>
  </si>
  <si>
    <t>New Eff.</t>
  </si>
  <si>
    <t>Ren Eff.</t>
  </si>
  <si>
    <t>Exp.</t>
  </si>
  <si>
    <t>Late Fee</t>
  </si>
  <si>
    <t>NSF Fee</t>
  </si>
  <si>
    <t>Reinstatement Fee</t>
  </si>
  <si>
    <t>Program Data</t>
  </si>
  <si>
    <t>Essentia Insurance Company</t>
  </si>
  <si>
    <t>Line of Business</t>
  </si>
  <si>
    <t>PPA</t>
  </si>
  <si>
    <t xml:space="preserve">Assessments </t>
  </si>
  <si>
    <t>Code</t>
  </si>
  <si>
    <t>Assessment Amount</t>
  </si>
  <si>
    <t>Assessment Description</t>
  </si>
  <si>
    <t>Assessment Rate</t>
  </si>
  <si>
    <t>EffectiveDate</t>
  </si>
  <si>
    <t>ExpirationDate</t>
  </si>
  <si>
    <t>Notes</t>
  </si>
  <si>
    <t>Auto Theft Prevention Authority Fee</t>
  </si>
  <si>
    <t>Auto Theft &amp; Fraud Surcharge - $1.00 per vehicle                                                                                                                         Applies to liability only, physical damage only, or full coverage policies
Does not apply to Mopeds, Scooter, Tractors, Camper Trailers or Trailers                                                                                                     Does not apply to vehciles with only IM coverage
Fee is fully earned</t>
  </si>
  <si>
    <t>$1.00 per vehicle                                                                                                                         Applies to liability only, physical damage only, or full coverage policies
Does not apply to Tractors, Camper Trailers or Trailers                                                                                                     Does not apply to vehciles with only IM coverage
Fee is fully earned</t>
  </si>
  <si>
    <t>Documents Referenced</t>
  </si>
  <si>
    <t>M:\CNA_DOCS\PDF\CAM CORATESPD 07 23 Part 1</t>
  </si>
  <si>
    <t>M:\CNA_DOCS\PDF\CAM CORATESPD 07 23 Part 2</t>
  </si>
  <si>
    <t>M:\CNA_DOCS\PDF\CAM CORATESBI 07 23</t>
  </si>
  <si>
    <t>M:\CNA_DOCS\PDF\CAM CORATES 11 24</t>
  </si>
  <si>
    <t>M:\CNA_DOCS\PDF\CAM CORULES 09 23</t>
  </si>
  <si>
    <t>M:\CNA_DOCS\PDF\CAM CORULES 11 24</t>
  </si>
  <si>
    <t>M:\CNA_DOCS\PDF\CAM CORULES 02 26</t>
  </si>
  <si>
    <t>M:\CNA_DOCS\PDF\CIM CORULES 05 08</t>
  </si>
  <si>
    <t>M:\CNA_DOCS\PDF\CIM CORULES 11 24</t>
  </si>
  <si>
    <t>M:\CNA_DOCS\PDF\CIM CORATES 03 11</t>
  </si>
  <si>
    <t>M:\CNA_DOCS\PDF\CIM CORATES 11 24</t>
  </si>
  <si>
    <t>M:\CNA_DOCS\PDF\ECP CORATES 10 23</t>
  </si>
  <si>
    <t>M:\CNA_DOCS\PDF\ECP CORULES 01 22</t>
  </si>
  <si>
    <t>ECP COFORMS 10 23</t>
  </si>
  <si>
    <t>ECP COFORMS 09 25</t>
  </si>
  <si>
    <t>CAM SYMBOLS 03 21</t>
  </si>
  <si>
    <t>CAM SYMBOLS 03 24</t>
  </si>
  <si>
    <t>CAM DISC CO 09 23</t>
  </si>
  <si>
    <t>CAM CO UWGLs 11 24</t>
  </si>
  <si>
    <t>CAM CO Prem Calculation 11 24</t>
  </si>
  <si>
    <t>CAM &amp; CIM COFORMS 07 23</t>
  </si>
  <si>
    <t>CAM &amp; CIM COFORMS 11 24</t>
  </si>
  <si>
    <t>CAM &amp; CIM COFORMS 09 25</t>
  </si>
  <si>
    <t>CAM &amp; CIM COFORMS 01 26</t>
  </si>
  <si>
    <t>CAM &amp; CIM COFORMS 02 26</t>
  </si>
  <si>
    <t>CAM &amp; CIM COFORMS 03 26</t>
  </si>
  <si>
    <t>Change Log</t>
  </si>
  <si>
    <t>Initials</t>
  </si>
  <si>
    <t>Date</t>
  </si>
  <si>
    <t>Created template for 24-001 prep</t>
  </si>
  <si>
    <t>JMW</t>
  </si>
  <si>
    <t>Started prep for CO 24-001/CW filing.  ADO: #245303</t>
  </si>
  <si>
    <t>NBS</t>
  </si>
  <si>
    <t>Updated Hagerty Privacy Policy document.  ADO: #267494</t>
  </si>
  <si>
    <t>Updated for Increase in Prem notice, ADO: 253421</t>
  </si>
  <si>
    <t>Updated signature page and IS phone number documents.  ADO: #351761/351792/338916</t>
  </si>
  <si>
    <t>Colorado CAP Spanish Summary Disclosure Form Eff. 01/01/26 #382029</t>
  </si>
  <si>
    <t>BAD</t>
  </si>
  <si>
    <t>Updated AC 002 for Colorado CAP Child Safety Restraint Compliance Update Release: ADO #389916</t>
  </si>
  <si>
    <t>AJD</t>
  </si>
  <si>
    <t>Updated Surcharge information and item types ADO: #390844</t>
  </si>
  <si>
    <t>ID card CO 03 25 turned on/Smart Comm</t>
  </si>
  <si>
    <t>TSK</t>
  </si>
  <si>
    <t>Coverage</t>
  </si>
  <si>
    <t>Comprehensive (5)</t>
  </si>
  <si>
    <t>Coverage Availability</t>
  </si>
  <si>
    <t>Required on all policies</t>
  </si>
  <si>
    <t>Agent Web</t>
  </si>
  <si>
    <t>Base Rate</t>
  </si>
  <si>
    <t>Direct Web</t>
  </si>
  <si>
    <t>Default Deductible</t>
  </si>
  <si>
    <t>Calculated in Code</t>
  </si>
  <si>
    <t>Default Selection</t>
  </si>
  <si>
    <t>Vehicle Level Rounding</t>
  </si>
  <si>
    <t>Sequence</t>
  </si>
  <si>
    <t>Sub-Sequence</t>
  </si>
  <si>
    <t>Minimum Premium</t>
  </si>
  <si>
    <t>Factored Level Rating</t>
  </si>
  <si>
    <t>Vehicle-Rated Policy Coverage</t>
  </si>
  <si>
    <t>Hard Coded Rates</t>
  </si>
  <si>
    <t>Motorsports and Pro-Street Vehicles without Liability</t>
  </si>
  <si>
    <t>Vehicle Type</t>
  </si>
  <si>
    <t>OTC</t>
  </si>
  <si>
    <t>LTP</t>
  </si>
  <si>
    <t>Motorsports (16 years and older)</t>
  </si>
  <si>
    <t>*LTP rate is entered at 2x the rates pages. This being due to a coded calculation step that divides this by 2</t>
  </si>
  <si>
    <t>Motorsports (15 years and newer)</t>
  </si>
  <si>
    <t>Pro-Street (all model years)</t>
  </si>
  <si>
    <t>*NOTE: To receive these rates Client must have Comp and LTP without Liability</t>
  </si>
  <si>
    <t>Collision (4)</t>
  </si>
  <si>
    <t>Optional</t>
  </si>
  <si>
    <t>Liability - BI (2)</t>
  </si>
  <si>
    <t>Availability</t>
  </si>
  <si>
    <t>Coverage Basis</t>
  </si>
  <si>
    <t>Each Person/Each Accident</t>
  </si>
  <si>
    <t>Additional Description</t>
  </si>
  <si>
    <t>Unknown</t>
  </si>
  <si>
    <t>Rounding Type</t>
  </si>
  <si>
    <t>Round Cents</t>
  </si>
  <si>
    <t>OFF</t>
  </si>
  <si>
    <t xml:space="preserve"> Coverage Applicability</t>
  </si>
  <si>
    <t>Policy</t>
  </si>
  <si>
    <t>Dollar Base Rate</t>
  </si>
  <si>
    <t>Lower Limit</t>
  </si>
  <si>
    <t>Upper Limit</t>
  </si>
  <si>
    <t>Override Limit</t>
  </si>
  <si>
    <t>Seq</t>
  </si>
  <si>
    <t>Rate</t>
  </si>
  <si>
    <t>Selected</t>
  </si>
  <si>
    <t>Default</t>
  </si>
  <si>
    <t>Avail.</t>
  </si>
  <si>
    <t>Min Veh Count</t>
  </si>
  <si>
    <t>Max Veh Count</t>
  </si>
  <si>
    <t>$/vehicle</t>
  </si>
  <si>
    <t>Deprecated In</t>
  </si>
  <si>
    <t>Liability - CSL (1)</t>
  </si>
  <si>
    <t>Liability - PD (8)</t>
  </si>
  <si>
    <t>Medical Payments (12)</t>
  </si>
  <si>
    <t>Uninsured Motorists BI Split Limits (20)</t>
  </si>
  <si>
    <t>Insurance Score Factors</t>
  </si>
  <si>
    <t>Factor</t>
  </si>
  <si>
    <t>Min Year</t>
  </si>
  <si>
    <t>Max Year</t>
  </si>
  <si>
    <t>Ins Score Range</t>
  </si>
  <si>
    <t>Modified</t>
  </si>
  <si>
    <t>Item Types</t>
  </si>
  <si>
    <t>525 and under</t>
  </si>
  <si>
    <t>Auto | Replica | Moped | Motorcycle | Other | Scooter |  Truck/Jeep/SUV | Unknown</t>
  </si>
  <si>
    <t>526 - 550</t>
  </si>
  <si>
    <t>551 - 575</t>
  </si>
  <si>
    <t>576 - 600</t>
  </si>
  <si>
    <t>601 - 625</t>
  </si>
  <si>
    <t>626 - 650</t>
  </si>
  <si>
    <t>651 - 675</t>
  </si>
  <si>
    <t>676 - 700</t>
  </si>
  <si>
    <t>701 - 725</t>
  </si>
  <si>
    <t>726 - 750</t>
  </si>
  <si>
    <t>751 - 775</t>
  </si>
  <si>
    <t>776 - 800</t>
  </si>
  <si>
    <t>801 - 825</t>
  </si>
  <si>
    <t>826 - 850</t>
  </si>
  <si>
    <t>851 - 875</t>
  </si>
  <si>
    <t>876 - 900</t>
  </si>
  <si>
    <t>901 - 997</t>
  </si>
  <si>
    <t>No Hit</t>
  </si>
  <si>
    <t>No Score (Thin File)</t>
  </si>
  <si>
    <t>Extraordinary</t>
  </si>
  <si>
    <t>Error</t>
  </si>
  <si>
    <t>Deceased</t>
  </si>
  <si>
    <t>Credit Freeze</t>
  </si>
  <si>
    <t>Uninsured Motorists BI Single Limit (6)</t>
  </si>
  <si>
    <t>Uninsured Motorists PD (52)</t>
  </si>
  <si>
    <t>Lesser of Guaranteed Value or the Cost to Repair ot Replace ($0 Deductible)</t>
  </si>
  <si>
    <t>Motorcycle Passenger Liability BI (33)</t>
  </si>
  <si>
    <t>Motorcycle Passenger Liability CSL (163)</t>
  </si>
  <si>
    <t>Vacation Site Liability (419)</t>
  </si>
  <si>
    <t>Vacation Site Medical Payments (420)</t>
  </si>
  <si>
    <t>Limited Trailer and Paddock Coverage (19)</t>
  </si>
  <si>
    <t>Premium Calculation</t>
  </si>
  <si>
    <t>Charge 50% of the Collision Rate / $100</t>
  </si>
  <si>
    <t>Availability Rules</t>
  </si>
  <si>
    <t>Available only for Comp only policies</t>
  </si>
  <si>
    <t>Web Availability</t>
  </si>
  <si>
    <t>Not available on the web</t>
  </si>
  <si>
    <t>Additional Information</t>
  </si>
  <si>
    <t>Provides collision coverage while a vehicle is being trailered to an event or while at a show or display area.  Must capture date &amp; location info for event.
Special rates apply to motorsports and Pro-street without Liab, see OTC &amp; Coll.</t>
  </si>
  <si>
    <t>Custom Features (265)</t>
  </si>
  <si>
    <t>Vehicle</t>
  </si>
  <si>
    <t>$1.50/100 of Insured value above $10,000. i.e. 80K of covg = 1.50 x 700 = $1,050</t>
  </si>
  <si>
    <t>When added by customer/underwriter</t>
  </si>
  <si>
    <t>Not Available on the web</t>
  </si>
  <si>
    <t>This is not an event coverage.  If a customer adds this coverage for a vehicle, it will remain on the policy until explicitly removed.  Must capture the insured value for this coverage.  Not an additional limit.</t>
  </si>
  <si>
    <t>Vehicle Under Construction (303)</t>
  </si>
  <si>
    <t>Agreed Value</t>
  </si>
  <si>
    <t>$20 Flat Rate</t>
  </si>
  <si>
    <t>Optional Coverage. Added by customer/underwriter</t>
  </si>
  <si>
    <t>Available on Direct and Agent Web</t>
  </si>
  <si>
    <t>Motorsports Advantage™ (395)</t>
  </si>
  <si>
    <t>Per Accident</t>
  </si>
  <si>
    <t>Optional Coverage. Added by customer/underwriter, not available for PCS</t>
  </si>
  <si>
    <t>Motorsports Advantage™ + Autocross (452)</t>
  </si>
  <si>
    <t>$250 per vehicle</t>
  </si>
  <si>
    <t>Motorsports Advantage™ + HPDE (453)</t>
  </si>
  <si>
    <t>$150 per vehicle</t>
  </si>
  <si>
    <t>Motorsports Advantage™ + Autocross + HPDE (454)</t>
  </si>
  <si>
    <t>$350 per vehicle</t>
  </si>
  <si>
    <t>Value-Added (339)</t>
  </si>
  <si>
    <t>Value-Added Plus $5</t>
  </si>
  <si>
    <t>Value-Added Premium $25</t>
  </si>
  <si>
    <t>Value-Added Ultimate $50</t>
  </si>
  <si>
    <t>Round</t>
  </si>
  <si>
    <t>When our company insures a collection of:
A.	6 or more vehicles with a total minimum value of $250,000; or
B.	Any number of vehicles with a total minimum value of $500,000;
the policy will automatically receive Value-Added Premium coverage at no additional premium.
A subsequent change in the collection will not result in a charge for the Premium level of this endorsement.</t>
  </si>
  <si>
    <t>Named Driver Coverage (445)</t>
  </si>
  <si>
    <t>Guaranteed Value</t>
  </si>
  <si>
    <t>Optional Coverage. Added by Underwriter</t>
  </si>
  <si>
    <t>Category</t>
  </si>
  <si>
    <t>Best Rate</t>
  </si>
  <si>
    <t>Worse Than Neutral</t>
  </si>
  <si>
    <t>Grandfathered</t>
  </si>
  <si>
    <t>Factor Variable 1</t>
  </si>
  <si>
    <t>Logical Operator 1</t>
  </si>
  <si>
    <t>Values 1</t>
  </si>
  <si>
    <t>Factor Variable 2</t>
  </si>
  <si>
    <t>Logical Operator 2</t>
  </si>
  <si>
    <t>Values 2</t>
  </si>
  <si>
    <t>Factor Variable 3</t>
  </si>
  <si>
    <t>Logical Operator 3</t>
  </si>
  <si>
    <t>Values 3</t>
  </si>
  <si>
    <t>Insurance Score</t>
  </si>
  <si>
    <t>false</t>
  </si>
  <si>
    <t>true</t>
  </si>
  <si>
    <t>Item Type</t>
  </si>
  <si>
    <t>IN</t>
  </si>
  <si>
    <t>Insurance Score Range</t>
  </si>
  <si>
    <t>Model Year</t>
  </si>
  <si>
    <t>BETWEEN</t>
  </si>
  <si>
    <t xml:space="preserve"> 1980 - 9999</t>
  </si>
  <si>
    <t>Level/Limit</t>
  </si>
  <si>
    <t>25,000/50,000</t>
  </si>
  <si>
    <t>30,000/60,000</t>
  </si>
  <si>
    <t>50,000/100,000</t>
  </si>
  <si>
    <t>100,000/300,000</t>
  </si>
  <si>
    <t>250,000/500,000</t>
  </si>
  <si>
    <t>300,000/300,000</t>
  </si>
  <si>
    <t>500,000/500,000</t>
  </si>
  <si>
    <t>500,000/1,000,000</t>
  </si>
  <si>
    <t>Model Year/Modified</t>
  </si>
  <si>
    <t xml:space="preserve"> 0 - 1945</t>
  </si>
  <si>
    <t>Item Modification</t>
  </si>
  <si>
    <t>EQUALS</t>
  </si>
  <si>
    <t>NOT IN</t>
  </si>
  <si>
    <t>Camper Trailer</t>
  </si>
  <si>
    <t xml:space="preserve"> 1946 -1946</t>
  </si>
  <si>
    <t xml:space="preserve"> 1947 -1947</t>
  </si>
  <si>
    <t xml:space="preserve"> 1948 -1948</t>
  </si>
  <si>
    <t xml:space="preserve"> 1949 -1949</t>
  </si>
  <si>
    <t xml:space="preserve"> 1950 -1950</t>
  </si>
  <si>
    <t xml:space="preserve"> 1951 -1951</t>
  </si>
  <si>
    <t xml:space="preserve"> 1952 -1952</t>
  </si>
  <si>
    <t xml:space="preserve"> 1953 -1953</t>
  </si>
  <si>
    <t xml:space="preserve"> 1954 -1954</t>
  </si>
  <si>
    <t xml:space="preserve"> 1955 -1955</t>
  </si>
  <si>
    <t xml:space="preserve"> 1956 -1956</t>
  </si>
  <si>
    <t xml:space="preserve"> 1957 -1957</t>
  </si>
  <si>
    <t xml:space="preserve"> 1958 -1958</t>
  </si>
  <si>
    <t xml:space="preserve"> 1959 -1959</t>
  </si>
  <si>
    <t xml:space="preserve"> 1960 -1960</t>
  </si>
  <si>
    <t xml:space="preserve"> 1961 -1961</t>
  </si>
  <si>
    <t xml:space="preserve"> 1962 -1962</t>
  </si>
  <si>
    <t xml:space="preserve"> 1963 -1963</t>
  </si>
  <si>
    <t xml:space="preserve"> 1964 -1964</t>
  </si>
  <si>
    <t xml:space="preserve"> 1965 -1965</t>
  </si>
  <si>
    <t xml:space="preserve"> 1966 -1966</t>
  </si>
  <si>
    <t xml:space="preserve"> 1967 -1967</t>
  </si>
  <si>
    <t xml:space="preserve"> 1968 -1968</t>
  </si>
  <si>
    <t xml:space="preserve"> 1969 -1969</t>
  </si>
  <si>
    <t xml:space="preserve"> 1970 -1970</t>
  </si>
  <si>
    <t xml:space="preserve"> 1971 -1971</t>
  </si>
  <si>
    <t xml:space="preserve"> 1972 -1972</t>
  </si>
  <si>
    <t xml:space="preserve"> 1973 -1973</t>
  </si>
  <si>
    <t xml:space="preserve"> 1974 -1974</t>
  </si>
  <si>
    <t xml:space="preserve"> 1975 -1975</t>
  </si>
  <si>
    <t xml:space="preserve"> 1976 -1976</t>
  </si>
  <si>
    <t xml:space="preserve"> 1977 -1977</t>
  </si>
  <si>
    <t xml:space="preserve"> 1978 -1978</t>
  </si>
  <si>
    <t xml:space="preserve"> 1979 -1979</t>
  </si>
  <si>
    <t xml:space="preserve"> 1980 -1980</t>
  </si>
  <si>
    <t xml:space="preserve"> 1981 -1981</t>
  </si>
  <si>
    <t xml:space="preserve"> 1982 -1982</t>
  </si>
  <si>
    <t xml:space="preserve"> 1983 -1983</t>
  </si>
  <si>
    <t xml:space="preserve"> 1984 -1984</t>
  </si>
  <si>
    <t xml:space="preserve"> 1985 -1985</t>
  </si>
  <si>
    <t xml:space="preserve"> 1986 -1986</t>
  </si>
  <si>
    <t xml:space="preserve"> 1987 -1987</t>
  </si>
  <si>
    <t xml:space="preserve"> 1988 -1988</t>
  </si>
  <si>
    <t xml:space="preserve"> 1989 -1989</t>
  </si>
  <si>
    <t xml:space="preserve"> 1990 -1990</t>
  </si>
  <si>
    <t xml:space="preserve"> 1991 -1991</t>
  </si>
  <si>
    <t xml:space="preserve"> 1992 -1992</t>
  </si>
  <si>
    <t xml:space="preserve"> 1993 -1993</t>
  </si>
  <si>
    <t xml:space="preserve"> 1994 -1994</t>
  </si>
  <si>
    <t xml:space="preserve"> 1995 -1995</t>
  </si>
  <si>
    <t xml:space="preserve"> 1996 -1996</t>
  </si>
  <si>
    <t xml:space="preserve"> 1997 -1997</t>
  </si>
  <si>
    <t xml:space="preserve"> 1998 -1998</t>
  </si>
  <si>
    <t xml:space="preserve"> 1999 -1999</t>
  </si>
  <si>
    <t xml:space="preserve"> 2000 -2000</t>
  </si>
  <si>
    <t xml:space="preserve"> 2001 -2001</t>
  </si>
  <si>
    <t xml:space="preserve"> 2002 -2002</t>
  </si>
  <si>
    <t xml:space="preserve"> 2003 -2003</t>
  </si>
  <si>
    <t xml:space="preserve"> 2004 -2004</t>
  </si>
  <si>
    <t xml:space="preserve"> 2005 -2005</t>
  </si>
  <si>
    <t xml:space="preserve"> 2006 -2006</t>
  </si>
  <si>
    <t xml:space="preserve"> 2007 -2007</t>
  </si>
  <si>
    <t xml:space="preserve"> 2008 -2008</t>
  </si>
  <si>
    <t xml:space="preserve"> 2009 -2009</t>
  </si>
  <si>
    <t xml:space="preserve"> 2010 -2010</t>
  </si>
  <si>
    <t xml:space="preserve"> 2011 -2011</t>
  </si>
  <si>
    <t xml:space="preserve"> 2012 -2012</t>
  </si>
  <si>
    <t xml:space="preserve"> 2013 -2013</t>
  </si>
  <si>
    <t xml:space="preserve"> 2014 -2014</t>
  </si>
  <si>
    <t xml:space="preserve"> 2015 -2015</t>
  </si>
  <si>
    <t xml:space="preserve"> 2016 -2016</t>
  </si>
  <si>
    <t xml:space="preserve"> 2017 -2017</t>
  </si>
  <si>
    <t xml:space="preserve"> 2018 -2018</t>
  </si>
  <si>
    <t xml:space="preserve"> 2019 -2019</t>
  </si>
  <si>
    <t xml:space="preserve"> 2020 -9999</t>
  </si>
  <si>
    <t>Number of Vehicles</t>
  </si>
  <si>
    <t>Items With Coverage</t>
  </si>
  <si>
    <t xml:space="preserve"> 1 - 1</t>
  </si>
  <si>
    <t xml:space="preserve"> 2 - 2</t>
  </si>
  <si>
    <t xml:space="preserve"> 3 - 3</t>
  </si>
  <si>
    <t xml:space="preserve"> 4 - 4</t>
  </si>
  <si>
    <t xml:space="preserve"> 5 - 5</t>
  </si>
  <si>
    <t xml:space="preserve"> 6 - 6</t>
  </si>
  <si>
    <t xml:space="preserve"> 7 - 7</t>
  </si>
  <si>
    <t xml:space="preserve"> 8 - 8</t>
  </si>
  <si>
    <t xml:space="preserve"> 9 - 9</t>
  </si>
  <si>
    <t xml:space="preserve"> 10 - 10</t>
  </si>
  <si>
    <t xml:space="preserve"> 11 - 11</t>
  </si>
  <si>
    <t xml:space="preserve"> 12 - 12</t>
  </si>
  <si>
    <t xml:space="preserve"> 13 - 13</t>
  </si>
  <si>
    <t xml:space="preserve"> 14 - 14</t>
  </si>
  <si>
    <t xml:space="preserve"> 15 - 15</t>
  </si>
  <si>
    <t xml:space="preserve"> 16 - 16</t>
  </si>
  <si>
    <t xml:space="preserve"> 17 - 17</t>
  </si>
  <si>
    <t xml:space="preserve"> 18 - 18</t>
  </si>
  <si>
    <t>19-19</t>
  </si>
  <si>
    <t>20-20</t>
  </si>
  <si>
    <t>21-30</t>
  </si>
  <si>
    <t>31-40</t>
  </si>
  <si>
    <t>41-50</t>
  </si>
  <si>
    <t>51-75</t>
  </si>
  <si>
    <t>76-100</t>
  </si>
  <si>
    <t>101-150</t>
  </si>
  <si>
    <t>151-200</t>
  </si>
  <si>
    <t>201-300</t>
  </si>
  <si>
    <t>301-999999999</t>
  </si>
  <si>
    <t>Operator Age</t>
  </si>
  <si>
    <t>Primary Insured Age</t>
  </si>
  <si>
    <t xml:space="preserve"> 0 - 18</t>
  </si>
  <si>
    <t xml:space="preserve"> 19 - 19</t>
  </si>
  <si>
    <t xml:space="preserve"> 20 - 20</t>
  </si>
  <si>
    <t xml:space="preserve"> 21 - 21</t>
  </si>
  <si>
    <t xml:space="preserve"> 22 - 22</t>
  </si>
  <si>
    <t xml:space="preserve"> 23 - 23</t>
  </si>
  <si>
    <t xml:space="preserve"> 24 - 24</t>
  </si>
  <si>
    <t xml:space="preserve"> 25 - 25</t>
  </si>
  <si>
    <t xml:space="preserve"> 26 - 26</t>
  </si>
  <si>
    <t xml:space="preserve"> 27 - 27</t>
  </si>
  <si>
    <t xml:space="preserve"> 28 - 28</t>
  </si>
  <si>
    <t xml:space="preserve"> 29 - 29</t>
  </si>
  <si>
    <t xml:space="preserve"> 30 - 30</t>
  </si>
  <si>
    <t xml:space="preserve"> 31 - 31</t>
  </si>
  <si>
    <t xml:space="preserve"> 32 - 32</t>
  </si>
  <si>
    <t xml:space="preserve"> 33 - 33</t>
  </si>
  <si>
    <t xml:space="preserve"> 34 - 34</t>
  </si>
  <si>
    <t xml:space="preserve"> 35 - 35</t>
  </si>
  <si>
    <t xml:space="preserve"> 36 - 36</t>
  </si>
  <si>
    <t xml:space="preserve"> 37 - 37</t>
  </si>
  <si>
    <t xml:space="preserve"> 38 - 38</t>
  </si>
  <si>
    <t xml:space="preserve"> 39 - 39</t>
  </si>
  <si>
    <t xml:space="preserve"> 40 - 40</t>
  </si>
  <si>
    <t xml:space="preserve"> 41 - 41</t>
  </si>
  <si>
    <t xml:space="preserve"> 42 - 42</t>
  </si>
  <si>
    <t xml:space="preserve"> 43 - 43</t>
  </si>
  <si>
    <t xml:space="preserve"> 44 - 44</t>
  </si>
  <si>
    <t xml:space="preserve"> 45 - 45</t>
  </si>
  <si>
    <t xml:space="preserve"> 46 - 46</t>
  </si>
  <si>
    <t xml:space="preserve"> 47 - 47</t>
  </si>
  <si>
    <t xml:space="preserve"> 48 - 48</t>
  </si>
  <si>
    <t xml:space="preserve"> 49 - 49</t>
  </si>
  <si>
    <t xml:space="preserve"> 50 - 50</t>
  </si>
  <si>
    <t xml:space="preserve"> 51 - 51</t>
  </si>
  <si>
    <t xml:space="preserve"> 52 - 52</t>
  </si>
  <si>
    <t xml:space="preserve"> 53 - 53</t>
  </si>
  <si>
    <t xml:space="preserve"> 54 - 54</t>
  </si>
  <si>
    <t xml:space="preserve"> 55 - 55</t>
  </si>
  <si>
    <t xml:space="preserve"> 56 - 56</t>
  </si>
  <si>
    <t xml:space="preserve"> 57 - 57</t>
  </si>
  <si>
    <t xml:space="preserve"> 58 - 58</t>
  </si>
  <si>
    <t xml:space="preserve"> 59 - 59</t>
  </si>
  <si>
    <t xml:space="preserve"> 60 - 60</t>
  </si>
  <si>
    <t xml:space="preserve"> 61 - 61</t>
  </si>
  <si>
    <t xml:space="preserve"> 62 - 62</t>
  </si>
  <si>
    <t xml:space="preserve"> 63 - 63</t>
  </si>
  <si>
    <t xml:space="preserve"> 64 - 64</t>
  </si>
  <si>
    <t xml:space="preserve"> 65 - 65</t>
  </si>
  <si>
    <t xml:space="preserve"> 66 - 66</t>
  </si>
  <si>
    <t xml:space="preserve"> 67 - 67</t>
  </si>
  <si>
    <t xml:space="preserve"> 68 - 68</t>
  </si>
  <si>
    <t xml:space="preserve"> 69 - 69</t>
  </si>
  <si>
    <t xml:space="preserve"> 70 - 70</t>
  </si>
  <si>
    <t xml:space="preserve"> 71 - 71</t>
  </si>
  <si>
    <t xml:space="preserve"> 72 - 999999999</t>
  </si>
  <si>
    <t>Rate Attribute</t>
  </si>
  <si>
    <t xml:space="preserve">Lowrider Traits </t>
  </si>
  <si>
    <t>Custom Cruiser</t>
  </si>
  <si>
    <t>Custom Import</t>
  </si>
  <si>
    <t>Cobra Replica</t>
  </si>
  <si>
    <t>Vehicle Symbol</t>
  </si>
  <si>
    <t>Rating Symbol</t>
  </si>
  <si>
    <t>A</t>
  </si>
  <si>
    <t>B</t>
  </si>
  <si>
    <t>C</t>
  </si>
  <si>
    <t>D</t>
  </si>
  <si>
    <t>E</t>
  </si>
  <si>
    <t>F</t>
  </si>
  <si>
    <t>Auto</t>
  </si>
  <si>
    <t>Motorcycle</t>
  </si>
  <si>
    <t>Semi</t>
  </si>
  <si>
    <t>Scooter</t>
  </si>
  <si>
    <t>Truck/Jeep/SUV</t>
  </si>
  <si>
    <t>Security Alert</t>
  </si>
  <si>
    <t>Lesser of Guaranteed Value® or the Cost to Repair or Replace ($0 Deductible)</t>
  </si>
  <si>
    <t>State</t>
  </si>
  <si>
    <t>Version</t>
  </si>
  <si>
    <t>Coverage Type</t>
  </si>
  <si>
    <t xml:space="preserve">Auto                     </t>
  </si>
  <si>
    <t xml:space="preserve">Camper Trailer           </t>
  </si>
  <si>
    <t xml:space="preserve">Fire Truck               </t>
  </si>
  <si>
    <t xml:space="preserve">Inv Policy               </t>
  </si>
  <si>
    <t xml:space="preserve">Military                 </t>
  </si>
  <si>
    <t xml:space="preserve">Motorcycle               </t>
  </si>
  <si>
    <t xml:space="preserve">Replica                  </t>
  </si>
  <si>
    <t xml:space="preserve">Scooter                  </t>
  </si>
  <si>
    <t xml:space="preserve">Semi                     </t>
  </si>
  <si>
    <t xml:space="preserve">Tractor                  </t>
  </si>
  <si>
    <t xml:space="preserve">Trailer                  </t>
  </si>
  <si>
    <t xml:space="preserve">Truck/Jeep/SUV           </t>
  </si>
  <si>
    <t>Collision</t>
  </si>
  <si>
    <t>Comprehensive</t>
  </si>
  <si>
    <t>Custom Features</t>
  </si>
  <si>
    <t>Inland Marine All Perils</t>
  </si>
  <si>
    <t>Liability - BI</t>
  </si>
  <si>
    <t>Liability - CSL</t>
  </si>
  <si>
    <t>Liability - PD</t>
  </si>
  <si>
    <t>Limited Trailer and Paddock</t>
  </si>
  <si>
    <t>Medical Payments</t>
  </si>
  <si>
    <t>Motorcycle Passenger Liability BI</t>
  </si>
  <si>
    <t>Motorcycle Passenger Liability CSL</t>
  </si>
  <si>
    <t>Motorsports Advantage™ + Autocross</t>
  </si>
  <si>
    <t>Motorsports Advantage™ + Autocross + High Performance Driver's Education</t>
  </si>
  <si>
    <t>Motorsports Advantage™ + High Performance Driver's Education</t>
  </si>
  <si>
    <t>Motorsports Advantage™ Endorsement</t>
  </si>
  <si>
    <t>Named Driver Coverage</t>
  </si>
  <si>
    <t>Named Driver Coverage Expert Collector</t>
  </si>
  <si>
    <t>Uninsured Motorists BI Single Limit</t>
  </si>
  <si>
    <t>Uninsured Motorists BI Split Limits</t>
  </si>
  <si>
    <t>Uninsured Motorists PD</t>
  </si>
  <si>
    <t>Vacation Site Liability</t>
  </si>
  <si>
    <t>Vacation Site Medical Payments</t>
  </si>
  <si>
    <t>Value-Added Endorsement</t>
  </si>
  <si>
    <t>Vehicle Under Construction Endorsement</t>
  </si>
  <si>
    <t>Vehicle Under Construction Expert Collector</t>
  </si>
  <si>
    <t>Inland Marine All Perils (344)</t>
  </si>
  <si>
    <t>Coverage Aplicability</t>
  </si>
  <si>
    <t>Misc. Vehicle Coverage</t>
  </si>
  <si>
    <t>Coverage Code</t>
  </si>
  <si>
    <t>IMAP</t>
  </si>
  <si>
    <t>IVANS CODE</t>
  </si>
  <si>
    <t>Markel ACORD Code</t>
  </si>
  <si>
    <t>IM Dec Page Section</t>
  </si>
  <si>
    <t>Scheduled Property</t>
  </si>
  <si>
    <t>Covg. Parent Group</t>
  </si>
  <si>
    <t>Coverage Group</t>
  </si>
  <si>
    <t>IM All Perils</t>
  </si>
  <si>
    <t>Claims Exposure</t>
  </si>
  <si>
    <t>Policy Level Coverages</t>
  </si>
  <si>
    <t>Yes</t>
  </si>
  <si>
    <t>Guranteed Value</t>
  </si>
  <si>
    <t xml:space="preserve">BASE RATES </t>
  </si>
  <si>
    <t>Min Value</t>
  </si>
  <si>
    <t>Max Value</t>
  </si>
  <si>
    <t>Vehicle Deductibles</t>
  </si>
  <si>
    <t>Deductible %</t>
  </si>
  <si>
    <t>Special Deductibles</t>
  </si>
  <si>
    <t xml:space="preserve"> Deductible Type</t>
  </si>
  <si>
    <t>Flood</t>
  </si>
  <si>
    <t>Code:FLOOD</t>
  </si>
  <si>
    <r>
      <rPr>
        <b/>
        <sz val="10"/>
        <rFont val="Arial"/>
        <family val="2"/>
      </rPr>
      <t>NOT CODED</t>
    </r>
    <r>
      <rPr>
        <sz val="10"/>
        <rFont val="Arial"/>
        <family val="2"/>
      </rPr>
      <t>: Client May select an All Perils deductible only OR An All Perils deductible and ONE special deductible. Client may not select more than one special deductible. Only one special deductible selection (either Brush, EQ or Flood) is allowed.</t>
    </r>
  </si>
  <si>
    <t>Vehicle Under Construction (Expert Collector) (405)</t>
  </si>
  <si>
    <t>No</t>
  </si>
  <si>
    <r>
      <t xml:space="preserve">IM Features
</t>
    </r>
    <r>
      <rPr>
        <b/>
        <sz val="10"/>
        <rFont val="Arial"/>
        <family val="2"/>
      </rPr>
      <t xml:space="preserve">(Rate Modifiers) </t>
    </r>
  </si>
  <si>
    <t>Feature</t>
  </si>
  <si>
    <t>Stated Value (244)</t>
  </si>
  <si>
    <t>Feature Code</t>
  </si>
  <si>
    <t>STVAL</t>
  </si>
  <si>
    <t>Feature Group</t>
  </si>
  <si>
    <t>Inland Marine Coverage Item Feature</t>
  </si>
  <si>
    <t>Inland Marine Dec Page Section</t>
  </si>
  <si>
    <t>Credits</t>
  </si>
  <si>
    <t>Feat. Description Group</t>
  </si>
  <si>
    <t>PCS IM Features - Shown w/ Vehicle Coverages</t>
  </si>
  <si>
    <t>Feature Source</t>
  </si>
  <si>
    <t>CoverageItemFeature</t>
  </si>
  <si>
    <t>Applicable Coverages</t>
  </si>
  <si>
    <t>All Perils</t>
  </si>
  <si>
    <t>Apply to All Perils Rate Flag</t>
  </si>
  <si>
    <t>Off</t>
  </si>
  <si>
    <t>Feature Value(s)</t>
  </si>
  <si>
    <t>If selected, the coverage basis for any applicable policy level coverages (All Perils &amp; Preservation Car) and Cherished Salvage Feature will be overidden to show/feed "Stated Value" for any/all vehicles to which this feature has been applied.</t>
  </si>
  <si>
    <t>Policy Maximum Deductible - $250,000 (246)</t>
  </si>
  <si>
    <t>MAX 2</t>
  </si>
  <si>
    <t>Deductible</t>
  </si>
  <si>
    <t>Inland Marine Pseudo-Coverage Feature</t>
  </si>
  <si>
    <t>Optional Policy Coverage</t>
  </si>
  <si>
    <t>PCS IM Features - Shown in Policy Features</t>
  </si>
  <si>
    <t>1 - 10%. Actuarial will help PCS determine which % should be selected on a policy by policy basis.</t>
  </si>
  <si>
    <t>Not Available when Policy Max deductible of $500k or $1M = Selected</t>
  </si>
  <si>
    <t>Policy Maximum Deductible - $500,000 (252)</t>
  </si>
  <si>
    <t>MAX 5</t>
  </si>
  <si>
    <t>Not Available when Policy Max deductible of $250k or $1M = Selected</t>
  </si>
  <si>
    <t>Policy Maximum Deductible - $1,000,000 (253)</t>
  </si>
  <si>
    <t>MAX1M</t>
  </si>
  <si>
    <t>Not Available when Policy Max deductible of $250k or $500k = Selected</t>
  </si>
  <si>
    <t>All Perils - Loss Limitation 90% (247)</t>
  </si>
  <si>
    <t>LOSA1</t>
  </si>
  <si>
    <t xml:space="preserve"> All Perils - Loss Limitation 80% (254)</t>
  </si>
  <si>
    <t>LOSA2</t>
  </si>
  <si>
    <t>All Perils - Loss Limitation 70% (255)</t>
  </si>
  <si>
    <t>LOSA3</t>
  </si>
  <si>
    <t>All Perils - Loss Limitation 60%  (256)</t>
  </si>
  <si>
    <t>LOSA4</t>
  </si>
  <si>
    <t>All Perils - Loss Limitation 50%  (257)</t>
  </si>
  <si>
    <t>LOSA5</t>
  </si>
  <si>
    <t>Flood, Surge &amp; Ground Water - Loss Limitation 90% (250)</t>
  </si>
  <si>
    <t>LOSF1</t>
  </si>
  <si>
    <t>Flood, Surge &amp; Ground Water - Loss Limitation 80% (266)</t>
  </si>
  <si>
    <t>LOSF2</t>
  </si>
  <si>
    <t>Flood, Surge &amp; Ground Water - Loss Limitation 70% (267)</t>
  </si>
  <si>
    <t>LOSF3</t>
  </si>
  <si>
    <t>Flood, Surge &amp; Ground Water - Loss Limitation 60% (268)</t>
  </si>
  <si>
    <t>LOSF4</t>
  </si>
  <si>
    <t>Flood, Surge &amp; Ground Water - Loss Limitation 50% (269)</t>
  </si>
  <si>
    <t>LOSF5</t>
  </si>
  <si>
    <t>Flood, Surge &amp; Ground Water - Loss Limitation 40% (318)</t>
  </si>
  <si>
    <t>Flood, Surge &amp; Ground Water - Loss Limitation 30% (319)</t>
  </si>
  <si>
    <t>Flood, Surge &amp; Ground Water - Loss Limitation 20% (320)</t>
  </si>
  <si>
    <t>Flood, Surge &amp; Ground Water - Loss Limitation 10% (321)</t>
  </si>
  <si>
    <t>Flood, Surge &amp; Ground Water - Loss Limitation 5% (322)</t>
  </si>
  <si>
    <t>Wildfire - Loss Limitation 90% (657)</t>
  </si>
  <si>
    <t>LOSW1</t>
  </si>
  <si>
    <t>Wildfire - Loss Limitation 80% (659)</t>
  </si>
  <si>
    <t>LOSW2</t>
  </si>
  <si>
    <t>Wildfire - Loss Limitation 70% (660)</t>
  </si>
  <si>
    <t>LOSW3</t>
  </si>
  <si>
    <t>Wildfire - Loss Limitation 60% (661)</t>
  </si>
  <si>
    <t>LOSW4</t>
  </si>
  <si>
    <t>Wildfire - Loss Limitation 50% (662)</t>
  </si>
  <si>
    <t>LOSW5</t>
  </si>
  <si>
    <t>Wildfire - Loss Limitation 40% (663)</t>
  </si>
  <si>
    <t>LOSW6</t>
  </si>
  <si>
    <t>Wildfire - Loss Limitation 30% (664)</t>
  </si>
  <si>
    <t>LOSW7</t>
  </si>
  <si>
    <t>Wildfire - Loss Limitation 20% (665)</t>
  </si>
  <si>
    <t>LOSW8</t>
  </si>
  <si>
    <t>Wildfire - Loss Limitation 10% (666)</t>
  </si>
  <si>
    <t>LOSW9</t>
  </si>
  <si>
    <t>Wildfire - Loss Limitation 5% (667)</t>
  </si>
  <si>
    <t>LOSW0</t>
  </si>
  <si>
    <t>Flood, Surge &amp; Ground Water  Exclusion (241)</t>
  </si>
  <si>
    <t>FLDEX</t>
  </si>
  <si>
    <t>N/A</t>
  </si>
  <si>
    <t xml:space="preserve">Optional </t>
  </si>
  <si>
    <t>Serves as a way to totally exclude flood</t>
  </si>
  <si>
    <t>Wildfire  Exclusion (669)</t>
  </si>
  <si>
    <t>WFEX</t>
  </si>
  <si>
    <t>Serves as a way to totally exclude wildfire</t>
  </si>
  <si>
    <t>Cherished Salvage Exclusion (516)</t>
  </si>
  <si>
    <t>EXCS</t>
  </si>
  <si>
    <t>PCS IM Features - Shown in w/Vehicle Coverages</t>
  </si>
  <si>
    <t>Excludes Vehicles from Cherished Salvage Coverage</t>
  </si>
  <si>
    <t xml:space="preserve"> Limited Cherished Salvage Coverage (515)</t>
  </si>
  <si>
    <t>LCHS</t>
  </si>
  <si>
    <t>Limits the Cherished Salvage Coverage</t>
  </si>
  <si>
    <t xml:space="preserve"> Market Value Protection Exclusion (538)</t>
  </si>
  <si>
    <t>MVPE</t>
  </si>
  <si>
    <t>Special Build Coverage - 50% (658)</t>
  </si>
  <si>
    <t>SBC50</t>
  </si>
  <si>
    <t>Optional Item Coverage Details</t>
  </si>
  <si>
    <t xml:space="preserve">Coded Availability - Cherished Salvage Exclusion and Market Value Protection Exclusion must be selected and saved for this surcharge to be selectable. </t>
  </si>
  <si>
    <t>Special Build Coverage - 100% (668)</t>
  </si>
  <si>
    <t>SBC10</t>
  </si>
  <si>
    <t>Loss Limitation - Named Location (671)</t>
  </si>
  <si>
    <t>LOSSN</t>
  </si>
  <si>
    <t>PCS IM Policy Features</t>
  </si>
  <si>
    <t>All perils</t>
  </si>
  <si>
    <t>Manual Entry</t>
  </si>
  <si>
    <t>Not Yet scoped</t>
  </si>
  <si>
    <t>Standard Loss Settlement (717)</t>
  </si>
  <si>
    <t>Inland Marine Coverage Level Feature</t>
  </si>
  <si>
    <t>CoverageLevelFeature</t>
  </si>
  <si>
    <t>Automobilia (Un-Scheduled) - Excl Breakage (VC), Automobilia (Un-Scheduled) - Incl Breakage (VC), Fine Arts (Un-Scheduled) - Excl Breakage (VC), Fine Arts (Un-Scheduled) - Incl Breakage (VC)</t>
  </si>
  <si>
    <t xml:space="preserve">When selected, this factor is applied to the Scheduled Premiums rate per $100 of insured value per item. </t>
  </si>
  <si>
    <t>Available only for the following property classes: Automobilia; Nautical Collectibles; Fine Arts Collections; Miscellaneous Collectibles; Jewelry and Watch Collections; Music Memorabilia; Postage Stamp Collections; Rare and Current Coin Collections.</t>
  </si>
  <si>
    <t>Territorial Limitation</t>
  </si>
  <si>
    <t>TLIM</t>
  </si>
  <si>
    <t>0% - Feature is used to print on the Dec the excluded territory. Does not have an applicable rate and should show NO rate on the Dec. just the feature description.</t>
  </si>
  <si>
    <t>Manually applied</t>
  </si>
  <si>
    <t>Eventually we want the user to be able to select any country to exclude. Not yet scoped</t>
  </si>
  <si>
    <r>
      <t xml:space="preserve">IM Features
</t>
    </r>
    <r>
      <rPr>
        <b/>
        <sz val="10"/>
        <rFont val="Arial"/>
        <family val="2"/>
      </rPr>
      <t>(Discounts)</t>
    </r>
    <r>
      <rPr>
        <b/>
        <u/>
        <sz val="14"/>
        <rFont val="Arial"/>
        <family val="2"/>
      </rPr>
      <t xml:space="preserve">
</t>
    </r>
  </si>
  <si>
    <t>Collector Experience - Level 1 (270)</t>
  </si>
  <si>
    <t>CLEX1</t>
  </si>
  <si>
    <t>Collector Experience - Level 2 (271)</t>
  </si>
  <si>
    <t>CLEX2</t>
  </si>
  <si>
    <t>Collector Experience - Level 3 (272)</t>
  </si>
  <si>
    <t>CLEX3</t>
  </si>
  <si>
    <t>Loss Experience - Level 1 (273)</t>
  </si>
  <si>
    <t>LEXC1</t>
  </si>
  <si>
    <t>Loss Experience - Level 2 (274)</t>
  </si>
  <si>
    <t>LEXC2</t>
  </si>
  <si>
    <t>Loss Experience - Level 3 (275)</t>
  </si>
  <si>
    <t>LEXC3</t>
  </si>
  <si>
    <t>Travel/Transit - Level 1 (276)</t>
  </si>
  <si>
    <t>TRVC1</t>
  </si>
  <si>
    <t>On</t>
  </si>
  <si>
    <t>Travel/Transit - Level 2 (277)</t>
  </si>
  <si>
    <t>TRVC2</t>
  </si>
  <si>
    <t>Travel/Transit - Level 3 (278)</t>
  </si>
  <si>
    <t>TRVC3</t>
  </si>
  <si>
    <t>Building Security - Level 1 (279)</t>
  </si>
  <si>
    <t>BLSC1</t>
  </si>
  <si>
    <t>Min -21% Max -30%</t>
  </si>
  <si>
    <t>Discount refers to the vehicle's storage</t>
  </si>
  <si>
    <t>Building Security - Level 2 (280)</t>
  </si>
  <si>
    <t>BLSC2</t>
  </si>
  <si>
    <t>Min -11% Max -20%</t>
  </si>
  <si>
    <t>Building Security - Level 3 (281)</t>
  </si>
  <si>
    <t>BLSC3</t>
  </si>
  <si>
    <t>Min - 1% Max -10%</t>
  </si>
  <si>
    <t>Location/Occupancy - Level 1 (282)</t>
  </si>
  <si>
    <t>LOCC1</t>
  </si>
  <si>
    <t>Location/Occupancy - Level 2 (283)</t>
  </si>
  <si>
    <t>LOCC2</t>
  </si>
  <si>
    <t>Location/Occupancy - Level 3 (284)</t>
  </si>
  <si>
    <t>LOCC3</t>
  </si>
  <si>
    <t>Composition - Level 1 (285)</t>
  </si>
  <si>
    <t>CPUC1</t>
  </si>
  <si>
    <t>Composition - Level 2 (286)</t>
  </si>
  <si>
    <t>CPUC2</t>
  </si>
  <si>
    <t>Composition - Level 3 (287)</t>
  </si>
  <si>
    <t>CPUC3</t>
  </si>
  <si>
    <t>Protective Devices or Systems (538)</t>
  </si>
  <si>
    <t>PRDEV</t>
  </si>
  <si>
    <t>Discount refers to the vehicle</t>
  </si>
  <si>
    <t>Multiple Policy Credit (310)</t>
  </si>
  <si>
    <t>MULTI</t>
  </si>
  <si>
    <t>PCS IM Features - Shown w/ Policy Features</t>
  </si>
  <si>
    <r>
      <t xml:space="preserve">IM Features
</t>
    </r>
    <r>
      <rPr>
        <b/>
        <sz val="10"/>
        <rFont val="Arial"/>
        <family val="2"/>
      </rPr>
      <t>(Surcharges)</t>
    </r>
    <r>
      <rPr>
        <b/>
        <u/>
        <sz val="14"/>
        <rFont val="Arial"/>
        <family val="2"/>
      </rPr>
      <t xml:space="preserve">
</t>
    </r>
  </si>
  <si>
    <t>**Dec Print is suppressed for all Debits. Coding is set to suppress feature print when IM feature is &gt;0%</t>
  </si>
  <si>
    <t>Collector Experience - Level 1D (289)</t>
  </si>
  <si>
    <t>CEXD1</t>
  </si>
  <si>
    <t>Collector Experience - Level 2D (290)</t>
  </si>
  <si>
    <t>CEXD2</t>
  </si>
  <si>
    <t>Collector Experience - Level 3D (291)</t>
  </si>
  <si>
    <t>CEXD3</t>
  </si>
  <si>
    <t>Loss Experience - Level D1 (292)</t>
  </si>
  <si>
    <t>LEXD1</t>
  </si>
  <si>
    <t>Loss Experience - Level D2 (293)</t>
  </si>
  <si>
    <t>LEXD2</t>
  </si>
  <si>
    <t>Loss Experience - Level D3 (294)</t>
  </si>
  <si>
    <t>LEXD3</t>
  </si>
  <si>
    <t>Travel/Transit - Level D1 (295)</t>
  </si>
  <si>
    <t>TRVD1</t>
  </si>
  <si>
    <t>Travel/Transit - Level D2 (296)</t>
  </si>
  <si>
    <t>TRVD2</t>
  </si>
  <si>
    <t>Travel/Transit - Level D3 (297)</t>
  </si>
  <si>
    <t>TRVD3</t>
  </si>
  <si>
    <t>Building Security - Level D1 (298)</t>
  </si>
  <si>
    <t>BLSD1</t>
  </si>
  <si>
    <t>Min 31% Max 50%</t>
  </si>
  <si>
    <t>Surcharge refers to the vehicle's storage</t>
  </si>
  <si>
    <t>Building Security - Level D2 (299)</t>
  </si>
  <si>
    <t>BLSD2</t>
  </si>
  <si>
    <t>Min 16% Max 30%</t>
  </si>
  <si>
    <t>Building Security - Level D3 (300)</t>
  </si>
  <si>
    <t>BLSD3</t>
  </si>
  <si>
    <t>Min 1% Max 15%</t>
  </si>
  <si>
    <t>Location/Occupancy - Level D1 (301)</t>
  </si>
  <si>
    <t>LOCD1</t>
  </si>
  <si>
    <t>Location/Occupancy - Level D2 (302)</t>
  </si>
  <si>
    <t>LOCD2</t>
  </si>
  <si>
    <t>Location/Occupancy - Level D3 (303)</t>
  </si>
  <si>
    <t>LOCD3</t>
  </si>
  <si>
    <t>Min  1% Max 15%</t>
  </si>
  <si>
    <t>Usage - Level 1D (304)</t>
  </si>
  <si>
    <t>COMD1</t>
  </si>
  <si>
    <t>Usage - Level 2D (305)</t>
  </si>
  <si>
    <t>COMD2</t>
  </si>
  <si>
    <t>Usage - Level 3D (306)</t>
  </si>
  <si>
    <t>COMD3</t>
  </si>
  <si>
    <t>Exposure/Natural Hazards - Level D1 (307)</t>
  </si>
  <si>
    <t>EXND1</t>
  </si>
  <si>
    <t>Exposure/Natural Hazards - Level D2 (308)</t>
  </si>
  <si>
    <t>EXND2</t>
  </si>
  <si>
    <t>Exposure/Natural Hazards  - Level D3 (309)</t>
  </si>
  <si>
    <t>EXND3</t>
  </si>
  <si>
    <t>Factor Variable 4</t>
  </si>
  <si>
    <t>Logical Operator 4</t>
  </si>
  <si>
    <t>Values 4</t>
  </si>
  <si>
    <t>Trailer</t>
  </si>
  <si>
    <t>Item Value</t>
  </si>
  <si>
    <t xml:space="preserve"> 0 - 9999</t>
  </si>
  <si>
    <t xml:space="preserve"> 10000 - 19999</t>
  </si>
  <si>
    <t xml:space="preserve"> 20000 - 29999</t>
  </si>
  <si>
    <t xml:space="preserve"> 30000 - 39999</t>
  </si>
  <si>
    <t xml:space="preserve"> 40000 - 49999</t>
  </si>
  <si>
    <t xml:space="preserve"> 50000 - 99999</t>
  </si>
  <si>
    <t xml:space="preserve"> 100000 - 149999</t>
  </si>
  <si>
    <t xml:space="preserve"> 150000 - 199999</t>
  </si>
  <si>
    <t xml:space="preserve"> 200000 - 999999999</t>
  </si>
  <si>
    <t>Deductible MSPS</t>
  </si>
  <si>
    <t>MotorSports Special Rated</t>
  </si>
  <si>
    <t>0</t>
  </si>
  <si>
    <t xml:space="preserve"> 0 - 24999</t>
  </si>
  <si>
    <t xml:space="preserve"> 150000 - 249999</t>
  </si>
  <si>
    <t xml:space="preserve"> 25000 - 49999</t>
  </si>
  <si>
    <t xml:space="preserve"> 50000 - 149999</t>
  </si>
  <si>
    <t xml:space="preserve"> 250000 - 999999999</t>
  </si>
  <si>
    <t>Deductible Trailer</t>
  </si>
  <si>
    <t>1000</t>
  </si>
  <si>
    <t xml:space="preserve"> 25000 - 999999999</t>
  </si>
  <si>
    <t>10000</t>
  </si>
  <si>
    <t>100000</t>
  </si>
  <si>
    <t>1500</t>
  </si>
  <si>
    <t>20000</t>
  </si>
  <si>
    <t>2500</t>
  </si>
  <si>
    <t>500</t>
  </si>
  <si>
    <t>5000</t>
  </si>
  <si>
    <t>50000</t>
  </si>
  <si>
    <t xml:space="preserve"> 1946 - 1949</t>
  </si>
  <si>
    <t xml:space="preserve"> 1950 - 1955</t>
  </si>
  <si>
    <t xml:space="preserve"> 1956 - 1959</t>
  </si>
  <si>
    <t xml:space="preserve"> 1960 - 1968</t>
  </si>
  <si>
    <t xml:space="preserve"> 1969 - 1971</t>
  </si>
  <si>
    <t xml:space="preserve"> 1972 - 1973</t>
  </si>
  <si>
    <t xml:space="preserve"> 1974 - 1976</t>
  </si>
  <si>
    <t xml:space="preserve"> 1977 - 1979</t>
  </si>
  <si>
    <t xml:space="preserve"> 1980 - 1986</t>
  </si>
  <si>
    <t xml:space="preserve"> 1987 - 1990</t>
  </si>
  <si>
    <t xml:space="preserve"> 1991 - 1995</t>
  </si>
  <si>
    <t xml:space="preserve"> 1996 - 2000</t>
  </si>
  <si>
    <t xml:space="preserve"> 2001 - 2005</t>
  </si>
  <si>
    <t xml:space="preserve"> 2006 - 2010</t>
  </si>
  <si>
    <t xml:space="preserve"> 2011 - 9999</t>
  </si>
  <si>
    <t>Overnight Stays</t>
  </si>
  <si>
    <t xml:space="preserve"> 0 - 30</t>
  </si>
  <si>
    <t xml:space="preserve"> 31 - 45</t>
  </si>
  <si>
    <t xml:space="preserve"> 46 - 60</t>
  </si>
  <si>
    <t xml:space="preserve"> 61 - 999999999</t>
  </si>
  <si>
    <t>Vehicle Length</t>
  </si>
  <si>
    <t xml:space="preserve"> 0 - 12</t>
  </si>
  <si>
    <t xml:space="preserve"> 38 - 999999999</t>
  </si>
  <si>
    <t>InterpolatedValueBand</t>
  </si>
  <si>
    <t>Interpolated Value Band</t>
  </si>
  <si>
    <t>Excess Addl Value Factor</t>
  </si>
  <si>
    <t>GREATER THAN OR EQUAL TO</t>
  </si>
  <si>
    <t>Lowrider Traits</t>
  </si>
  <si>
    <t>Factor Variable 5</t>
  </si>
  <si>
    <t>Logical Operator 5</t>
  </si>
  <si>
    <t>Values 5</t>
  </si>
  <si>
    <t>Garage Type</t>
  </si>
  <si>
    <t>Car Condo</t>
  </si>
  <si>
    <t>Carport-Roof and 3 sides</t>
  </si>
  <si>
    <t>Carport-Roof and less than 3 sides</t>
  </si>
  <si>
    <t>Driveway</t>
  </si>
  <si>
    <t>Other enclosed structure</t>
  </si>
  <si>
    <t>Other unsecured location</t>
  </si>
  <si>
    <t>Parking Lot</t>
  </si>
  <si>
    <t>Private Garage/Barn/Pole Building</t>
  </si>
  <si>
    <t>Public or Private Parking Deck / Structure</t>
  </si>
  <si>
    <t>Rental Storage Unit</t>
  </si>
  <si>
    <t>Deductible Full Glass</t>
  </si>
  <si>
    <t>Full Glass</t>
  </si>
  <si>
    <t>250</t>
  </si>
  <si>
    <t>Storage</t>
  </si>
  <si>
    <t>Deductible Availability</t>
  </si>
  <si>
    <t>2. Vehicle Deductible Factors</t>
  </si>
  <si>
    <t>Determine any applicable coverage deductible factor based upon vehicle model year and value.</t>
  </si>
  <si>
    <t>(-) indicates deductible is not available.</t>
  </si>
  <si>
    <t>(*) indicates deductible option in this value group is not available for new business.</t>
  </si>
  <si>
    <t xml:space="preserve">A. Deductible Group 1 </t>
  </si>
  <si>
    <t>Group 1 includes: All vehicles, including Camper Trailer risks but excluding other trailer risks</t>
  </si>
  <si>
    <t>All vehicles with model years 1986 and prior, excluding trailer risks.</t>
  </si>
  <si>
    <t>i. Other Than Collision</t>
  </si>
  <si>
    <t>Value $0-$9,999</t>
  </si>
  <si>
    <t>Value $10,000-$19,999</t>
  </si>
  <si>
    <t>Value $20,000-$29,999</t>
  </si>
  <si>
    <t>Value $30,000-$39,999</t>
  </si>
  <si>
    <t>Value $40,000-$49,999</t>
  </si>
  <si>
    <t>Value $50,000-$99,999</t>
  </si>
  <si>
    <t>Value $100,000-$149,999</t>
  </si>
  <si>
    <t>Value $150,000-$199,999</t>
  </si>
  <si>
    <t>Value &gt;= $200,000</t>
  </si>
  <si>
    <t>750*</t>
  </si>
  <si>
    <t>-</t>
  </si>
  <si>
    <t>ii. Other Than Collision – Full Glass</t>
  </si>
  <si>
    <t>2. Vehicle Deductible Factors (cont’d)</t>
  </si>
  <si>
    <t>A. Deductible Group 1 (cont’d)</t>
  </si>
  <si>
    <t>iii. Collision</t>
  </si>
  <si>
    <t xml:space="preserve">B. Deductible Group 2 </t>
  </si>
  <si>
    <t xml:space="preserve">Group 2 includes: </t>
  </si>
  <si>
    <t>All vehicles with model years 1987 and newer, excluding trailer risks.</t>
  </si>
  <si>
    <t>B. Deductible Group 2 (cont’d)</t>
  </si>
  <si>
    <t>C. Deductible Group 3</t>
  </si>
  <si>
    <t>Group 3 includes:</t>
  </si>
  <si>
    <t>Motorsport and Pro-Street vehicles without Liability.</t>
  </si>
  <si>
    <t>Other Than Collision and Limited Trailer and Paddock Collision</t>
  </si>
  <si>
    <t>Value $0-$24,999</t>
  </si>
  <si>
    <t>Value $25,000-$49,999</t>
  </si>
  <si>
    <t>Value $50,000-$149,999</t>
  </si>
  <si>
    <t>Value $150,000-$249,999</t>
  </si>
  <si>
    <t>Value &gt;= $250,000</t>
  </si>
  <si>
    <t>D. Deductible Group 4</t>
  </si>
  <si>
    <t>Group 4 includes:</t>
  </si>
  <si>
    <t>All trailer risks.</t>
  </si>
  <si>
    <t>Other Than Collision and Collision</t>
  </si>
  <si>
    <t>Value $25,000+</t>
  </si>
  <si>
    <t>Foreign Coverage</t>
  </si>
  <si>
    <t>2 * (# of months coverage afforded / 12)</t>
  </si>
  <si>
    <t>$250 per vehicle. NO Charge for PCS</t>
  </si>
  <si>
    <t>Must indicate which vehicle is carrying coverage</t>
  </si>
  <si>
    <t>Must capture date range for coverage.Prints premium as "INCL" for PCS clients who select the coverage.</t>
  </si>
  <si>
    <t>Business Use</t>
  </si>
  <si>
    <t>Charge 20% of the vehicle's annual premium</t>
  </si>
  <si>
    <t>Need to capture insured, applicable vehicle, dates, and event.</t>
  </si>
  <si>
    <t>AUTOMOBILIA (Un-Scheduled) - INCL. BREAKAGE</t>
  </si>
  <si>
    <t>Applicability</t>
  </si>
  <si>
    <t>Risk Types</t>
  </si>
  <si>
    <t>{Auto | Motorcycle | Pickup | Scooter | Bicycle | Moped | Replica | Tractor | Semi | Military | Fire Truck | Trailer}</t>
  </si>
  <si>
    <t>Standard</t>
  </si>
  <si>
    <t>None</t>
  </si>
  <si>
    <t>Total Limit</t>
  </si>
  <si>
    <t>Item Max Limit</t>
  </si>
  <si>
    <t>x</t>
  </si>
  <si>
    <t>AUTOMOBILIA (Un-Scheduled) - EXCL. BREAKAGE</t>
  </si>
  <si>
    <t>SPARE PARTS (FOR YOUR CAR)</t>
  </si>
  <si>
    <t>Basic Limit of $750 (std) or $2,500 (PCS) is required on all Liability policies.</t>
  </si>
  <si>
    <t>Increased limits beyond basic limits is optional.
Increased limit field on desktop is a free-form field to enter any value between the base and max.
Web availability is hard-coded to make drop-down choices of $1500, $2500, and $5000 available.</t>
  </si>
  <si>
    <t>Standard $750 = Included ($0)
PCS $2500 - Included ($0)</t>
  </si>
  <si>
    <t>Increased limits is charged per $100 of coverage purchased above the basic limit.</t>
  </si>
  <si>
    <t>Although this is programmed as a policy level coverage, the total limit of coverage is provided for each vehicle.</t>
  </si>
  <si>
    <t>Standard Basic Limit</t>
  </si>
  <si>
    <t>Standard Max Increased Limit</t>
  </si>
  <si>
    <t>Standard Rate</t>
  </si>
  <si>
    <t>PCS Basic Limit</t>
  </si>
  <si>
    <t>PCS Max Increased Limit</t>
  </si>
  <si>
    <t>PCS Rate</t>
  </si>
  <si>
    <t>SPARE PARTS (ANY COLLECTOR VEHICLE)</t>
  </si>
  <si>
    <t>SPARE PARTS (ANY COLLECTOR VEHICLE) (VC)</t>
  </si>
  <si>
    <r>
      <t xml:space="preserve">AUTOMOTIVE TOOLS </t>
    </r>
    <r>
      <rPr>
        <b/>
        <u/>
        <sz val="12"/>
        <rFont val="Arial"/>
        <family val="2"/>
      </rPr>
      <t xml:space="preserve">(Un-Scheduled) </t>
    </r>
  </si>
  <si>
    <t>AUTOMOTIVE TOOLS (Un-Scheduled) - VC</t>
  </si>
  <si>
    <r>
      <t xml:space="preserve">FINE ARTS </t>
    </r>
    <r>
      <rPr>
        <b/>
        <u/>
        <sz val="12"/>
        <rFont val="Arial"/>
        <family val="2"/>
      </rPr>
      <t>(Un-Scheduled)  INCL. BREAKAGE</t>
    </r>
  </si>
  <si>
    <t>{Auto | Motorcycle | Pickup | Scooter | Bicycle | Moped | Replica | Tractor | Trailer}</t>
  </si>
  <si>
    <t>Not Allowed: PCS Only</t>
  </si>
  <si>
    <r>
      <t xml:space="preserve">FINE ARTS </t>
    </r>
    <r>
      <rPr>
        <b/>
        <u/>
        <sz val="12"/>
        <rFont val="Arial"/>
        <family val="2"/>
      </rPr>
      <t>(Un-Scheduled)  EXCL. BREAKAGE</t>
    </r>
  </si>
  <si>
    <r>
      <t xml:space="preserve">Automobilia </t>
    </r>
    <r>
      <rPr>
        <b/>
        <u/>
        <sz val="12"/>
        <rFont val="Arial"/>
        <family val="2"/>
      </rPr>
      <t>(Un-Scheduled)  INCL. BREAKAGE (PCS)</t>
    </r>
  </si>
  <si>
    <r>
      <t xml:space="preserve">Automobilia </t>
    </r>
    <r>
      <rPr>
        <b/>
        <u/>
        <sz val="12"/>
        <rFont val="Arial"/>
        <family val="2"/>
      </rPr>
      <t>(Un-Scheduled)  EXCL. BREAKAGE (PCS)</t>
    </r>
  </si>
  <si>
    <t>COLLECTIBLE PERSONAL PROPERTY - SCHEDULED</t>
  </si>
  <si>
    <t>Coverage Type Info</t>
  </si>
  <si>
    <t>Cov Basis</t>
  </si>
  <si>
    <t>Add'l Desc</t>
  </si>
  <si>
    <t>Sub-Sequ</t>
  </si>
  <si>
    <t>Min Prem</t>
  </si>
  <si>
    <t>Calc in Code</t>
  </si>
  <si>
    <t xml:space="preserve">Direct Web </t>
  </si>
  <si>
    <t>Agt Web</t>
  </si>
  <si>
    <t>NULL</t>
  </si>
  <si>
    <t>Not available on Direct or Agent Web</t>
  </si>
  <si>
    <t>Class Type Info</t>
  </si>
  <si>
    <t>Class Type</t>
  </si>
  <si>
    <t>BLANK
DATA
 COLUMN</t>
  </si>
  <si>
    <t>BLANK  DATA COLUMN</t>
  </si>
  <si>
    <t>Max Std Class Amt</t>
  </si>
  <si>
    <t>Max PCS Class Amt</t>
  </si>
  <si>
    <t>Class Default</t>
  </si>
  <si>
    <t>Class Sequ</t>
  </si>
  <si>
    <t>Class Direct Web</t>
  </si>
  <si>
    <t>Class Agt Web</t>
  </si>
  <si>
    <t>Excl Brkg</t>
  </si>
  <si>
    <t>Excl EQ</t>
  </si>
  <si>
    <t>Ded</t>
  </si>
  <si>
    <t>Ded Sequ</t>
  </si>
  <si>
    <t>Min. Item Prem</t>
  </si>
  <si>
    <t>Max Item Value</t>
  </si>
  <si>
    <t>Std Rate</t>
  </si>
  <si>
    <t>Default Ded</t>
  </si>
  <si>
    <t>Automobilia (Scheduled) Incl Breakage</t>
  </si>
  <si>
    <t>Automobilia (Scheduled) Excl Breakage</t>
  </si>
  <si>
    <t>Spare Parts (Scheduled)</t>
  </si>
  <si>
    <t>Automotive Tools (Scheduled)</t>
  </si>
  <si>
    <t>Miscellaneous Collectibles (Scheduled) Incl Breakage</t>
  </si>
  <si>
    <t>Miscellaneous Collectibles (Scheduled) Excl Breakage</t>
  </si>
  <si>
    <t>PCS ONLY</t>
  </si>
  <si>
    <t>Fine Arts (Scheduled) Incl Breakage</t>
  </si>
  <si>
    <t>Fine Arts (Scheduled) Excl Breakage</t>
  </si>
  <si>
    <t>Automobilia (Scheduled) Incl Breakage (PCS)</t>
  </si>
  <si>
    <t>Automobilia (Scheduled) Excl Breakage (PCS)</t>
  </si>
  <si>
    <t>Fine Arts (Scheduled) Incl Breakage (PCS)</t>
  </si>
  <si>
    <t>Fine Arts (Scheduled) Excl Breakage (PCS)</t>
  </si>
  <si>
    <t>Miscellaneous Collectibles (Scheduled) Incl Breakage (PCS)</t>
  </si>
  <si>
    <t>Miscellaneous Collectibles (Scheduled) Excl Breakage (PCS)</t>
  </si>
  <si>
    <t>Spare Parts (Scheduled) (PCS)</t>
  </si>
  <si>
    <t>Automotive Tools (Scheduled) (PCS)</t>
  </si>
  <si>
    <t>Feature Groups</t>
  </si>
  <si>
    <t>* Features not available on Direct or Agent Web</t>
  </si>
  <si>
    <t>Group Name</t>
  </si>
  <si>
    <t>Parent Group</t>
  </si>
  <si>
    <t xml:space="preserve">Group Availability </t>
  </si>
  <si>
    <t xml:space="preserve">
Loss Control Measure Credits</t>
  </si>
  <si>
    <t>Policy Value must be &gt;= 500,000
OR
Policy of 6+ vehicles with &gt;=250,000 TIV</t>
  </si>
  <si>
    <t>Security</t>
  </si>
  <si>
    <t>IRPM</t>
  </si>
  <si>
    <t>See parent</t>
  </si>
  <si>
    <t>Dispersement of Risk</t>
  </si>
  <si>
    <r>
      <t>LCMC - Security -</t>
    </r>
    <r>
      <rPr>
        <b/>
        <i/>
        <sz val="10"/>
        <rFont val="Arial"/>
        <family val="2"/>
      </rPr>
      <t xml:space="preserve"> Apply to Other than Collision and Collision</t>
    </r>
  </si>
  <si>
    <t>This feature should not include LTP per actuarial because we are unable to target 50% LTP without also targeting Motorsports LTP</t>
  </si>
  <si>
    <t>Central Station Fire And Burglar Alarm (21)</t>
  </si>
  <si>
    <t>Credit available if there is a central reporting fire/burglar alarm</t>
  </si>
  <si>
    <t>Local Fire Protection &amp; Burglar Alarms (370</t>
  </si>
  <si>
    <t>A credit is available if there is a fire extinguisher, and local fire and burglar alarms at the garage where the insured vehicles are kept.</t>
  </si>
  <si>
    <t>Automatic Sprinklers (20)</t>
  </si>
  <si>
    <t>Credit available if there are automatic sprinklers installed @ the garaging location</t>
  </si>
  <si>
    <t>Watchdog or Watchman on Premises (72)</t>
  </si>
  <si>
    <t>Credit available if there is a watchdog or watchman on premises 24 hrs / day</t>
  </si>
  <si>
    <t>Padlock or Deadbolt (47)</t>
  </si>
  <si>
    <t>Credit Available if padlocks or deadbolts are present at the garage where the insured vehicles are kept.</t>
  </si>
  <si>
    <r>
      <t>LCMC - Storage -</t>
    </r>
    <r>
      <rPr>
        <b/>
        <i/>
        <sz val="10"/>
        <rFont val="Arial"/>
        <family val="2"/>
      </rPr>
      <t xml:space="preserve"> Apply to Other than Collision and Collision</t>
    </r>
  </si>
  <si>
    <t>Fire Resistive  (31)</t>
  </si>
  <si>
    <t>Credit available for buildings whose walls, floors &amp; roof are constructed of masonry materials that are listed as fire resistive for 2 hours or more.</t>
  </si>
  <si>
    <t>Modified Fire Resistive (43)</t>
  </si>
  <si>
    <t>Credit available for buildings whose walls, floors &amp; roof are constructed of masonry materials that are listed as fire resistive for 1 - 2 hours.</t>
  </si>
  <si>
    <t>Masonry Non Combustible (41)</t>
  </si>
  <si>
    <t>Credit available for buildings with exterior walls of fire resistive construction, and with non combustible or slow burning floors &amp; ceiling</t>
  </si>
  <si>
    <t>Joisted Masonry (34)</t>
  </si>
  <si>
    <t>Credit available for buildings with exterior walls of fire resistive construction, and with combustible floors &amp; ceiling</t>
  </si>
  <si>
    <t>Non-Combustible (45)</t>
  </si>
  <si>
    <t xml:space="preserve">          Credit available for buildings with with exterior walls, floors, and roof of non-combustible or slow burning material supported by non-combustible or slow burning supports.</t>
  </si>
  <si>
    <r>
      <t>LCMC - Dispersement of Risk -</t>
    </r>
    <r>
      <rPr>
        <b/>
        <i/>
        <sz val="10"/>
        <rFont val="Arial"/>
        <family val="2"/>
      </rPr>
      <t xml:space="preserve"> Apply to Other than Collision and Collision</t>
    </r>
  </si>
  <si>
    <t>2 Vehicle Risk Dispersement (59)</t>
  </si>
  <si>
    <t>Credit available if there are 2 garaging locations, 2+ vehicles w/ minimum value of $250,000 per location</t>
  </si>
  <si>
    <t>3 Vehicle Risk Dispersement (60)</t>
  </si>
  <si>
    <t>Credit available if there are 3 garaging locations, 3+ vehicles w/ minimum value of $250,000 per location</t>
  </si>
  <si>
    <t>4 Vehicle Risk Dispersement (58)</t>
  </si>
  <si>
    <t>Credit available if there are 4+ garaging locations, 4+ vehicles w/ minimum value of $250,000 per location</t>
  </si>
  <si>
    <t>Features (Rate Pages)</t>
  </si>
  <si>
    <t>Experience Rating Plan (27) (28)</t>
  </si>
  <si>
    <t>10% (27) or 20% (28)</t>
  </si>
  <si>
    <t>CoverageFeature</t>
  </si>
  <si>
    <t>Affected Coverages</t>
  </si>
  <si>
    <t>Comp, Collision (applies to LTP but LTP not selected in the affected coverages screen, LTP will get this factor as part fo it's hypothetical collision calculation OR by coding to apply it to the special LTP base rate when vehicle is special rated MS/PS)</t>
  </si>
  <si>
    <t xml:space="preserve">Credit available if the policy has 6+ vehicles valued &gt;= $250k, or a total policy value &gt; $500k.10% Credit available if the customer has had a 16-30% loss ratio over the last 3 years, 20% if loss ratio 0-15%.  </t>
  </si>
  <si>
    <t>Features (Rules Pages)</t>
  </si>
  <si>
    <t>Anti Theft Device Discount (38)</t>
  </si>
  <si>
    <t>Other than Collision</t>
  </si>
  <si>
    <t>Credit available if the vehicle is equipped with a LoJack or some other type of homing device which allows the vehicle to be tracked.</t>
  </si>
  <si>
    <t>Electronic Homing</t>
  </si>
  <si>
    <t>Motor Vehicle Accident Prevention Course (81)</t>
  </si>
  <si>
    <t>LKFeatureDescription</t>
  </si>
  <si>
    <t>Title</t>
  </si>
  <si>
    <t>Mature Operator Acc. Prevention Course</t>
  </si>
  <si>
    <t>Liability (BI &amp; PD, or CSL) MCPL, Med Pay, Collision</t>
  </si>
  <si>
    <t>Credit available if the customer is over the age of 55.</t>
  </si>
  <si>
    <t>Discount does not apply if course was taken as punishment.  Course must have been completed in the last 36 months.  Discount only gets applied once no matter how many drivers have completed the course.  Applies only to vehicle principally operated by the insured with the course completion certificate.</t>
  </si>
  <si>
    <t>Club Mass Marketing Discount (168)</t>
  </si>
  <si>
    <t>Feature Value</t>
  </si>
  <si>
    <t>Feature Application Level</t>
  </si>
  <si>
    <t>Affected Coverage(s)</t>
  </si>
  <si>
    <t>Liability BI, Liability PD, Liability CSL, Medical Payments, OTC, Collision, LTP, MCPL BI, MCPL CSL</t>
  </si>
  <si>
    <t>Credit available if insured is a member of one of the specified clubs.  Club must be selected in DriveTrain.</t>
  </si>
  <si>
    <t>Claim History Surcharge</t>
  </si>
  <si>
    <t>10% or 20%</t>
  </si>
  <si>
    <t>BI, PD, Medical, NoFault, Collision &amp; Other than Collision</t>
  </si>
  <si>
    <t>Required surcharge if the insured has two or more at fault accidents, or one at fault accident that resulted in death or injury. Accidents must have involved the insured classic vehicle.</t>
  </si>
  <si>
    <t>For a single vehicle policy, charge 20% surcharge.  For a multi vehicle policy, charge a 10% surcharge for each vehicle on the policy.</t>
  </si>
  <si>
    <t>Driver Rating Factors</t>
  </si>
  <si>
    <t>Age of Named Insured</t>
  </si>
  <si>
    <t xml:space="preserve">Rating Factor </t>
  </si>
  <si>
    <t xml:space="preserve">Feature PK </t>
  </si>
  <si>
    <t>45-49</t>
  </si>
  <si>
    <t>40-44</t>
  </si>
  <si>
    <t>35-39</t>
  </si>
  <si>
    <t>30-34</t>
  </si>
  <si>
    <t>UM BI Split, UM BI Single</t>
  </si>
  <si>
    <t>Automatically applies if the named insured fits into one of the designated age brackets</t>
  </si>
  <si>
    <t>Prior Specilaty Carrier New Policy Discount (188)</t>
  </si>
  <si>
    <t>ProgramVersionFeature</t>
  </si>
  <si>
    <t>Applies to entire Policy Premium</t>
  </si>
  <si>
    <t xml:space="preserve">A discount of $20 is available for the first policy term (new business only) for any applicant continuously insured for at least one year with a specialty collector vehicle carrier immediately prior to applying for coverage with us.
</t>
  </si>
  <si>
    <t xml:space="preserve">The discount is automatically applied when 1) intent to transfer is selected and 2) the prior carrier is a specialty carrier as identified in the lookup table. However, if ITA flag is selected on the desktop after initial quote, the discount will also be applied, regardless of current carrier type (specialty or standard). </t>
  </si>
  <si>
    <t>Cherished Salvage™ (352)</t>
  </si>
  <si>
    <t>Use Vehicle Factor Logic</t>
  </si>
  <si>
    <t>Flag Selected</t>
  </si>
  <si>
    <t>Factor Rounding Sequence</t>
  </si>
  <si>
    <t>FeatureType</t>
  </si>
  <si>
    <r>
      <rPr>
        <b/>
        <sz val="10"/>
        <rFont val="Arial"/>
        <family val="2"/>
      </rPr>
      <t xml:space="preserve">Comp, Collision </t>
    </r>
    <r>
      <rPr>
        <sz val="10"/>
        <rFont val="Arial"/>
        <family val="2"/>
      </rPr>
      <t>(applies to LTP but LTP not selected in the affected coverages screen, LTP will get this factor as part fo it's hypothetical collision calculation OR by coding to apply it to the special LTP base rate when vehicle is special rated MS/PS)</t>
    </r>
  </si>
  <si>
    <t>Applied to Comp, Collision/LTP Base rate. Must be applied with the first sequence order of factors for these coverages.</t>
  </si>
  <si>
    <t>Agency Portfolio Discount (423)</t>
  </si>
  <si>
    <t>First Term</t>
  </si>
  <si>
    <t>Liability BI, Liability PD, Liability CSL, Medical Payments, OTC, Collision, LTP, MCPL BI, MCPL CSL, UMBI Split, UMBI Single, UM PD</t>
  </si>
  <si>
    <t>This would be a diminishing discount, applicable to the first two policy terms only, with the first term receiving a 10% discount and the second term receiving a 5% discount.</t>
  </si>
  <si>
    <t>Agency Portfolio Discount (424)</t>
  </si>
  <si>
    <t>Second Term</t>
  </si>
  <si>
    <t>Waiver of Subrogation (377</t>
  </si>
  <si>
    <t>CoverageItemRateFeature</t>
  </si>
  <si>
    <r>
      <rPr>
        <b/>
        <sz val="10"/>
        <rFont val="Arial"/>
        <family val="2"/>
      </rPr>
      <t xml:space="preserve">Comp, Collision </t>
    </r>
    <r>
      <rPr>
        <sz val="10"/>
        <rFont val="Arial"/>
        <family val="2"/>
      </rPr>
      <t>(applies to LTP but LTP not selected in the affected coverages screen, LTP will get this factor as part of it's hypothetical collision calculation OR by coding to apply it to the special LTP base rate when vehicle is special rated MS/PS)</t>
    </r>
  </si>
  <si>
    <t>Special Build Coverage - 50% (711)</t>
  </si>
  <si>
    <t>SBA50</t>
  </si>
  <si>
    <t>Standard Policy - Features</t>
  </si>
  <si>
    <t>Comp, Collision, LTP</t>
  </si>
  <si>
    <t>Not available with Cherished Salvage or Stated Value</t>
  </si>
  <si>
    <t>Special Build Coverage - 100% (710)</t>
  </si>
  <si>
    <t>SBA10</t>
  </si>
  <si>
    <t>Stated Value (712)</t>
  </si>
  <si>
    <t>SVALA</t>
  </si>
  <si>
    <t>Not allowed with Special Build, Cherished Salvage, Custom Features or Vehicle Under Construction
Not allowed for Inventory Policies</t>
  </si>
  <si>
    <t>Paid In Full Discount (359)</t>
  </si>
  <si>
    <t>Violations</t>
  </si>
  <si>
    <t>Factor applied to entire policy premium</t>
  </si>
  <si>
    <t>Surcharge required if named insured has 4+ minor moving violations, or there is a total of 6+ minor moving violations in the household.</t>
  </si>
  <si>
    <t>DOCUMENT NAME</t>
  </si>
  <si>
    <t>IM</t>
  </si>
  <si>
    <t>Not for Liab-Only</t>
  </si>
  <si>
    <t>FORM #</t>
  </si>
  <si>
    <t>DOC CODE</t>
  </si>
  <si>
    <t>CONDITION(S)</t>
  </si>
  <si>
    <t>SEQ</t>
  </si>
  <si>
    <t>EFF DATE</t>
  </si>
  <si>
    <t>EXP DATE</t>
  </si>
  <si>
    <t>REN EFF DATE</t>
  </si>
  <si>
    <t>REN EXP DATE</t>
  </si>
  <si>
    <t>CON</t>
  </si>
  <si>
    <t>NON</t>
  </si>
  <si>
    <t>NB</t>
  </si>
  <si>
    <t>REN</t>
  </si>
  <si>
    <t>END</t>
  </si>
  <si>
    <t>INV</t>
  </si>
  <si>
    <t>ONCE</t>
  </si>
  <si>
    <t>ALWAYS</t>
  </si>
  <si>
    <t>ePost</t>
  </si>
  <si>
    <t>PK</t>
  </si>
  <si>
    <t>State Endorsement - CO</t>
  </si>
  <si>
    <t>AC 001 CO 07 23</t>
  </si>
  <si>
    <t>SCE</t>
  </si>
  <si>
    <t>Always Include</t>
  </si>
  <si>
    <t>State Endorsement - Colorado</t>
  </si>
  <si>
    <t>AC 001 CO 09 25</t>
  </si>
  <si>
    <t>Part - C - Colorado</t>
  </si>
  <si>
    <t>AC 002 CO 02 26</t>
  </si>
  <si>
    <t>UmCov1</t>
  </si>
  <si>
    <t>If customer selects UM Coverage</t>
  </si>
  <si>
    <t>Part - C</t>
  </si>
  <si>
    <t>AC 002 CO 07 23</t>
  </si>
  <si>
    <t/>
  </si>
  <si>
    <t>Part - C - Colorado Uninsured and Underinsured Motorists Coverage</t>
  </si>
  <si>
    <t>AC 002 CO 11 24</t>
  </si>
  <si>
    <t>Business Use Endorsement</t>
  </si>
  <si>
    <t>AC 101 01 24</t>
  </si>
  <si>
    <t>BusUse</t>
  </si>
  <si>
    <t>If customer selects Business Use Coverage</t>
  </si>
  <si>
    <t>AC 101 11 22</t>
  </si>
  <si>
    <t>Collector Motorcycle Endorsement</t>
  </si>
  <si>
    <t>AC 103 01 24</t>
  </si>
  <si>
    <t>MTC</t>
  </si>
  <si>
    <t>If customer is insuring a collector motorcycle</t>
  </si>
  <si>
    <t>AC 103 11 22</t>
  </si>
  <si>
    <t>Conditions for Vehicles Covered under a Reporting Form</t>
  </si>
  <si>
    <t>AC 106 01 24</t>
  </si>
  <si>
    <t>ConVeh</t>
  </si>
  <si>
    <t>If customer is PCS and has an inventory policy</t>
  </si>
  <si>
    <t>AC 106 11 22</t>
  </si>
  <si>
    <t>Reporting Form Schedule</t>
  </si>
  <si>
    <t>AC 107 01 24</t>
  </si>
  <si>
    <t>RepSch</t>
  </si>
  <si>
    <t>AC 107 11 22</t>
  </si>
  <si>
    <t>Custom Features Endorsement</t>
  </si>
  <si>
    <t>AC 108 01 24</t>
  </si>
  <si>
    <t>CusFeat</t>
  </si>
  <si>
    <t>If customer selects Custom Features Coverage</t>
  </si>
  <si>
    <t>AC 108 11 22</t>
  </si>
  <si>
    <t>Foreign Coverage Endorsement</t>
  </si>
  <si>
    <t>AC 110 01 24</t>
  </si>
  <si>
    <t>ForCov</t>
  </si>
  <si>
    <t>If customer selects Foreign Coverage</t>
  </si>
  <si>
    <t>AC 110 11 22</t>
  </si>
  <si>
    <t>Limited Trailer and Paddock Collision Coverage</t>
  </si>
  <si>
    <t>AC 111 01 24</t>
  </si>
  <si>
    <t>LtdTrlPdk</t>
  </si>
  <si>
    <t>If customer selects Limited Trailer and Paddock Coverage</t>
  </si>
  <si>
    <t>AC 111 11 22</t>
  </si>
  <si>
    <t>AC 115 01 24</t>
  </si>
  <si>
    <t>ADVANTAGE</t>
  </si>
  <si>
    <t>If Motorsports Advantage endorsement (PK 395) = Selected</t>
  </si>
  <si>
    <t>Motorsports Advantage Endorsement</t>
  </si>
  <si>
    <t>AC 115 11 22</t>
  </si>
  <si>
    <t>AC 116 01 24</t>
  </si>
  <si>
    <t>VhlUConst</t>
  </si>
  <si>
    <t>If Vehicle Under Construction Endorsement = Selected</t>
  </si>
  <si>
    <t>AC 116 11 22</t>
  </si>
  <si>
    <t>Cherished Salvage® Coverage</t>
  </si>
  <si>
    <t>AC 117 01 24</t>
  </si>
  <si>
    <t>Cherish2</t>
  </si>
  <si>
    <t>If Cherished Salvage Feature = Selected</t>
  </si>
  <si>
    <t>Cherished Salvage Coverage</t>
  </si>
  <si>
    <t>AC 117 11 22</t>
  </si>
  <si>
    <t>Key On Exclusion</t>
  </si>
  <si>
    <t>AC 119 01 24</t>
  </si>
  <si>
    <t>KEYON</t>
  </si>
  <si>
    <t>If Key on Exclusion = selected</t>
  </si>
  <si>
    <t>AC 119 11 22</t>
  </si>
  <si>
    <t>Waiver of Subrogation Endorsement</t>
  </si>
  <si>
    <t>AC 120 01 24</t>
  </si>
  <si>
    <t>Waive</t>
  </si>
  <si>
    <t>If Waiver of Subrogation = Selected</t>
  </si>
  <si>
    <t>AC 120 11 22</t>
  </si>
  <si>
    <t>Additional Insured</t>
  </si>
  <si>
    <t>AC 121 01 24</t>
  </si>
  <si>
    <t>AddInsd</t>
  </si>
  <si>
    <t>If there's any additional interest on the policy  (LKAdditionalInterestType)
Or if there's additional ownership (CustomerOwnershipInterest)</t>
  </si>
  <si>
    <t>AC 121 11 22</t>
  </si>
  <si>
    <t>If there’s any additional interest on the policy  (LKAdditionalInterestType)
Or if there’s additional ownership (CustomerOnwershipInterest)</t>
  </si>
  <si>
    <t>Additional Insured - Lessor</t>
  </si>
  <si>
    <t>AC 122 01 24</t>
  </si>
  <si>
    <t>AddInsLessor</t>
  </si>
  <si>
    <t>If "additional insured=lessor" is selected on the policy</t>
  </si>
  <si>
    <t>AC 122 11 22</t>
  </si>
  <si>
    <t>Loss Payable Clause</t>
  </si>
  <si>
    <t>AC 123 01 24</t>
  </si>
  <si>
    <t>LsPyCls</t>
  </si>
  <si>
    <t>If there is a lien holder on the policy</t>
  </si>
  <si>
    <t>AC 123 11 22</t>
  </si>
  <si>
    <t>Collector Camper Trailer Endorsement - CO</t>
  </si>
  <si>
    <t>AC 124 CO 07 23</t>
  </si>
  <si>
    <t>CAMP</t>
  </si>
  <si>
    <t>Send if customer is insuring vintage camper trailer</t>
  </si>
  <si>
    <t>Collector Camper Trailer Endorsement - Colorado</t>
  </si>
  <si>
    <t>AC 124 CO 11 24</t>
  </si>
  <si>
    <t>Motorsports Advantage™ + Autocross Endorsement</t>
  </si>
  <si>
    <t>AC 125 01 24</t>
  </si>
  <si>
    <t>MSPSAA</t>
  </si>
  <si>
    <t>If Motorsports Advantage endorsement (PK 452) = Selected</t>
  </si>
  <si>
    <t>AC 125 11 22</t>
  </si>
  <si>
    <t>Motorsports Advantage™ + High Performance Driver's Education Endorsement</t>
  </si>
  <si>
    <t>AC 126 01 24</t>
  </si>
  <si>
    <t>MSPSAHPDE</t>
  </si>
  <si>
    <t>If Motorsports Advantage endorsement (PK 453) = Selected</t>
  </si>
  <si>
    <t>AC 126 11 22</t>
  </si>
  <si>
    <t>Motorsports Advantage™ + Autocross + High Performance Driver's Ed</t>
  </si>
  <si>
    <t>AC 127 01 24</t>
  </si>
  <si>
    <t>MSPSAAHPDE</t>
  </si>
  <si>
    <t>If Motorsports Advantage endorsement (PK 454) = Selected</t>
  </si>
  <si>
    <t>AC 127 11 22</t>
  </si>
  <si>
    <t>Special Build Coverage</t>
  </si>
  <si>
    <t>AC 128 11 22</t>
  </si>
  <si>
    <t>SBC</t>
  </si>
  <si>
    <t>If one of the Special Build Coverage features = Selected</t>
  </si>
  <si>
    <t>Stated Value</t>
  </si>
  <si>
    <t>AC 129 01 24</t>
  </si>
  <si>
    <t>STVAL1</t>
  </si>
  <si>
    <t>If Stated Value feature = Selected</t>
  </si>
  <si>
    <t>AC 129 11 22</t>
  </si>
  <si>
    <t>Named Driver Exclusion Endorsement</t>
  </si>
  <si>
    <t>AC 13 02 04 07</t>
  </si>
  <si>
    <t>NDE</t>
  </si>
  <si>
    <t>If there is an excluded driver on the policy</t>
  </si>
  <si>
    <t xml:space="preserve">Named Driver Coverage Endorsement </t>
  </si>
  <si>
    <t>AC 202 11 22</t>
  </si>
  <si>
    <t>NADC</t>
  </si>
  <si>
    <t>If Named Driver Coverage = selected</t>
  </si>
  <si>
    <t>AC 400 01 24</t>
  </si>
  <si>
    <t>VALADD</t>
  </si>
  <si>
    <t>If value added PK 339 is included</t>
  </si>
  <si>
    <t>AC 400 11 22</t>
  </si>
  <si>
    <t>Temporary Excess Worldwide Coverage Endorsement</t>
  </si>
  <si>
    <t>AC 402 01 24</t>
  </si>
  <si>
    <t>TEMPWW</t>
  </si>
  <si>
    <t>If customer = PCS</t>
  </si>
  <si>
    <t>AC 402 11 22</t>
  </si>
  <si>
    <t>Collectible Personal Property</t>
  </si>
  <si>
    <t>AC 500 01 24</t>
  </si>
  <si>
    <t>CPP</t>
  </si>
  <si>
    <t xml:space="preserve">If Automobilia or Misc. Collectibles (Blanket or Scheduled) – Incl or Excl Breakage = selected </t>
  </si>
  <si>
    <t>AC 500 11 22</t>
  </si>
  <si>
    <t>Collector Vehicle Spare Parts or Tools Coverage Endorsement</t>
  </si>
  <si>
    <t>AC 501 01 24</t>
  </si>
  <si>
    <t>SPAT</t>
  </si>
  <si>
    <t>If Spare Parts or Automotive Tools (Blanket or Scheduled) = selected</t>
  </si>
  <si>
    <t>AC 501 11 22</t>
  </si>
  <si>
    <t>Classic Automobile Policy</t>
  </si>
  <si>
    <t>AC 900 11 22</t>
  </si>
  <si>
    <t>CAP</t>
  </si>
  <si>
    <t>Named Driver Coverage Selection Form</t>
  </si>
  <si>
    <t>AC CS 200 11 22</t>
  </si>
  <si>
    <t>Manual form only, located in Document library in Ratebuilder</t>
  </si>
  <si>
    <t>Coverage Summary Disclosure Notice - Colorado</t>
  </si>
  <si>
    <t>AC N 001 CO 01 26</t>
  </si>
  <si>
    <t>ANNNTC</t>
  </si>
  <si>
    <t>Always Include with New Business and Renewals</t>
  </si>
  <si>
    <t>Coverage Summary Disclosure Notice - CO</t>
  </si>
  <si>
    <t>AC N 001 CO 07 23</t>
  </si>
  <si>
    <t>Notice: Ins. Score Recalc of Premium - CO</t>
  </si>
  <si>
    <t>AC N 201R CO 01 20</t>
  </si>
  <si>
    <t>INSCO</t>
  </si>
  <si>
    <t>Send when insurance score is rerun to formulate the renewal premium</t>
  </si>
  <si>
    <t>Renewal Notice of Insurance Scoring Information Practices - CO</t>
  </si>
  <si>
    <t>AC N 206 CO 05 18</t>
  </si>
  <si>
    <t>Scored1</t>
  </si>
  <si>
    <t>Send on renewal if the policy has been scored</t>
  </si>
  <si>
    <t>Renewal Notice of Insurance Scoring Information Practices - Colorado</t>
  </si>
  <si>
    <t>AC N 206 CO 09 25</t>
  </si>
  <si>
    <t>Imp Notice Regarding Auto Theft Prevention Authority Fee - Colorado</t>
  </si>
  <si>
    <t>AC N 506 CO 03 26</t>
  </si>
  <si>
    <t>SCOOTER</t>
  </si>
  <si>
    <t>Send to all renewals with a moped or scooter for one year</t>
  </si>
  <si>
    <t>Notice Describing our use of insurance scores - CO</t>
  </si>
  <si>
    <t>AC N 800 CO 05 18</t>
  </si>
  <si>
    <t>Sent manually on request</t>
  </si>
  <si>
    <t>Notice Describing our use of insurance scores - Colorado</t>
  </si>
  <si>
    <t>AC N 800 CO 09 25</t>
  </si>
  <si>
    <t>Simplified Policy Insert</t>
  </si>
  <si>
    <t>AC N 901 08 23</t>
  </si>
  <si>
    <t>AC N 901 12 20</t>
  </si>
  <si>
    <t>Expert Collector® Valuable Collections Policy</t>
  </si>
  <si>
    <t>EC 00 00 08 17</t>
  </si>
  <si>
    <t>ValCol</t>
  </si>
  <si>
    <t>Always Include for IM Policies</t>
  </si>
  <si>
    <t>Expert Collector® Policy Jacket</t>
  </si>
  <si>
    <t>EC 00 01 05 19</t>
  </si>
  <si>
    <t>Jacket</t>
  </si>
  <si>
    <t>EC 00 19 08 17</t>
  </si>
  <si>
    <t>If waiver of Subrogation=selected</t>
  </si>
  <si>
    <t>EC 00 20 08 17</t>
  </si>
  <si>
    <t>NDCEC</t>
  </si>
  <si>
    <t>Amendment of Policy Provisions - CO</t>
  </si>
  <si>
    <t>EC 001 CO 01 22</t>
  </si>
  <si>
    <t>AmdPolPrv3</t>
  </si>
  <si>
    <t>Enhanced Value Endorsement - CO</t>
  </si>
  <si>
    <t>EC 010 CO 01 22</t>
  </si>
  <si>
    <t>NtcPol2</t>
  </si>
  <si>
    <t>Flood, Surge and Ground Water Exclusion Endorsement</t>
  </si>
  <si>
    <t>EC 02 01 08 18</t>
  </si>
  <si>
    <t>FSGEx</t>
  </si>
  <si>
    <t>If Flood Exclusion Feature = Selected</t>
  </si>
  <si>
    <t>Specified Flood, Surge and Ground Water Deductible</t>
  </si>
  <si>
    <t>EC 03 03 08 17</t>
  </si>
  <si>
    <t>FSGDed</t>
  </si>
  <si>
    <t>If a Special Flood, Surge &amp; Groundwater deductible = Selected</t>
  </si>
  <si>
    <t>Vehicle Under Constuction - CO</t>
  </si>
  <si>
    <t>EC 105 CO 01 22</t>
  </si>
  <si>
    <t>EVUC</t>
  </si>
  <si>
    <t>EC 107 11 21</t>
  </si>
  <si>
    <r>
      <t>Cherished Salvage</t>
    </r>
    <r>
      <rPr>
        <sz val="10"/>
        <rFont val="Calibri"/>
        <family val="2"/>
      </rPr>
      <t>®</t>
    </r>
    <r>
      <rPr>
        <sz val="10"/>
        <rFont val="Arial"/>
        <family val="2"/>
      </rPr>
      <t xml:space="preserve"> Exclusion</t>
    </r>
  </si>
  <si>
    <t>EC 203 10 19</t>
  </si>
  <si>
    <t>If Cherished Salvage® Exclusion = selected</t>
  </si>
  <si>
    <t>Key on Exclusion</t>
  </si>
  <si>
    <t>EC 204 10 19</t>
  </si>
  <si>
    <t>Market Value Protection Exclusion - CO</t>
  </si>
  <si>
    <t>EC 205 CO 10 19</t>
  </si>
  <si>
    <t>If Market Value Protection Exclusion = selected</t>
  </si>
  <si>
    <t>Wildfire Exclusion Endorsement</t>
  </si>
  <si>
    <t>EC 206 11 21</t>
  </si>
  <si>
    <t>WFEx</t>
  </si>
  <si>
    <t>If Wildfire Exclusion Feature = Selected</t>
  </si>
  <si>
    <t>Cyberattack Exclusion</t>
  </si>
  <si>
    <t>EC 207 01 23</t>
  </si>
  <si>
    <t>PriPol</t>
  </si>
  <si>
    <t>Always include for IM policies</t>
  </si>
  <si>
    <r>
      <t>Limited Cherished Salvage</t>
    </r>
    <r>
      <rPr>
        <sz val="10"/>
        <rFont val="Calibri"/>
        <family val="2"/>
      </rPr>
      <t>®</t>
    </r>
    <r>
      <rPr>
        <sz val="10"/>
        <rFont val="Arial"/>
        <family val="2"/>
      </rPr>
      <t xml:space="preserve"> Coverage</t>
    </r>
  </si>
  <si>
    <t>EC 310 10 19</t>
  </si>
  <si>
    <t>If Limited Cherished Salvage® Coverage = selected</t>
  </si>
  <si>
    <t>Loss Limit - Wildfire</t>
  </si>
  <si>
    <t>EC 311 11 21</t>
  </si>
  <si>
    <t>LossWF</t>
  </si>
  <si>
    <t>If any of the Wildfire Loss Limitation features = Selected</t>
  </si>
  <si>
    <t>Privacy Policy (Hagerty)</t>
  </si>
  <si>
    <t>HAG N 01 01 24</t>
  </si>
  <si>
    <t>PriPol2</t>
  </si>
  <si>
    <t>HAG N 01 12 18</t>
  </si>
  <si>
    <t>Signature Page for Essentia Insurance Company</t>
  </si>
  <si>
    <t>IL 901 02 24</t>
  </si>
  <si>
    <t>CAP2</t>
  </si>
  <si>
    <t>Alwas Include</t>
  </si>
  <si>
    <t>IL 901 05 19</t>
  </si>
  <si>
    <t>Essentia Decline Notice</t>
  </si>
  <si>
    <t>IL N 075 06 24</t>
  </si>
  <si>
    <t>Notice of Increase in Premium - Colorado</t>
  </si>
  <si>
    <t>IL N 201R CO 04 25</t>
  </si>
  <si>
    <t>Privacy Policy</t>
  </si>
  <si>
    <t>MPIL 1007 01 20</t>
  </si>
  <si>
    <t>Policy Maximum Deductible (Single Incident)</t>
  </si>
  <si>
    <t>VC 00 11 01 13</t>
  </si>
  <si>
    <t>MaxDed</t>
  </si>
  <si>
    <t>If any of the Policy Maximum Deductible features = Selected</t>
  </si>
  <si>
    <t>VC 00 16 01 13</t>
  </si>
  <si>
    <t>StVal</t>
  </si>
  <si>
    <t>Loss Limit - All Perils</t>
  </si>
  <si>
    <t>VC 01 00 01 13</t>
  </si>
  <si>
    <t>LossAP</t>
  </si>
  <si>
    <t>If any of the All Perils Loss Limitation features = Selected</t>
  </si>
  <si>
    <t>Loss Limit - Flood, Surge And Ground Water</t>
  </si>
  <si>
    <t>VC 01 03 01 13</t>
  </si>
  <si>
    <t>LossFSG</t>
  </si>
  <si>
    <t>If any of the Flood, Surge &amp; Ground Water Loss Limitation features = Selected</t>
  </si>
  <si>
    <t>Loss Limit - Named Location</t>
  </si>
  <si>
    <t>VC 01 04 01 13</t>
  </si>
  <si>
    <t>NAMLOC</t>
  </si>
  <si>
    <t>If Named Location is selected</t>
  </si>
  <si>
    <t>Territory Limitation Endorsement</t>
  </si>
  <si>
    <t>VC 01 07 01 13</t>
  </si>
  <si>
    <t>TerLim</t>
  </si>
  <si>
    <t>Protective Devices or Systems Endorsement</t>
  </si>
  <si>
    <t>VC 04 00 01 13</t>
  </si>
  <si>
    <t>PRODEV</t>
  </si>
  <si>
    <t>If Protective device discount = applied</t>
  </si>
  <si>
    <t>Flood, Surge, and Ground Water Exclusion Disclosure</t>
  </si>
  <si>
    <t>VC D 03 01 13</t>
  </si>
  <si>
    <t>Misc. Coverages</t>
  </si>
  <si>
    <t>{Auto | Motorcycle | Pickup | Scooter | Bicycle | Moped | Replica | Tractor| Military | Fire Truck | Semi }</t>
  </si>
  <si>
    <t>Traveling Collector (396)</t>
  </si>
  <si>
    <t>{Auto | Motorcycle | Pickup | Scooter | Bicycle | Moped | Replica | Tractor| Semi | Military | Fire Truck | Trailer }</t>
  </si>
  <si>
    <t>$25 Flat Rate</t>
  </si>
  <si>
    <t>PK 396</t>
  </si>
  <si>
    <t>{Auto | Motorcycle | Pickup | Scooter | Bicycle | Moped | Replica | Tractor| Semi | Military | Fire Truck | Trailer   }</t>
  </si>
  <si>
    <t>Evacuation Expense (379)</t>
  </si>
  <si>
    <t>$5 Per Vehicle</t>
  </si>
  <si>
    <t>Not Available on web at this time</t>
  </si>
  <si>
    <t>Should default to Declined. Should NOT print as declined on the dec. If not selected the coverage should just not appear on the Dec.</t>
  </si>
  <si>
    <t>Legendary Ride™ (394)</t>
  </si>
  <si>
    <t>BOOK ROLL</t>
  </si>
  <si>
    <t>BIND INTENT</t>
  </si>
  <si>
    <t>BIND STD</t>
  </si>
  <si>
    <t>BIND RW</t>
  </si>
  <si>
    <t xml:space="preserve">PCS QUOTE </t>
  </si>
  <si>
    <t>QUOTE INTENT</t>
  </si>
  <si>
    <t>QUOTE STD</t>
  </si>
  <si>
    <t>QUOTE RW</t>
  </si>
  <si>
    <t>REN INV</t>
  </si>
  <si>
    <t>REN INV VAL</t>
  </si>
  <si>
    <t>SUPP APP</t>
  </si>
  <si>
    <t>NEW</t>
  </si>
  <si>
    <t>RENEWAL</t>
  </si>
  <si>
    <t>ENDO</t>
  </si>
  <si>
    <t>DECLINE - ENDO</t>
  </si>
  <si>
    <t>DECLINE - NB</t>
  </si>
  <si>
    <t>Coverage Selection Form - CO</t>
  </si>
  <si>
    <t>AC CS 100 CO 07 23</t>
  </si>
  <si>
    <t>SupApp</t>
  </si>
  <si>
    <t>1. If UM &lt; Liability; or
2. If UM = Rejected; or
3.If Medical Payments = Rejected
4. Policy is eligible for UMPD.  Follow up for a signature if UMPD = Rejected</t>
  </si>
  <si>
    <t>Coverage Selection Form - Colorado</t>
  </si>
  <si>
    <t>AC CS 100 CO 11 24</t>
  </si>
  <si>
    <t>UMCSF2</t>
  </si>
  <si>
    <t>1. If UM &lt; Liability; or
2. If UM = Rejected; or
3. Policy is eligible for UMPD.  Follow up for a signature if UMPD = Rejected</t>
  </si>
  <si>
    <t>Medical Payments Coverage Rejection Form - Colorado</t>
  </si>
  <si>
    <t>AC CS 101 CO 11 24</t>
  </si>
  <si>
    <t>NoMedPay</t>
  </si>
  <si>
    <t>Send if there is Liability and Medpay = rejected.</t>
  </si>
  <si>
    <t>Info on Consumer Reports Used for Rating Policies</t>
  </si>
  <si>
    <t>AC N 201 11 16</t>
  </si>
  <si>
    <t>AdvScNtc</t>
  </si>
  <si>
    <t>Send AA if worse than rate neutral (surcharge applied). Only sends if there is a NEW score.</t>
  </si>
  <si>
    <t>8/15/18 NB
9/15/18 RB</t>
  </si>
  <si>
    <t>IL N 201 11 23</t>
  </si>
  <si>
    <t>EC CS 100 08 17</t>
  </si>
  <si>
    <t xml:space="preserve">Fee Disclosure notice </t>
  </si>
  <si>
    <t>IL N 1002 01 22</t>
  </si>
  <si>
    <t>FDN</t>
  </si>
  <si>
    <t>Always Include with New policy packet</t>
  </si>
  <si>
    <t>Information Used in Underwriting Decisions</t>
  </si>
  <si>
    <t>IL N 012 04 22</t>
  </si>
  <si>
    <t>AdvUnNtc</t>
  </si>
  <si>
    <t>Always include when decline for MVR</t>
  </si>
  <si>
    <t>Use Insurance Score</t>
  </si>
  <si>
    <t>Ins Score Grandfather All</t>
  </si>
  <si>
    <t>Ins Score Grandfathering Endorsement</t>
  </si>
  <si>
    <t>Ins Score Grandfathering</t>
  </si>
  <si>
    <t>Display Ins Score on Dec</t>
  </si>
  <si>
    <t>Ins Score Grandfathering Endorsement Max Year</t>
  </si>
  <si>
    <t xml:space="preserve">Description </t>
  </si>
  <si>
    <t>Active</t>
  </si>
  <si>
    <t>Not available or filed yet</t>
  </si>
  <si>
    <t>Insurance Score Order Rules</t>
  </si>
  <si>
    <t>Always Order</t>
  </si>
  <si>
    <t>Modern Classics Only</t>
  </si>
  <si>
    <t>Never Order</t>
  </si>
  <si>
    <t>QT: Re-Order if report older than (Days)</t>
  </si>
  <si>
    <t>Ren: Rerate only if better score</t>
  </si>
  <si>
    <t>Ren: Don't re-order if best rate</t>
  </si>
  <si>
    <t>Ren: Re-order if report older than (Years)</t>
  </si>
  <si>
    <t>Eff Date:</t>
  </si>
  <si>
    <t>Exp Date:</t>
  </si>
  <si>
    <t xml:space="preserve">Code </t>
  </si>
  <si>
    <t>Description Text</t>
  </si>
  <si>
    <t>Violation Surcharge Years</t>
  </si>
  <si>
    <t>Electronic Renewal Bill Lead Time</t>
  </si>
  <si>
    <t>Mailed Renewal Bill Lead Time</t>
  </si>
  <si>
    <t>InsScore Adverse Action Doc Trigger</t>
  </si>
  <si>
    <t>Default Age First Licensed</t>
  </si>
  <si>
    <t>Years for Document Retain</t>
  </si>
  <si>
    <t>Colorado</t>
  </si>
  <si>
    <t>Worse Than Neutral Rate</t>
  </si>
  <si>
    <t>Conversion Lead Time</t>
  </si>
  <si>
    <t>Pre Offer Lead Time</t>
  </si>
  <si>
    <t>Carrier Conversion Effective Date</t>
  </si>
  <si>
    <t>Gender Override Text</t>
  </si>
  <si>
    <t>County Required</t>
  </si>
  <si>
    <t>County Required To Issue Policy</t>
  </si>
  <si>
    <t>Display Decimals</t>
  </si>
  <si>
    <t>Driving Points Required</t>
  </si>
  <si>
    <t>Excluded Driver Endorse</t>
  </si>
  <si>
    <t>Dec Page Text</t>
  </si>
  <si>
    <t>Has Provincial App</t>
  </si>
  <si>
    <t>Warning: There is no coverage afforded under this policy for any named excluded person(s) listed above, subject to the conditions of the named driver exclusion.</t>
  </si>
  <si>
    <t>ID Card Excluded Driver</t>
  </si>
  <si>
    <t>ID Card Policy Address</t>
  </si>
  <si>
    <t>ID Card Registration</t>
  </si>
  <si>
    <t>Include Gender "X"</t>
  </si>
  <si>
    <t>Insurance Score Additional Info Required</t>
  </si>
  <si>
    <t>Municipal Required</t>
  </si>
  <si>
    <t>Quote Dec Page Text</t>
  </si>
  <si>
    <t>Named Driver Endorse</t>
  </si>
  <si>
    <t>NW Bookroll Map Coverages Is On</t>
  </si>
  <si>
    <t>Paper ID Card Required</t>
  </si>
  <si>
    <t>Registration Type Required</t>
  </si>
  <si>
    <t>Stimulsoft ID Card</t>
  </si>
  <si>
    <t>Stimulsort ID Card Landscape</t>
  </si>
  <si>
    <t>Fraud Warning Text</t>
  </si>
  <si>
    <t>Stimulsoft ID Card Portrait</t>
  </si>
  <si>
    <t>It is unlawful to knowingly provide false, incomplete or misleading facts or information to an insurance company for the purpose of defrauding or attempting to defraud the company.  Penalties may include imprisonment, fines, denial of insurance, and civil damages.  Any insurance company or agent of an insurance company who knowingly provides false, incomplete, or misleading facts or information to a policyholder or claimant for the purpose of defrauding or attempting to defraud the policy holder or claimant with regard to a settlement or award payable from insurance proceeds shall be reported to the Colorado Division of Insurance within the Department of Regulatory Agencies.</t>
  </si>
  <si>
    <t>Supplemental</t>
  </si>
  <si>
    <t>Supplemental Medical Pay Reject</t>
  </si>
  <si>
    <t>Supplemental No Match</t>
  </si>
  <si>
    <t>Supplemental PIP Rejection</t>
  </si>
  <si>
    <t>Territory Required</t>
  </si>
  <si>
    <t>ID Card Back Text</t>
  </si>
  <si>
    <t>Valid Drivers License</t>
  </si>
  <si>
    <t>Years Licensed Required</t>
  </si>
  <si>
    <t>Zip Code Required</t>
  </si>
  <si>
    <t>Esign Compensation Disclosure Required</t>
  </si>
  <si>
    <t>Voluntary Carrier Conversion</t>
  </si>
  <si>
    <t>EpostAllowedInd</t>
  </si>
  <si>
    <t>Information Practices Text</t>
  </si>
  <si>
    <t>A credit report or other investigative report about you may be requested in connection with this application for insurance and subsequent renewals.  Credit scoring information may be used to determine either your eligibility for insurance or the premium you will be charged.  Any information which we have or may obtain about you or other individuals listed as policyholders on your policy will be treated confidentially.  However, this information, as well as other personal or privileged information subsequently collected, may, under certain circumstances, be disclosed without prior authorization to non-affiliated third parties.  We may also share such information with affiliated companies for such purposes as claims handling, servicing, underwriting and insurance marketing.  You have the right to see personal information collected about you, and you have the right to correct any information which may be wrong.  If you are interested in obtaining a description of our information practices and your rights regarding information we collect, ask your agent, or, if you have been issued a policy, please write us at the address provided with your policy.</t>
  </si>
  <si>
    <t>Insurance Score Script</t>
  </si>
  <si>
    <t>We may use consumer reports, including a credit-based insurance score, to assist in determining insurance eligibility and/or premium. We may use a third party to help develop the insurance score.
Do you wish to continue with the quote process?</t>
  </si>
  <si>
    <t>Insurance Score Additional Scripting</t>
  </si>
  <si>
    <t>Insurance Score Web Disclaimer</t>
  </si>
  <si>
    <t>Limitation Of Use Title</t>
  </si>
  <si>
    <t>Limitations Of Use Text</t>
  </si>
  <si>
    <t>Vehicles insured by this program will be operated on a limited basis consistent with the operation of a collectible vehicle. All drivers of the vehicles insured by this program will also own a regular use vehicle that is used for normal everyday driving such as driving to and from work or school; errands; and general transportation. Coverage is dependent on compliance with these conditions. Please refer to the CLASSIC AUTOMOBILE POLICY and accompanying endorsements for all exclusions.    
I acknowledge that I have read this application in its entirety and declare that to the best of my knowledge and belief the information I provide herein is complete, true and correct.  If Encompass Indemnity Company or its authorized representative agrees to issue a policy to me, I understand the policy issued will only provide coverage for the vehicles listed in the Declarations to the policy.  All other vehicles I drive will have insurance coverage in-force, maintained in my name, and in effect for the entire time any policy which may be issued by Encompass Indemnity Company to me will be in effect.  Should Encompass Indemnity Company issue a policy to me, I understand that in no event will Encompass Indemnity Company's Classic Automobile Policy serve as my only automobile insurance.  There is no coverage until specific notification.</t>
  </si>
  <si>
    <t>Limitations Of Use Transfer</t>
  </si>
  <si>
    <t>I represent and warrant that I hold a valid drivers license and have had no major traffic violations within the last 3 years (including speeding in excess of 15 mph). I also affirm that neither my regular-use vehicle insurance nor my previous collector car insurance coverage has been terminated, canceled, or non-renewed by my insurance company.
Vehicles insured by the Hagerty program will be operated on a limited basis consistent with the operation of a collectible vehicle such as club activities, exhibitions and limited pleasure driving. Limited pleasure use will NOT INCLUDE normal daily driving such as driving to and from work/school, errands, backup transportation, or extended non-club related vacations. Vehicles will NOT be covered if used for high-speed racing, hauling, towing, or for commercial purposes.
I acknowledge that I have read this statement in its entirety and agree with its conditions. If an underwriting company of the Hagerty Automobile Insurance Program agrees to issue a policy in m</t>
  </si>
  <si>
    <t>Match on Policy Effective Date</t>
  </si>
  <si>
    <t>Bold</t>
  </si>
  <si>
    <t>Display Order</t>
  </si>
  <si>
    <t>Hard Coded Deviation</t>
  </si>
  <si>
    <t>Marital Status box should contain the phrase "(or civil union, if applicable)"</t>
  </si>
  <si>
    <t>MVR Question Text</t>
  </si>
  <si>
    <r>
      <t xml:space="preserve">Have you or any residents or dependents had any moving violations, suspensions, felony convictions, accidents or insurance claims within the last </t>
    </r>
    <r>
      <rPr>
        <sz val="10"/>
        <rFont val="Arial"/>
        <family val="2"/>
      </rPr>
      <t>3 years? If so, please describe below.</t>
    </r>
  </si>
  <si>
    <t>Web MVR Question Text</t>
  </si>
  <si>
    <t>Has {0: this person} had any moving violations, suspensions, felony convictions, accidents or insurance claims within the last 3 years? If so, please describe below.</t>
  </si>
  <si>
    <t>Underwriter Under Logo Text</t>
  </si>
  <si>
    <t>Driver Section Title Text</t>
  </si>
  <si>
    <t>Blank - Use Default</t>
  </si>
  <si>
    <t>Driver Section Text</t>
  </si>
  <si>
    <t>List all residents, dependents and regular operators of driving age (licensed or not):</t>
  </si>
  <si>
    <t>Page 1 Footer Text</t>
  </si>
  <si>
    <t>Blank - None</t>
  </si>
  <si>
    <t>Form Number Text</t>
  </si>
  <si>
    <t>AC AP CO 03 20</t>
  </si>
  <si>
    <t>HIA Signature Heading (Producer license number shown on direct app)</t>
  </si>
  <si>
    <t>HIA Signature Text (Yes = Appears on direct app; No = Does not appear on direct app)</t>
  </si>
  <si>
    <t>Section G Title Text</t>
  </si>
  <si>
    <t>Blank - Default</t>
  </si>
  <si>
    <t>Section G Intro Text</t>
  </si>
  <si>
    <t>COVERAGE IS CONTINGENT UPON CONTINUED COMPLIANCE WITH THE FOLLOWING CONDITIONS, UNLESS HAGERTY OR THE COMPANY AGREES OTHERWISE:</t>
  </si>
  <si>
    <t>Storage Stmt (G) Heading</t>
  </si>
  <si>
    <t>STORAGE</t>
  </si>
  <si>
    <t>Storage Stmt (G) Text</t>
  </si>
  <si>
    <t>While not in use, my vehicle(s) will be kept at its principal storage address in a solidly constructed, completely enclosed and locked structure (unless Hagerty or the Company agrees otherwise).</t>
  </si>
  <si>
    <t>Use Stmt (G) Heading</t>
  </si>
  <si>
    <t>USE</t>
  </si>
  <si>
    <t>Use Stmt (G) Text</t>
  </si>
  <si>
    <t>1.  My vehicle(s) will be used on a limited basis consistent with the operation of a collectible vehicle such as occasional pleasure drives and club / hobby activities.
2.  My vehicle(s) will not be used frequently for regular driving such as driving to and from work or school, shopping, errands, general transportation or back-up use.</t>
  </si>
  <si>
    <t>Regular Use Auto Stmt (G) Heading</t>
  </si>
  <si>
    <r>
      <t xml:space="preserve">INSURED REGULAR USE </t>
    </r>
    <r>
      <rPr>
        <sz val="10"/>
        <rFont val="Arial"/>
        <family val="2"/>
      </rPr>
      <t>VEHICLE</t>
    </r>
  </si>
  <si>
    <t>Regular Use Auto Stmt (G) Text</t>
  </si>
  <si>
    <t>I acknowledge and agree that:
1. Each driver within my household has a separately insured regular use vehicle of which he or she is the primary operator.
2. All of the regular use vehicles in my household are insured by a separate personal auto insurance policy (or if a business auto policy, with the appropriate personal liability endorsements), with limits that satisfy all minimum state insurance requirements and at least match the types and amounts of coverage elected in this policy, maintained in my name (if owned by me), in full force and effect for the entire current and subsequent terms of this policy.
3. In no event will this policy serve as my household’s only auto insurance.  The insurance on all regular use vehicles in my household will be primary on any claim and will satisfy all minimum state insurance requirements, except with respect to the use of the vehicle(s) listed on this policy’s Declarations Page.  
4. If I fail to maintain a regular use vehicle(s) with a separate insurance policy that satisfies the minimum state insurance requirements, the coverage under this policy will apply the same as if I did maintain a primary policy on my regular use vehicle(s).  If the company is required by law to provide any coverage with respect to my regular use vehicle(s) or any other vehicle(s), coverage under this policy will be excess to any other insurance, and the amount this policy may be required to pay is limited to the minimum types and limits of such coverage required by law.</t>
  </si>
  <si>
    <t>Limited MC Liability Stmt (G) Heading</t>
  </si>
  <si>
    <t>Limited MC Liability Stmt (G) Text</t>
  </si>
  <si>
    <t>Section G Changes During Term Heading</t>
  </si>
  <si>
    <t>CHANGES DURING ANY POLICY TERM</t>
  </si>
  <si>
    <t>Section G Changes During Term Text</t>
  </si>
  <si>
    <t>I acknowledge that it is my responsibility to inform Hagerty or my local broker of any change in the information provided herein after this form is submitted and a policy is issued. This includes but is not limited to the following: 
1. Changes in the number of licensed household drivers or regular vehicle operators or their license status; 
2. Modifications to my vehicle(s), including the addition of nitrous system(s) or hydraulics, or any modifications meant to achieve 700 horsepower or greater; 
3. Any increase or decrease in the value of my vehicle(s) for which I would expect a change in the amount of insurance coverage or premium charged. I understand that Hagerty and my local broker are not responsible for monitoring or changing vehicle values unless I request the change; or 
4. Any decrease in the liability/UM/UIM limits for the regular use vehicles in my household.</t>
  </si>
  <si>
    <t>Applicant Stmt (G) Heading</t>
  </si>
  <si>
    <t>APPLICANT'S STATEMENT</t>
  </si>
  <si>
    <t>Applicant Stmt (G) Text</t>
  </si>
  <si>
    <t>I acknowledge that I have read and understood this application in its entirety and that if Essentia Insurance Company or its authorized representative agrees to issue a policy to me, coverage will be contingent on the truth, accuracy and completeness of the information I provided herein.  I agree that this application and any materials submitted by me or at my direction with this application, shall be incorporated into and shall constitute a part of any policy issued, whether physically attached to the policy or not.  Failure to comply with any of the above conditions may result in coverage being denied.  Insurance coverage is subject to the terms, conditions, and exclusions in the policy.</t>
  </si>
  <si>
    <t>Section G Free Form Stmt Heading</t>
  </si>
  <si>
    <t>Section G Free Form Stmt Text</t>
  </si>
  <si>
    <t>Section H Title Text</t>
  </si>
  <si>
    <t>Information Practices (H) Heading</t>
  </si>
  <si>
    <t>NOTICE OF INSURANCE INFORMATION PRACTICES</t>
  </si>
  <si>
    <t>Information Practices (H) Text</t>
  </si>
  <si>
    <t>NOTICE OF INSURANCE SCORING
In connection with this application for insurance, we may review your credit report or obtain or use a credit-based insurance score based on the information contained in that credit report.  We may use this information to decide whether to insure you or how much to charge.  We may use a third party in connection with the development of your insurance score.  Future reports may be used to update or renew insurance.                                                                                                                                              
OTHER CONSUMER REPORTS
Other consumer reports about you or other individuals listed as policyholders, drivers or household members (e.g. driving record, claims history) may be requested in connection with this application,  policy amendments and/or renewals.  All consumer report information which we have or may obtain will be treated confidentially and will not be disclosed to non-affiliated third parties without your prior authorization except for such purposes as claims handling, servicing, underwriting, or as otherwise required by law.
NON-PUBLIC PERSONAL INFORMATION
Information contained in this application and any additional non-public personal information subsequently collected, will not be disclosed to non-affiliated third parties without your prior authorization unless permitted or required by law.
YOUR RIGHTS
You have the right to see personal information collected about you, and you have the right to correct any information which may be wrong. You may obtain a more detailed description of our information practices and your rights regarding information we collect by viewing our privacy policy online at www.hagerty.com, calling Hagerty, or, if you have been issued a policy, you may write us at the address provided with your policy.</t>
  </si>
  <si>
    <t>Fraud Warning (H) Heading</t>
  </si>
  <si>
    <t>FRAUD WARNING</t>
  </si>
  <si>
    <t>Fraud Warning (H) Text</t>
  </si>
  <si>
    <t>It is unlawful to knowingly provide false, incomplete, or misleading facts or information to an insurance company for the purpose of defrauding or attempting to defraud the company. Penalties may include imprisonment, fines, denial of insurance, and civil damages. Any insurance company or agent of an insurance company who knowingly provides false, incomplete, or misleading facts or information to a policyholder or claimant for the purpose of defrauding or attempting to defraud the policyholder or claimant with regard to a settlement or award payable from insurance proceeds shall be reported to the Colorado Division of Insurance within the Department of Regulatory Agencies.</t>
  </si>
  <si>
    <t>Section H Free Form Stmt Heading</t>
  </si>
  <si>
    <t>Section H Free Form Stmt Text</t>
  </si>
  <si>
    <t>Have you or any residents or dependents had any moving violations, suspensions, accidents or insurance claims within the last 5 years? If so, please describe below.</t>
  </si>
  <si>
    <t>NO</t>
  </si>
  <si>
    <t>VC AP CO 01 13</t>
  </si>
  <si>
    <t>My personal property collection will be stored in a secure, fire-protected location. If collector vehicles are part of my personal property collection, they will be stored at their principal storage address in a solidly constructed, completely enclosed and locked structure.</t>
  </si>
  <si>
    <t>Items in my personal property collection will be used only on a limited basis consistent with the use or operation of something collectible. If there are collector vehicles in my personal property collection, they will not be used for regular driving such as driving to and from work or school, shopping, errands, general transportation or back-up use.</t>
  </si>
  <si>
    <t>REGULAR USE AUTO REQUIREMENTS (Applicable only if collector vehicles are included in my personal property collection)</t>
  </si>
  <si>
    <t>Each driver within my household, including me, has a separately insured regular use vehicle of which he or she is the primary operator and which is used for regular daily driving.</t>
  </si>
  <si>
    <t>Section G Changes During Policy Term Heading</t>
  </si>
  <si>
    <t>Section G Changes During Policy Term Text</t>
  </si>
  <si>
    <t>I acknowledge that it is my responsibility to inform Hagerty or my local broker of any change in the information provided herein after this form is submitted and a policy is issued. This includes but is not limited to the following: 
Any increase or decrease in the value of my scheduled personal property for which I would expect a change in the amount of insurance coverage or premium charged. I understand that neither Hagerty nor my local broker is responsible for monitoring or changing property values unless I request the change.
If there are collector vehicles included in my personal property collection, I must also inform Hagerty or my local broker of the following:
1. Changes in the number of licensed household drivers or regular vehicle operators or their license status; 
2. Modifications to my vehicle(s), including the addition of nitrous system(s) or hydraulics, or any modifications meant to achieve 700 horsepower or greater.</t>
  </si>
  <si>
    <t>I acknowledge that I have read and understood this application in its entirety and that if Essentia Insurance Company or Hagerty agrees to issue a policy to me, coverage will be contingent on the truth, accuracy and completeness of the information I provided herein.  I agree that this application, and any materials submitted by me or at my direction with this application, shall be incorporated into and shall constitute a part of any policy issued, whether physically attached to the policy or not.  Failure to comply with any of the above conditions may result in coverage being denied. Insurance coverage is subject to the terms, conditions, and exclusions in the policy.</t>
  </si>
  <si>
    <r>
      <t xml:space="preserve">Section </t>
    </r>
    <r>
      <rPr>
        <b/>
        <sz val="10"/>
        <rFont val="Arial"/>
        <family val="2"/>
      </rPr>
      <t xml:space="preserve"> G Free Form Stmt Text</t>
    </r>
  </si>
  <si>
    <r>
      <t xml:space="preserve">Section </t>
    </r>
    <r>
      <rPr>
        <b/>
        <sz val="10"/>
        <rFont val="Arial"/>
        <family val="2"/>
      </rPr>
      <t xml:space="preserve"> H Title Text</t>
    </r>
  </si>
  <si>
    <r>
      <t>Information Practices (</t>
    </r>
    <r>
      <rPr>
        <b/>
        <sz val="10"/>
        <rFont val="Arial"/>
        <family val="2"/>
      </rPr>
      <t>H) Heading</t>
    </r>
  </si>
  <si>
    <r>
      <t>Information Practices (</t>
    </r>
    <r>
      <rPr>
        <b/>
        <sz val="10"/>
        <rFont val="Arial"/>
        <family val="2"/>
      </rPr>
      <t>H) Text</t>
    </r>
  </si>
  <si>
    <t>CONSUMER REPORTS
A consumer report about you or other individuals listed as policyholders may be requested in connection with this application,  policy amendments and/or renewals.  This consumer report information which we have or may obtain will be treated confidentially and will not be disclosed to non-affiliated third parties without your prior authorization except for such purposes as claims handling, servicing, underwriting, or as otherwise required by law.
OTHER NON-PUBLIC PERSONAL INFORMATION
Information contained in this application and any additional non-public personal information subsequently collected, will not be disclosed to non-affiliated third parties without your prior authorization unless permitted or required by law.
YOUR RIGHTS
You have the right to see personal information collected about you, and you have the right to correct any information which may be wrong.  You may obtain a more detailed description of our information practices and your rights regarding information we collect by viewing our privacy policy online at www.hagerty.com, calling Hagerty, or, if you have been issued a policy, you may write us at the address provided with your policy.</t>
  </si>
  <si>
    <r>
      <t>Fraud Warning (</t>
    </r>
    <r>
      <rPr>
        <b/>
        <sz val="10"/>
        <rFont val="Arial"/>
        <family val="2"/>
      </rPr>
      <t>H) Heading</t>
    </r>
  </si>
  <si>
    <t>TRADE SANCTIONS WARNING</t>
  </si>
  <si>
    <t>Any coverage offered under this policy will be null and void if it would violate any U.S. economic or trade sanctions, or any other applicable laws or regulations.</t>
  </si>
  <si>
    <t>Section  H Free Form Stmt Heading</t>
  </si>
  <si>
    <t>Section  H Free Form Stmt Text</t>
  </si>
  <si>
    <t>It is unlawful to knowingly provide false, incomplete, or misleading facts or information to an insurance company for the purpose of defrauding or attempting to defraud the company. Penalties may include imprisonment, fines, denial of insurance and civil damages. Any insurance company or agent of an insurance company who knowingly provides false, incomplete, or misleading facts or information to a policyholder or claimant for the purpose of defrauding or attempting to defraud the policyholder or claimant with regard to a settlement or award payable from insurance proceeds shall be reported to the Colorado Division of Insurance within the department of regulatory agencies.</t>
  </si>
  <si>
    <t>COLORADO</t>
  </si>
  <si>
    <t>Date Driven</t>
  </si>
  <si>
    <t>Impacted Coverage</t>
  </si>
  <si>
    <t>Rule</t>
  </si>
  <si>
    <t xml:space="preserve">Driver Coverage </t>
  </si>
  <si>
    <t xml:space="preserve">or </t>
  </si>
  <si>
    <t>Driver Coverage</t>
  </si>
  <si>
    <t xml:space="preserve"> Not Allowed With</t>
  </si>
  <si>
    <t xml:space="preserve"> Liability - CSL</t>
  </si>
  <si>
    <t xml:space="preserve"> Required With</t>
  </si>
  <si>
    <t xml:space="preserve"> Needs</t>
  </si>
  <si>
    <t xml:space="preserve"> Liability - BI  </t>
  </si>
  <si>
    <t>or</t>
  </si>
  <si>
    <t xml:space="preserve"> Liability - BI</t>
  </si>
  <si>
    <t xml:space="preserve"> Liability - BI </t>
  </si>
  <si>
    <t xml:space="preserve"> Uninsured Motorists BI Split Limits  </t>
  </si>
  <si>
    <t xml:space="preserve"> Vacation Site Liability</t>
  </si>
  <si>
    <t>Uninsured Motorist</t>
  </si>
  <si>
    <t xml:space="preserve"> Must be Less Than or Equal To</t>
  </si>
  <si>
    <t xml:space="preserve"> Liability</t>
  </si>
  <si>
    <t>Motorcycle Passenger Liability</t>
  </si>
  <si>
    <t xml:space="preserve"> Must be Equal to</t>
  </si>
  <si>
    <t>HARDCODED</t>
  </si>
  <si>
    <t>1.) UMPD not allowed with Collison or IM</t>
  </si>
  <si>
    <t>2.) An item with Collision cannot have UMPD</t>
  </si>
  <si>
    <t>3.) An item with Comp &amp; without liability cannot have UMPD</t>
  </si>
  <si>
    <t>NOT CODED</t>
  </si>
  <si>
    <t>UMPD is equal to Lesser of  Guaranteed Value® or the cost to repair or replace.  Unable to target, in place to calculate claims.</t>
  </si>
  <si>
    <t>Criteria RB Description</t>
  </si>
  <si>
    <t>Eligibility Score</t>
  </si>
  <si>
    <t>Flex Score</t>
  </si>
  <si>
    <t>Criteria Filing Description</t>
  </si>
  <si>
    <t>Comp Factor</t>
  </si>
  <si>
    <t>Collision Factor</t>
  </si>
  <si>
    <t>LTP Factor</t>
  </si>
  <si>
    <t>Policy Level Coverages Factor</t>
  </si>
  <si>
    <t>Policy Level</t>
  </si>
  <si>
    <t>Vehicle Level</t>
  </si>
  <si>
    <t xml:space="preserve"> Effective Date</t>
  </si>
  <si>
    <t>Renewal Expiration Date</t>
  </si>
  <si>
    <t>MAN09</t>
  </si>
  <si>
    <t>Offroad usage</t>
  </si>
  <si>
    <t>MAN11</t>
  </si>
  <si>
    <t>Dune buggy (VW)</t>
  </si>
  <si>
    <t>MAN13</t>
  </si>
  <si>
    <t>Excessive modifications per guidelines</t>
  </si>
  <si>
    <t>MAN17</t>
  </si>
  <si>
    <t>No insurable interest</t>
  </si>
  <si>
    <t>MAN18</t>
  </si>
  <si>
    <t>No regular use policy</t>
  </si>
  <si>
    <t>MAN19</t>
  </si>
  <si>
    <t>Lack of driving experience</t>
  </si>
  <si>
    <t>MAN20</t>
  </si>
  <si>
    <t>Low Rider Traits</t>
  </si>
  <si>
    <t>MIL01</t>
  </si>
  <si>
    <t>3501-5000</t>
  </si>
  <si>
    <t>Annual Mileage (3501-5000)</t>
  </si>
  <si>
    <t>MIL04</t>
  </si>
  <si>
    <t>7501+</t>
  </si>
  <si>
    <t>Annual Mileage (5001-7500)</t>
  </si>
  <si>
    <t>MIL05</t>
  </si>
  <si>
    <t>1989 &amp; older: 5001-7500</t>
  </si>
  <si>
    <t>MIL06</t>
  </si>
  <si>
    <t>1990 &amp; newer: 5001-7500</t>
  </si>
  <si>
    <t>MVR03</t>
  </si>
  <si>
    <t>8-10 acceptability points</t>
  </si>
  <si>
    <t>MVR05</t>
  </si>
  <si>
    <t>11+ acceptability points or 1 op with &gt;= 8 acceptability points</t>
  </si>
  <si>
    <t>MVR11</t>
  </si>
  <si>
    <t>&gt;= 8 acceptability points, named insured is &lt;=29 yrs old</t>
  </si>
  <si>
    <t>MVR12</t>
  </si>
  <si>
    <t>&gt;= 8 acceptability points, youthful operator 16-29</t>
  </si>
  <si>
    <t>MVV05</t>
  </si>
  <si>
    <t>Vehicle doesn't meet minimum value for segment</t>
  </si>
  <si>
    <t>RTA01</t>
  </si>
  <si>
    <t>Cobra Replicas</t>
  </si>
  <si>
    <t>RTA02</t>
  </si>
  <si>
    <t>Tuners</t>
  </si>
  <si>
    <t>RTA03</t>
  </si>
  <si>
    <t>Low Riders</t>
  </si>
  <si>
    <t>RTA05</t>
  </si>
  <si>
    <t>Pro Street</t>
  </si>
  <si>
    <t>RTA07</t>
  </si>
  <si>
    <t>High Performance (650+ HP)</t>
  </si>
  <si>
    <t>Vehicle modified with 650+ HP</t>
  </si>
  <si>
    <t>RUV03</t>
  </si>
  <si>
    <t>Retired, insured and spouse are 65+ with youthful operator (age &lt;=29 yrs old)</t>
  </si>
  <si>
    <t>One Less Regular Use Vehicle Than Household Drivers</t>
  </si>
  <si>
    <t>RUV06</t>
  </si>
  <si>
    <t>Lack of 1 regular use, youthful operator of collector</t>
  </si>
  <si>
    <t>RUV07</t>
  </si>
  <si>
    <t>Lack of 2 or more regular use</t>
  </si>
  <si>
    <t>RUV09</t>
  </si>
  <si>
    <t>Lack of 1 regular use, insuring all 1979 &amp; older vehicles</t>
  </si>
  <si>
    <t>RUV10</t>
  </si>
  <si>
    <t>Lack of reg use and mileage &gt;5k,insuring all 1979 &amp; older vehicles</t>
  </si>
  <si>
    <t>RUV11</t>
  </si>
  <si>
    <t>Lack of 1 regular use, insuring at least one1980 &amp; newer vehicles</t>
  </si>
  <si>
    <t>STG07</t>
  </si>
  <si>
    <t>Other unsecured location (public parking lot, street)</t>
  </si>
  <si>
    <t>STG16</t>
  </si>
  <si>
    <t>Rental storage unit, includes commercial storage</t>
  </si>
  <si>
    <t>STG17</t>
  </si>
  <si>
    <t>Other enclosed structure, veh value &lt;=$50k</t>
  </si>
  <si>
    <t>STG18</t>
  </si>
  <si>
    <t>Other enclosed structure, veh value &gt;$50k  OR in states where not allowed</t>
  </si>
  <si>
    <t>STG20</t>
  </si>
  <si>
    <t>Carport, Veh value &gt;$100k OR in states where not allowed</t>
  </si>
  <si>
    <t>STG24</t>
  </si>
  <si>
    <t>Driveway, veh value &gt;$50k OR in states where not allowed</t>
  </si>
  <si>
    <t>USE03</t>
  </si>
  <si>
    <t>Daily driving</t>
  </si>
  <si>
    <t>USE04</t>
  </si>
  <si>
    <t>Business</t>
  </si>
  <si>
    <t>USE05</t>
  </si>
  <si>
    <t>Seasonal Driver (Not High Performance Vehicle)</t>
  </si>
  <si>
    <t>Drive to Work at least 20 times annually/Seasonal Commuting</t>
  </si>
  <si>
    <t>USE06</t>
  </si>
  <si>
    <t>Primary Usage of Hauling and/or Towing</t>
  </si>
  <si>
    <t>YMM18</t>
  </si>
  <si>
    <t>1980 &amp; newer auto not on any list</t>
  </si>
  <si>
    <t>Emerging Collector Vehicle</t>
  </si>
  <si>
    <t>YMM25</t>
  </si>
  <si>
    <t>High Performance Vehicle w/ Seasonal Driving</t>
  </si>
  <si>
    <t>High Performance Exotic</t>
  </si>
  <si>
    <t>YMM26</t>
  </si>
  <si>
    <t>High Performance Vehicle w/ NO Seasonal Driving</t>
  </si>
  <si>
    <t>YMM28</t>
  </si>
  <si>
    <t>High Performance Vehicle</t>
  </si>
  <si>
    <t>YTH01</t>
  </si>
  <si>
    <t>Youthful operator age 16-18</t>
  </si>
  <si>
    <t>Youthful Household Operator age 16-18</t>
  </si>
  <si>
    <t>YTH02</t>
  </si>
  <si>
    <t>Youthful operator age 19-21</t>
  </si>
  <si>
    <t>Youthful Household Operator age 19-21</t>
  </si>
  <si>
    <t>YTH03</t>
  </si>
  <si>
    <t>Youthful operator age 26-29</t>
  </si>
  <si>
    <t>Youthful Household Operator age 26-29</t>
  </si>
  <si>
    <t>YTH04</t>
  </si>
  <si>
    <t>Youthful operator age 22-25</t>
  </si>
  <si>
    <t>Youthful Household Operator age 22-25</t>
  </si>
  <si>
    <t>Liab BI</t>
  </si>
  <si>
    <t>Flags</t>
  </si>
  <si>
    <t>Flag</t>
  </si>
  <si>
    <t>Effective</t>
  </si>
  <si>
    <t>Expire</t>
  </si>
  <si>
    <t>Liab CSL</t>
  </si>
  <si>
    <t>Flex Tier Grandfathering</t>
  </si>
  <si>
    <t>Liab PD</t>
  </si>
  <si>
    <t>Use Flex 2.0 Storage Factors</t>
  </si>
  <si>
    <t>Use Flex Tier</t>
  </si>
  <si>
    <t>PIP - Basic</t>
  </si>
  <si>
    <t>Flex Grandfather All</t>
  </si>
  <si>
    <t>PIP - Motorcycle</t>
  </si>
  <si>
    <t>Rate Table</t>
  </si>
  <si>
    <t>PIP - Guest (Currently Grayed out on Template)</t>
  </si>
  <si>
    <t>PIP - Pedestrian</t>
  </si>
  <si>
    <t>PIP - Added</t>
  </si>
  <si>
    <t>UM BI Only Single</t>
  </si>
  <si>
    <t>UM BI Split</t>
  </si>
  <si>
    <t>UIM BI Only Single</t>
  </si>
  <si>
    <t>UIM BI Split</t>
  </si>
  <si>
    <t>MCPL BI Split</t>
  </si>
  <si>
    <t>MCPL CSL</t>
  </si>
  <si>
    <t>Infinity Coverages and Limits</t>
  </si>
  <si>
    <t>Difference</t>
  </si>
  <si>
    <t>Hagerty Coverages and Limits</t>
  </si>
  <si>
    <t>NPOCoverageCode</t>
  </si>
  <si>
    <t>NPOCoverageType</t>
  </si>
  <si>
    <t>NPOCoverageOption</t>
  </si>
  <si>
    <t>NPOLimit1</t>
  </si>
  <si>
    <t>NPOLimit2</t>
  </si>
  <si>
    <t>CoverageType</t>
  </si>
  <si>
    <t>Limit1</t>
  </si>
  <si>
    <t>Limit2</t>
  </si>
  <si>
    <t>OverrideLimit</t>
  </si>
  <si>
    <t>DeathBenefitLimit</t>
  </si>
  <si>
    <t>NecessaryExpenseLimit</t>
  </si>
  <si>
    <t>WorkLossLimit</t>
  </si>
  <si>
    <t>UMBI-CSL</t>
  </si>
  <si>
    <t>Uninsured Motorist Bodily Injury</t>
  </si>
  <si>
    <t>1,000,000 CSL</t>
  </si>
  <si>
    <t>BI-CSL</t>
  </si>
  <si>
    <t>Bodily Injury</t>
  </si>
  <si>
    <t>25,000 CSL</t>
  </si>
  <si>
    <t>PD</t>
  </si>
  <si>
    <t>Property Damage</t>
  </si>
  <si>
    <t>60,000 CSL</t>
  </si>
  <si>
    <t>30,000 CSL</t>
  </si>
  <si>
    <t>65,000 CSL</t>
  </si>
  <si>
    <t>35,000 CSL</t>
  </si>
  <si>
    <t>70,000 CSL</t>
  </si>
  <si>
    <t>40,000 CSL</t>
  </si>
  <si>
    <t>75,000 CSL</t>
  </si>
  <si>
    <t>80,000 CSL</t>
  </si>
  <si>
    <t>BI-SPLIT</t>
  </si>
  <si>
    <t>10,000/20,000</t>
  </si>
  <si>
    <t>50,000 CSL</t>
  </si>
  <si>
    <t>85,000 CSL</t>
  </si>
  <si>
    <t>UMBI-SPLIT</t>
  </si>
  <si>
    <t>15,000/30,000</t>
  </si>
  <si>
    <t>40,000/80,000</t>
  </si>
  <si>
    <t>20,000/40,000</t>
  </si>
  <si>
    <t>25,000/65,000</t>
  </si>
  <si>
    <t>MED</t>
  </si>
  <si>
    <t>100,000 CSL</t>
  </si>
  <si>
    <t>300,000 CSL</t>
  </si>
  <si>
    <t>500,000 CSL</t>
  </si>
  <si>
    <t>100,000/200,000</t>
  </si>
  <si>
    <t>these are the coverages/limits indicated for this state coming from Infinity</t>
  </si>
  <si>
    <t>NPODeductible</t>
  </si>
  <si>
    <t>MapToHashKey</t>
  </si>
  <si>
    <t>COL</t>
  </si>
  <si>
    <t>0 DED</t>
  </si>
  <si>
    <t>50 DED</t>
  </si>
  <si>
    <t>100 DED</t>
  </si>
  <si>
    <t>200 DED</t>
  </si>
  <si>
    <t>250 DED</t>
  </si>
  <si>
    <t>500 DED</t>
  </si>
  <si>
    <t>1,000 DED</t>
  </si>
  <si>
    <t>2,500 DED</t>
  </si>
  <si>
    <t>5,000 DED</t>
  </si>
  <si>
    <t>COM</t>
  </si>
  <si>
    <t>Comprehensive (no glass)</t>
  </si>
  <si>
    <t>COMGL</t>
  </si>
  <si>
    <t>Comprehensive with glass</t>
  </si>
  <si>
    <t>STOR</t>
  </si>
  <si>
    <t>Storage only (Racecar policy)</t>
  </si>
  <si>
    <t>1000 DED</t>
  </si>
  <si>
    <t>OTHER THAN COLLISION (5)</t>
  </si>
  <si>
    <t>Risk Type(s)</t>
  </si>
  <si>
    <t>Glass Deductible</t>
  </si>
  <si>
    <t xml:space="preserve">Other than Collison </t>
  </si>
  <si>
    <t>Limited Trailer Paddock</t>
  </si>
  <si>
    <t>COLLISION (4)</t>
  </si>
  <si>
    <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</si>
</sst>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44" formatCode="_(&quot;$&quot;* #,##0.00_);_(&quot;$&quot;* \(#,##0.00\);_(&quot;$&quot;* &quot;-&quot;??_);_(@_)"/>
    <numFmt numFmtId="43" formatCode="_(* #,##0.00_);_(* \(#,##0.00\);_(* &quot;-&quot;??_);_(@_)"/>
    <numFmt numFmtId="164" formatCode="&quot;Yes&quot;;&quot;Yes&quot;;&quot;No&quot;"/>
    <numFmt numFmtId="165" formatCode="&quot;$&quot;#,##0"/>
    <numFmt numFmtId="166" formatCode="&quot;$&quot;#,##0.00"/>
    <numFmt numFmtId="167" formatCode="mm/dd/yy;@"/>
    <numFmt numFmtId="168" formatCode="0.0000"/>
    <numFmt numFmtId="169" formatCode="#,##0.000"/>
    <numFmt numFmtId="170" formatCode="0.0%"/>
    <numFmt numFmtId="171" formatCode="m/d/yy;@"/>
    <numFmt numFmtId="172" formatCode="0.000"/>
    <numFmt numFmtId="173" formatCode="#,##0.0000"/>
    <numFmt numFmtId="174" formatCode="0.00000"/>
    <numFmt numFmtId="175" formatCode="&quot;$&quot;#,##0.00000000"/>
  </numFmts>
  <fonts count="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Arial"/>
      <family val="2"/>
    </font>
    <font>
      <sz val="12"/>
      <color theme="1"/>
      <name val="Arial"/>
      <family val="2"/>
    </font>
    <font>
      <sz val="12"/>
      <color theme="1"/>
      <name val="Arial"/>
      <family val="2"/>
    </font>
    <font>
      <sz val="12"/>
      <color theme="1"/>
      <name val="Arial"/>
      <family val="2"/>
    </font>
    <font>
      <sz val="10"/>
      <name val="Arial"/>
      <family val="2"/>
    </font>
    <font>
      <b/>
      <sz val="10"/>
      <name val="Arial"/>
      <family val="2"/>
    </font>
    <font>
      <sz val="8"/>
      <name val="Arial"/>
      <family val="2"/>
    </font>
    <font>
      <sz val="10"/>
      <name val="Arial"/>
      <family val="2"/>
    </font>
    <font>
      <b/>
      <sz val="12"/>
      <name val="Arial"/>
      <family val="2"/>
    </font>
    <font>
      <b/>
      <sz val="10"/>
      <name val="Arial"/>
      <family val="2"/>
    </font>
    <font>
      <sz val="12"/>
      <name val="Arial"/>
      <family val="2"/>
    </font>
    <font>
      <b/>
      <i/>
      <sz val="10"/>
      <name val="Arial"/>
      <family val="2"/>
    </font>
    <font>
      <b/>
      <u/>
      <sz val="12"/>
      <name val="Arial"/>
      <family val="2"/>
    </font>
    <font>
      <b/>
      <u/>
      <sz val="14"/>
      <name val="Arial"/>
      <family val="2"/>
    </font>
    <font>
      <sz val="10"/>
      <color indexed="55"/>
      <name val="Arial"/>
      <family val="2"/>
    </font>
    <font>
      <strike/>
      <sz val="10"/>
      <name val="Arial"/>
      <family val="2"/>
    </font>
    <font>
      <b/>
      <strike/>
      <sz val="10"/>
      <name val="Arial"/>
      <family val="2"/>
    </font>
    <font>
      <sz val="10"/>
      <color rgb="FFFF0000"/>
      <name val="Arial"/>
      <family val="2"/>
    </font>
    <font>
      <b/>
      <u/>
      <sz val="22"/>
      <name val="Arial"/>
      <family val="2"/>
    </font>
    <font>
      <b/>
      <sz val="11"/>
      <name val="Arial"/>
      <family val="2"/>
    </font>
    <font>
      <b/>
      <sz val="10"/>
      <color theme="0" tint="-0.499984740745262"/>
      <name val="Arial"/>
      <family val="2"/>
    </font>
    <font>
      <b/>
      <sz val="12"/>
      <color theme="0" tint="-0.499984740745262"/>
      <name val="Arial"/>
      <family val="2"/>
    </font>
    <font>
      <sz val="10"/>
      <color theme="0" tint="-0.499984740745262"/>
      <name val="Arial"/>
      <family val="2"/>
    </font>
    <font>
      <sz val="11"/>
      <name val="Arial"/>
      <family val="2"/>
    </font>
    <font>
      <b/>
      <sz val="14"/>
      <name val="Arial"/>
      <family val="2"/>
    </font>
    <font>
      <b/>
      <sz val="11"/>
      <color theme="1"/>
      <name val="Calibri"/>
      <family val="2"/>
      <scheme val="minor"/>
    </font>
    <font>
      <sz val="10"/>
      <color rgb="FF000000"/>
      <name val="Arial"/>
      <family val="2"/>
    </font>
    <font>
      <i/>
      <sz val="11"/>
      <name val="Arial"/>
      <family val="2"/>
    </font>
    <font>
      <b/>
      <sz val="18"/>
      <color theme="3"/>
      <name val="Cambria"/>
      <family val="2"/>
      <scheme val="maj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5"/>
      <color theme="3"/>
      <name val="Arial"/>
      <family val="2"/>
    </font>
    <font>
      <b/>
      <sz val="13"/>
      <color theme="3"/>
      <name val="Arial"/>
      <family val="2"/>
    </font>
    <font>
      <b/>
      <sz val="11"/>
      <color theme="3"/>
      <name val="Arial"/>
      <family val="2"/>
    </font>
    <font>
      <sz val="12"/>
      <color rgb="FF006100"/>
      <name val="Arial"/>
      <family val="2"/>
    </font>
    <font>
      <sz val="12"/>
      <color rgb="FF9C0006"/>
      <name val="Arial"/>
      <family val="2"/>
    </font>
    <font>
      <sz val="12"/>
      <color rgb="FF9C6500"/>
      <name val="Arial"/>
      <family val="2"/>
    </font>
    <font>
      <sz val="12"/>
      <color rgb="FF3F3F76"/>
      <name val="Arial"/>
      <family val="2"/>
    </font>
    <font>
      <b/>
      <sz val="12"/>
      <color rgb="FF3F3F3F"/>
      <name val="Arial"/>
      <family val="2"/>
    </font>
    <font>
      <b/>
      <sz val="12"/>
      <color rgb="FFFA7D00"/>
      <name val="Arial"/>
      <family val="2"/>
    </font>
    <font>
      <sz val="12"/>
      <color rgb="FFFA7D00"/>
      <name val="Arial"/>
      <family val="2"/>
    </font>
    <font>
      <b/>
      <sz val="12"/>
      <color theme="0"/>
      <name val="Arial"/>
      <family val="2"/>
    </font>
    <font>
      <sz val="12"/>
      <color rgb="FFFF0000"/>
      <name val="Arial"/>
      <family val="2"/>
    </font>
    <font>
      <i/>
      <sz val="12"/>
      <color rgb="FF7F7F7F"/>
      <name val="Arial"/>
      <family val="2"/>
    </font>
    <font>
      <b/>
      <sz val="12"/>
      <color theme="1"/>
      <name val="Arial"/>
      <family val="2"/>
    </font>
    <font>
      <sz val="12"/>
      <color theme="0"/>
      <name val="Arial"/>
      <family val="2"/>
    </font>
    <font>
      <sz val="10"/>
      <color theme="1"/>
      <name val="Arial"/>
      <family val="2"/>
    </font>
    <font>
      <sz val="11"/>
      <color theme="0" tint="-0.499984740745262"/>
      <name val="Calibri"/>
      <family val="2"/>
    </font>
    <font>
      <sz val="11"/>
      <color rgb="FF1F497D"/>
      <name val="Calibri"/>
      <family val="2"/>
    </font>
    <font>
      <b/>
      <sz val="10"/>
      <color theme="1"/>
      <name val="Arial"/>
      <family val="2"/>
    </font>
    <font>
      <sz val="11"/>
      <name val="Calibri"/>
      <family val="2"/>
      <scheme val="minor"/>
    </font>
    <font>
      <b/>
      <sz val="10"/>
      <color rgb="FFFF0000"/>
      <name val="Arial"/>
      <family val="2"/>
    </font>
    <font>
      <sz val="10"/>
      <name val="Calibri"/>
      <family val="2"/>
    </font>
    <font>
      <b/>
      <sz val="9"/>
      <color indexed="81"/>
      <name val="Tahoma"/>
      <family val="2"/>
    </font>
    <font>
      <sz val="9"/>
      <color indexed="81"/>
      <name val="Tahoma"/>
      <family val="2"/>
    </font>
    <font>
      <sz val="8"/>
      <color indexed="64"/>
      <name val="Microsoft Sans Serif"/>
      <family val="2"/>
    </font>
    <font>
      <b/>
      <u/>
      <sz val="14"/>
      <color theme="0" tint="-0.499984740745262"/>
      <name val="Arial"/>
      <family val="2"/>
    </font>
    <font>
      <b/>
      <sz val="8"/>
      <color indexed="9"/>
      <name val="Microsoft Sans Serif"/>
      <family val="2"/>
    </font>
    <font>
      <sz val="8"/>
      <name val="Microsoft Sans Serif"/>
      <family val="2"/>
    </font>
    <font>
      <sz val="10"/>
      <color rgb="FF00B050"/>
      <name val="Arial"/>
      <family val="2"/>
    </font>
    <font>
      <b/>
      <u/>
      <sz val="10"/>
      <name val="Arial"/>
      <family val="2"/>
    </font>
    <font>
      <sz val="8"/>
      <color theme="1"/>
      <name val="Microsoft Sans Serif"/>
      <family val="2"/>
    </font>
    <font>
      <strike/>
      <sz val="11"/>
      <color theme="1"/>
      <name val="Calibri"/>
      <family val="2"/>
      <scheme val="minor"/>
    </font>
    <font>
      <b/>
      <strike/>
      <sz val="11"/>
      <name val="Calibri"/>
      <family val="2"/>
    </font>
    <font>
      <strike/>
      <sz val="10"/>
      <color theme="0" tint="-0.499984740745262"/>
      <name val="Arial"/>
      <family val="2"/>
    </font>
    <font>
      <strike/>
      <sz val="11"/>
      <color rgb="FF1F497D"/>
      <name val="Calibri"/>
      <family val="2"/>
    </font>
  </fonts>
  <fills count="49">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9"/>
        <bgColor indexed="64"/>
      </patternFill>
    </fill>
    <fill>
      <patternFill patternType="solid">
        <fgColor theme="7" tint="0.79998168889431442"/>
        <bgColor indexed="64"/>
      </patternFill>
    </fill>
    <fill>
      <patternFill patternType="solid">
        <fgColor rgb="FF00B050"/>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79998168889431442"/>
        <bgColor indexed="64"/>
      </patternFill>
    </fill>
    <fill>
      <patternFill patternType="solid">
        <fgColor indexed="8"/>
        <bgColor indexed="10"/>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1"/>
        <bgColor indexed="64"/>
      </patternFill>
    </fill>
    <fill>
      <patternFill patternType="solid">
        <fgColor rgb="FF7030A0"/>
        <bgColor indexed="64"/>
      </patternFill>
    </fill>
    <fill>
      <patternFill patternType="solid">
        <fgColor rgb="FFFFC000"/>
        <bgColor indexed="64"/>
      </patternFill>
    </fill>
    <fill>
      <patternFill patternType="solid">
        <fgColor rgb="FFFF00FF"/>
        <bgColor indexed="64"/>
      </patternFill>
    </fill>
  </fills>
  <borders count="69">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s>
  <cellStyleXfs count="158">
    <xf numFmtId="0" fontId="0" fillId="0" borderId="0"/>
    <xf numFmtId="9" fontId="11" fillId="0" borderId="0" applyFont="0" applyFill="0" applyBorder="0" applyAlignment="0" applyProtection="0"/>
    <xf numFmtId="0" fontId="14" fillId="0" borderId="0"/>
    <xf numFmtId="0" fontId="14" fillId="0" borderId="0"/>
    <xf numFmtId="0" fontId="11" fillId="0" borderId="0"/>
    <xf numFmtId="0" fontId="11" fillId="0" borderId="0"/>
    <xf numFmtId="0" fontId="11" fillId="0" borderId="0"/>
    <xf numFmtId="43" fontId="11" fillId="0" borderId="0" applyFont="0" applyFill="0" applyBorder="0" applyAlignment="0" applyProtection="0"/>
    <xf numFmtId="43" fontId="11" fillId="0" borderId="0" applyFont="0" applyFill="0" applyBorder="0" applyAlignment="0" applyProtection="0"/>
    <xf numFmtId="0" fontId="11" fillId="0" borderId="0" applyFill="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applyNumberFormat="0"/>
    <xf numFmtId="0" fontId="11" fillId="0" borderId="0" applyNumberFormat="0"/>
    <xf numFmtId="0" fontId="11" fillId="0" borderId="0" applyNumberFormat="0"/>
    <xf numFmtId="0" fontId="35" fillId="0" borderId="0" applyNumberFormat="0" applyFill="0" applyBorder="0" applyAlignment="0" applyProtection="0"/>
    <xf numFmtId="0" fontId="10" fillId="0" borderId="0"/>
    <xf numFmtId="0" fontId="11" fillId="0" borderId="0"/>
    <xf numFmtId="9" fontId="11" fillId="0" borderId="0" applyFont="0" applyFill="0" applyBorder="0" applyAlignment="0" applyProtection="0"/>
    <xf numFmtId="0" fontId="37" fillId="0" borderId="22" applyNumberFormat="0" applyFill="0" applyAlignment="0" applyProtection="0"/>
    <xf numFmtId="0" fontId="38" fillId="0" borderId="23" applyNumberFormat="0" applyFill="0" applyAlignment="0" applyProtection="0"/>
    <xf numFmtId="0" fontId="39" fillId="0" borderId="24" applyNumberFormat="0" applyFill="0" applyAlignment="0" applyProtection="0"/>
    <xf numFmtId="0" fontId="39" fillId="0" borderId="0" applyNumberFormat="0" applyFill="0" applyBorder="0" applyAlignment="0" applyProtection="0"/>
    <xf numFmtId="0" fontId="40" fillId="8" borderId="0" applyNumberFormat="0" applyBorder="0" applyAlignment="0" applyProtection="0"/>
    <xf numFmtId="0" fontId="41" fillId="9" borderId="0" applyNumberFormat="0" applyBorder="0" applyAlignment="0" applyProtection="0"/>
    <xf numFmtId="0" fontId="42" fillId="10" borderId="0" applyNumberFormat="0" applyBorder="0" applyAlignment="0" applyProtection="0"/>
    <xf numFmtId="0" fontId="43" fillId="11" borderId="25" applyNumberFormat="0" applyAlignment="0" applyProtection="0"/>
    <xf numFmtId="0" fontId="44" fillId="12" borderId="26" applyNumberFormat="0" applyAlignment="0" applyProtection="0"/>
    <xf numFmtId="0" fontId="45" fillId="12" borderId="25" applyNumberFormat="0" applyAlignment="0" applyProtection="0"/>
    <xf numFmtId="0" fontId="46" fillId="0" borderId="27" applyNumberFormat="0" applyFill="0" applyAlignment="0" applyProtection="0"/>
    <xf numFmtId="0" fontId="47" fillId="13" borderId="28" applyNumberFormat="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32" fillId="0" borderId="30" applyNumberFormat="0" applyFill="0" applyAlignment="0" applyProtection="0"/>
    <xf numFmtId="0" fontId="50"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50" fillId="18" borderId="0" applyNumberFormat="0" applyBorder="0" applyAlignment="0" applyProtection="0"/>
    <xf numFmtId="0" fontId="50" fillId="1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0" fontId="50" fillId="22" borderId="0" applyNumberFormat="0" applyBorder="0" applyAlignment="0" applyProtection="0"/>
    <xf numFmtId="0" fontId="50"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0" fontId="50" fillId="26" borderId="0" applyNumberFormat="0" applyBorder="0" applyAlignment="0" applyProtection="0"/>
    <xf numFmtId="0" fontId="50"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50" fillId="30" borderId="0" applyNumberFormat="0" applyBorder="0" applyAlignment="0" applyProtection="0"/>
    <xf numFmtId="0" fontId="50" fillId="31" borderId="0" applyNumberFormat="0" applyBorder="0" applyAlignment="0" applyProtection="0"/>
    <xf numFmtId="0" fontId="36" fillId="32" borderId="0" applyNumberFormat="0" applyBorder="0" applyAlignment="0" applyProtection="0"/>
    <xf numFmtId="0" fontId="36" fillId="33" borderId="0" applyNumberFormat="0" applyBorder="0" applyAlignment="0" applyProtection="0"/>
    <xf numFmtId="0" fontId="50" fillId="34" borderId="0" applyNumberFormat="0" applyBorder="0" applyAlignment="0" applyProtection="0"/>
    <xf numFmtId="0" fontId="50" fillId="35" borderId="0" applyNumberFormat="0" applyBorder="0" applyAlignment="0" applyProtection="0"/>
    <xf numFmtId="0" fontId="36" fillId="36" borderId="0" applyNumberFormat="0" applyBorder="0" applyAlignment="0" applyProtection="0"/>
    <xf numFmtId="0" fontId="36" fillId="37" borderId="0" applyNumberFormat="0" applyBorder="0" applyAlignment="0" applyProtection="0"/>
    <xf numFmtId="0" fontId="50" fillId="38" borderId="0" applyNumberFormat="0" applyBorder="0" applyAlignment="0" applyProtection="0"/>
    <xf numFmtId="0" fontId="36" fillId="0" borderId="0"/>
    <xf numFmtId="0" fontId="36" fillId="14" borderId="29" applyNumberFormat="0" applyFont="0" applyAlignment="0" applyProtection="0"/>
    <xf numFmtId="0" fontId="51" fillId="0" borderId="22" applyNumberFormat="0" applyFill="0" applyAlignment="0" applyProtection="0"/>
    <xf numFmtId="0" fontId="52" fillId="0" borderId="23" applyNumberFormat="0" applyFill="0" applyAlignment="0" applyProtection="0"/>
    <xf numFmtId="0" fontId="53" fillId="0" borderId="24" applyNumberFormat="0" applyFill="0" applyAlignment="0" applyProtection="0"/>
    <xf numFmtId="0" fontId="53" fillId="0" borderId="0" applyNumberFormat="0" applyFill="0" applyBorder="0" applyAlignment="0" applyProtection="0"/>
    <xf numFmtId="0" fontId="54" fillId="8" borderId="0" applyNumberFormat="0" applyBorder="0" applyAlignment="0" applyProtection="0"/>
    <xf numFmtId="0" fontId="55" fillId="9" borderId="0" applyNumberFormat="0" applyBorder="0" applyAlignment="0" applyProtection="0"/>
    <xf numFmtId="0" fontId="56" fillId="10" borderId="0" applyNumberFormat="0" applyBorder="0" applyAlignment="0" applyProtection="0"/>
    <xf numFmtId="0" fontId="57" fillId="11" borderId="25" applyNumberFormat="0" applyAlignment="0" applyProtection="0"/>
    <xf numFmtId="0" fontId="58" fillId="12" borderId="26" applyNumberFormat="0" applyAlignment="0" applyProtection="0"/>
    <xf numFmtId="0" fontId="59" fillId="12" borderId="25" applyNumberFormat="0" applyAlignment="0" applyProtection="0"/>
    <xf numFmtId="0" fontId="60" fillId="0" borderId="27" applyNumberFormat="0" applyFill="0" applyAlignment="0" applyProtection="0"/>
    <xf numFmtId="0" fontId="61" fillId="13" borderId="28"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0" applyNumberFormat="0" applyFill="0" applyAlignment="0" applyProtection="0"/>
    <xf numFmtId="0" fontId="65"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65" fillId="18" borderId="0" applyNumberFormat="0" applyBorder="0" applyAlignment="0" applyProtection="0"/>
    <xf numFmtId="0" fontId="65"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65" fillId="22" borderId="0" applyNumberFormat="0" applyBorder="0" applyAlignment="0" applyProtection="0"/>
    <xf numFmtId="0" fontId="65"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65" fillId="38" borderId="0" applyNumberFormat="0" applyBorder="0" applyAlignment="0" applyProtection="0"/>
    <xf numFmtId="0" fontId="9" fillId="0" borderId="0"/>
    <xf numFmtId="0" fontId="9" fillId="14" borderId="29" applyNumberFormat="0" applyFont="0" applyAlignment="0" applyProtection="0"/>
    <xf numFmtId="0" fontId="8" fillId="0" borderId="0"/>
    <xf numFmtId="0" fontId="8" fillId="14" borderId="29" applyNumberFormat="0" applyFont="0" applyAlignment="0" applyProtection="0"/>
    <xf numFmtId="0" fontId="8" fillId="16" borderId="0" applyNumberFormat="0" applyBorder="0" applyAlignment="0" applyProtection="0"/>
    <xf numFmtId="0" fontId="8" fillId="17"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7" fillId="0" borderId="0"/>
    <xf numFmtId="0" fontId="7" fillId="14" borderId="29" applyNumberFormat="0" applyFont="0" applyAlignment="0" applyProtection="0"/>
    <xf numFmtId="0" fontId="7" fillId="16" borderId="0" applyNumberFormat="0" applyBorder="0" applyAlignment="0" applyProtection="0"/>
    <xf numFmtId="0" fontId="7" fillId="17"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4" borderId="0" applyNumberFormat="0" applyBorder="0" applyAlignment="0" applyProtection="0"/>
    <xf numFmtId="0" fontId="7" fillId="25"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6" fillId="0" borderId="0"/>
    <xf numFmtId="0" fontId="5" fillId="0" borderId="0"/>
    <xf numFmtId="0" fontId="5" fillId="0" borderId="0"/>
    <xf numFmtId="0" fontId="11" fillId="0" borderId="0" applyNumberFormat="0"/>
    <xf numFmtId="0" fontId="4" fillId="0" borderId="0"/>
    <xf numFmtId="0" fontId="7" fillId="0" borderId="0"/>
    <xf numFmtId="0" fontId="3" fillId="0" borderId="0"/>
    <xf numFmtId="0" fontId="3" fillId="0" borderId="0"/>
    <xf numFmtId="0" fontId="11" fillId="0" borderId="0" applyNumberFormat="0"/>
    <xf numFmtId="0" fontId="3" fillId="0" borderId="0"/>
    <xf numFmtId="0" fontId="7" fillId="0" borderId="0"/>
    <xf numFmtId="0" fontId="33" fillId="0" borderId="0"/>
    <xf numFmtId="0" fontId="33" fillId="0" borderId="0"/>
  </cellStyleXfs>
  <cellXfs count="1215">
    <xf numFmtId="0" fontId="0" fillId="0" borderId="0" xfId="0"/>
    <xf numFmtId="0" fontId="0" fillId="0" borderId="0" xfId="0" applyAlignment="1">
      <alignment wrapText="1"/>
    </xf>
    <xf numFmtId="0" fontId="0" fillId="0" borderId="0" xfId="0" applyAlignment="1">
      <alignment horizontal="right"/>
    </xf>
    <xf numFmtId="0" fontId="0" fillId="0" borderId="0" xfId="0" applyAlignment="1">
      <alignment horizontal="left"/>
    </xf>
    <xf numFmtId="0" fontId="12" fillId="0" borderId="0" xfId="0" applyFont="1" applyAlignment="1">
      <alignment horizontal="right" vertical="center" indent="1"/>
    </xf>
    <xf numFmtId="0" fontId="12" fillId="0" borderId="0" xfId="0" applyFont="1" applyAlignment="1">
      <alignment horizontal="right" vertical="center" wrapText="1" indent="1"/>
    </xf>
    <xf numFmtId="0" fontId="0" fillId="0" borderId="0" xfId="0" applyAlignment="1">
      <alignment horizontal="left" vertical="center" wrapText="1"/>
    </xf>
    <xf numFmtId="0" fontId="0" fillId="0" borderId="0" xfId="0" applyAlignment="1">
      <alignment horizontal="center" vertical="center"/>
    </xf>
    <xf numFmtId="0" fontId="12" fillId="0" borderId="0" xfId="0" applyFont="1" applyAlignment="1">
      <alignment horizontal="center" vertical="center"/>
    </xf>
    <xf numFmtId="0" fontId="12" fillId="0" borderId="0" xfId="0" applyFont="1"/>
    <xf numFmtId="164" fontId="0" fillId="0" borderId="0" xfId="0" applyNumberFormat="1" applyAlignment="1">
      <alignment horizontal="center" vertical="center"/>
    </xf>
    <xf numFmtId="0" fontId="21" fillId="0" borderId="0" xfId="0" applyFont="1"/>
    <xf numFmtId="0" fontId="0" fillId="0" borderId="0" xfId="0" applyAlignment="1">
      <alignment vertical="top"/>
    </xf>
    <xf numFmtId="0" fontId="0" fillId="0" borderId="6" xfId="0" applyBorder="1"/>
    <xf numFmtId="0" fontId="16" fillId="0" borderId="0" xfId="0" applyFont="1"/>
    <xf numFmtId="0" fontId="0" fillId="0" borderId="9" xfId="0" applyBorder="1"/>
    <xf numFmtId="0" fontId="0" fillId="0" borderId="8" xfId="0" applyBorder="1" applyAlignment="1">
      <alignment horizontal="center"/>
    </xf>
    <xf numFmtId="0" fontId="16" fillId="0" borderId="0" xfId="0" applyFont="1" applyAlignment="1">
      <alignment horizontal="right" vertical="top"/>
    </xf>
    <xf numFmtId="3" fontId="0" fillId="0" borderId="0" xfId="0" applyNumberFormat="1" applyAlignment="1">
      <alignment horizontal="left" vertical="center" wrapText="1"/>
    </xf>
    <xf numFmtId="3" fontId="0" fillId="0" borderId="0" xfId="0" applyNumberFormat="1"/>
    <xf numFmtId="0" fontId="0" fillId="0" borderId="0" xfId="0" applyAlignment="1">
      <alignment horizontal="center"/>
    </xf>
    <xf numFmtId="0" fontId="16" fillId="0" borderId="0" xfId="0" applyFont="1" applyAlignment="1">
      <alignment horizontal="center" wrapText="1"/>
    </xf>
    <xf numFmtId="166" fontId="0" fillId="0" borderId="0" xfId="0" applyNumberFormat="1"/>
    <xf numFmtId="166" fontId="0" fillId="0" borderId="0" xfId="0" applyNumberFormat="1" applyAlignment="1">
      <alignment horizontal="center"/>
    </xf>
    <xf numFmtId="0" fontId="0" fillId="0" borderId="0" xfId="0" applyAlignment="1">
      <alignment vertical="center"/>
    </xf>
    <xf numFmtId="3" fontId="11" fillId="0" borderId="0" xfId="0" applyNumberFormat="1" applyFont="1"/>
    <xf numFmtId="0" fontId="14" fillId="0" borderId="0" xfId="0" applyFont="1" applyAlignment="1">
      <alignment horizontal="center"/>
    </xf>
    <xf numFmtId="1" fontId="0" fillId="0" borderId="0" xfId="0" applyNumberFormat="1" applyAlignment="1">
      <alignment horizontal="center"/>
    </xf>
    <xf numFmtId="9" fontId="0" fillId="0" borderId="0" xfId="0" applyNumberFormat="1" applyAlignment="1">
      <alignment horizontal="left"/>
    </xf>
    <xf numFmtId="0" fontId="22" fillId="0" borderId="0" xfId="0" applyFont="1"/>
    <xf numFmtId="0" fontId="0" fillId="0" borderId="0" xfId="0" applyAlignment="1">
      <alignment horizontal="left" vertical="center"/>
    </xf>
    <xf numFmtId="0" fontId="0" fillId="0" borderId="0" xfId="0" applyAlignment="1">
      <alignment horizontal="left" vertical="center" wrapText="1" indent="1"/>
    </xf>
    <xf numFmtId="0" fontId="12" fillId="0" borderId="0" xfId="0" applyFont="1" applyAlignment="1">
      <alignment horizontal="right" vertical="center"/>
    </xf>
    <xf numFmtId="0" fontId="11" fillId="0" borderId="0" xfId="0" applyFont="1" applyAlignment="1">
      <alignment horizontal="left" vertical="center"/>
    </xf>
    <xf numFmtId="0" fontId="11" fillId="0" borderId="0" xfId="0" applyFont="1" applyAlignment="1">
      <alignment horizontal="left" vertical="center" indent="1"/>
    </xf>
    <xf numFmtId="0" fontId="12" fillId="0" borderId="0" xfId="0" applyFont="1" applyAlignment="1">
      <alignment horizontal="right"/>
    </xf>
    <xf numFmtId="0" fontId="12" fillId="0" borderId="0" xfId="0" applyFont="1" applyAlignment="1">
      <alignment horizontal="center"/>
    </xf>
    <xf numFmtId="3" fontId="12" fillId="0" borderId="0" xfId="0" applyNumberFormat="1" applyFont="1" applyAlignment="1">
      <alignment horizontal="right"/>
    </xf>
    <xf numFmtId="168" fontId="12" fillId="0" borderId="0" xfId="0" applyNumberFormat="1" applyFont="1" applyAlignment="1">
      <alignment horizontal="center"/>
    </xf>
    <xf numFmtId="165" fontId="11" fillId="0" borderId="0" xfId="0" applyNumberFormat="1" applyFont="1" applyAlignment="1">
      <alignment horizontal="left"/>
    </xf>
    <xf numFmtId="165" fontId="0" fillId="0" borderId="5" xfId="0" applyNumberFormat="1" applyBorder="1" applyAlignment="1">
      <alignment horizontal="center" vertical="center"/>
    </xf>
    <xf numFmtId="165" fontId="0" fillId="0" borderId="5" xfId="0" applyNumberFormat="1" applyBorder="1"/>
    <xf numFmtId="0" fontId="11" fillId="0" borderId="0" xfId="0" applyFont="1" applyAlignment="1">
      <alignment horizontal="left"/>
    </xf>
    <xf numFmtId="165" fontId="0" fillId="0" borderId="0" xfId="0" applyNumberFormat="1" applyAlignment="1">
      <alignment horizontal="left"/>
    </xf>
    <xf numFmtId="165" fontId="0" fillId="0" borderId="0" xfId="0" applyNumberFormat="1" applyAlignment="1">
      <alignment horizontal="center" vertical="center"/>
    </xf>
    <xf numFmtId="165" fontId="12" fillId="0" borderId="13" xfId="0" applyNumberFormat="1" applyFont="1" applyBorder="1"/>
    <xf numFmtId="165" fontId="0" fillId="0" borderId="0" xfId="0" applyNumberFormat="1" applyAlignment="1">
      <alignment horizontal="left" vertical="center"/>
    </xf>
    <xf numFmtId="0" fontId="30" fillId="0" borderId="0" xfId="0" applyFont="1" applyAlignment="1">
      <alignment horizontal="left" vertical="center"/>
    </xf>
    <xf numFmtId="167" fontId="0" fillId="0" borderId="0" xfId="0" applyNumberFormat="1"/>
    <xf numFmtId="49" fontId="0" fillId="0" borderId="0" xfId="0" applyNumberFormat="1"/>
    <xf numFmtId="0" fontId="11" fillId="0" borderId="0" xfId="0" applyFont="1" applyAlignment="1">
      <alignment vertical="center"/>
    </xf>
    <xf numFmtId="0" fontId="11" fillId="0" borderId="0" xfId="0" applyFont="1" applyAlignment="1">
      <alignment horizontal="left" vertical="center" wrapText="1"/>
    </xf>
    <xf numFmtId="0" fontId="11" fillId="0" borderId="0" xfId="0" applyFont="1" applyAlignment="1">
      <alignment horizontal="left" vertical="top"/>
    </xf>
    <xf numFmtId="6" fontId="0" fillId="0" borderId="0" xfId="0" applyNumberFormat="1" applyAlignment="1">
      <alignment horizontal="left"/>
    </xf>
    <xf numFmtId="0" fontId="12" fillId="0" borderId="0" xfId="0" applyFont="1" applyAlignment="1">
      <alignment horizontal="right" vertical="top"/>
    </xf>
    <xf numFmtId="0" fontId="29" fillId="0" borderId="0" xfId="0" applyFont="1"/>
    <xf numFmtId="0" fontId="27" fillId="0" borderId="0" xfId="0" applyFont="1" applyAlignment="1">
      <alignment horizontal="center" wrapText="1"/>
    </xf>
    <xf numFmtId="1" fontId="11" fillId="0" borderId="0" xfId="0" applyNumberFormat="1" applyFont="1" applyAlignment="1">
      <alignment horizontal="center"/>
    </xf>
    <xf numFmtId="166" fontId="11" fillId="0" borderId="0" xfId="0" applyNumberFormat="1" applyFont="1" applyAlignment="1">
      <alignment horizontal="center" vertical="center"/>
    </xf>
    <xf numFmtId="0" fontId="32" fillId="4" borderId="0" xfId="0" applyFont="1" applyFill="1" applyAlignment="1">
      <alignment horizontal="center"/>
    </xf>
    <xf numFmtId="0" fontId="32" fillId="5" borderId="0" xfId="0" applyFont="1" applyFill="1"/>
    <xf numFmtId="0" fontId="32" fillId="0" borderId="0" xfId="0" applyFont="1"/>
    <xf numFmtId="0" fontId="0" fillId="0" borderId="18" xfId="0" applyBorder="1"/>
    <xf numFmtId="0" fontId="32" fillId="6" borderId="0" xfId="0" applyFont="1" applyFill="1"/>
    <xf numFmtId="0" fontId="32" fillId="7" borderId="0" xfId="0" applyFont="1" applyFill="1"/>
    <xf numFmtId="0" fontId="11" fillId="0" borderId="8" xfId="0" applyFont="1" applyBorder="1"/>
    <xf numFmtId="0" fontId="12" fillId="0" borderId="8" xfId="0" applyFont="1" applyBorder="1" applyAlignment="1">
      <alignment horizontal="center" wrapText="1"/>
    </xf>
    <xf numFmtId="0" fontId="11" fillId="0" borderId="0" xfId="0" applyFont="1"/>
    <xf numFmtId="0" fontId="0" fillId="0" borderId="0" xfId="0" applyAlignment="1">
      <alignment horizontal="center" wrapText="1"/>
    </xf>
    <xf numFmtId="0" fontId="12" fillId="0" borderId="0" xfId="0" applyFont="1" applyAlignment="1">
      <alignment wrapText="1"/>
    </xf>
    <xf numFmtId="0" fontId="12" fillId="0" borderId="0" xfId="0" applyFont="1" applyAlignment="1">
      <alignment horizontal="center" wrapText="1"/>
    </xf>
    <xf numFmtId="0" fontId="11" fillId="0" borderId="0" xfId="0" applyFont="1" applyAlignment="1">
      <alignment horizontal="center" wrapText="1"/>
    </xf>
    <xf numFmtId="0" fontId="0" fillId="3" borderId="0" xfId="0" applyFill="1" applyAlignment="1">
      <alignment wrapText="1"/>
    </xf>
    <xf numFmtId="0" fontId="0" fillId="3" borderId="0" xfId="0" applyFill="1" applyAlignment="1">
      <alignment horizontal="center" wrapText="1"/>
    </xf>
    <xf numFmtId="0" fontId="24" fillId="3" borderId="0" xfId="0" applyFont="1" applyFill="1" applyAlignment="1">
      <alignment horizontal="left" wrapText="1"/>
    </xf>
    <xf numFmtId="0" fontId="24" fillId="3" borderId="0" xfId="0" applyFont="1" applyFill="1" applyAlignment="1">
      <alignment horizontal="center" wrapText="1"/>
    </xf>
    <xf numFmtId="0" fontId="11" fillId="0" borderId="0" xfId="0" applyFont="1" applyAlignment="1">
      <alignment horizontal="center" vertical="center"/>
    </xf>
    <xf numFmtId="0" fontId="11" fillId="0" borderId="0" xfId="0" applyFont="1" applyAlignment="1">
      <alignment horizontal="center"/>
    </xf>
    <xf numFmtId="0" fontId="23" fillId="0" borderId="0" xfId="0" applyFont="1" applyAlignment="1">
      <alignment horizontal="left" vertical="center" indent="1"/>
    </xf>
    <xf numFmtId="14" fontId="12" fillId="0" borderId="0" xfId="0" applyNumberFormat="1" applyFont="1" applyAlignment="1">
      <alignment horizontal="center" wrapText="1"/>
    </xf>
    <xf numFmtId="0" fontId="24" fillId="0" borderId="0" xfId="0" applyFont="1"/>
    <xf numFmtId="0" fontId="11" fillId="0" borderId="0" xfId="20"/>
    <xf numFmtId="0" fontId="11" fillId="0" borderId="0" xfId="20" applyAlignment="1">
      <alignment horizontal="left" vertical="center"/>
    </xf>
    <xf numFmtId="0" fontId="12" fillId="0" borderId="0" xfId="20" applyFont="1" applyAlignment="1">
      <alignment horizontal="right" vertical="center"/>
    </xf>
    <xf numFmtId="0" fontId="12" fillId="0" borderId="0" xfId="20" applyFont="1"/>
    <xf numFmtId="0" fontId="11" fillId="0" borderId="0" xfId="20" applyAlignment="1">
      <alignment wrapText="1"/>
    </xf>
    <xf numFmtId="3" fontId="11" fillId="0" borderId="0" xfId="20" applyNumberFormat="1" applyAlignment="1">
      <alignment horizontal="left" vertical="center" wrapText="1"/>
    </xf>
    <xf numFmtId="3" fontId="11" fillId="0" borderId="0" xfId="20" applyNumberFormat="1"/>
    <xf numFmtId="0" fontId="11" fillId="0" borderId="0" xfId="20" applyAlignment="1">
      <alignment horizontal="center"/>
    </xf>
    <xf numFmtId="0" fontId="12" fillId="0" borderId="0" xfId="20" applyFont="1" applyAlignment="1">
      <alignment horizontal="right" vertical="top"/>
    </xf>
    <xf numFmtId="0" fontId="12" fillId="0" borderId="0" xfId="20" applyFont="1" applyAlignment="1">
      <alignment horizontal="center" vertical="top" wrapText="1"/>
    </xf>
    <xf numFmtId="0" fontId="12" fillId="0" borderId="0" xfId="20" applyFont="1" applyAlignment="1">
      <alignment horizontal="center" wrapText="1"/>
    </xf>
    <xf numFmtId="166" fontId="11" fillId="0" borderId="0" xfId="20" applyNumberFormat="1"/>
    <xf numFmtId="166" fontId="11" fillId="0" borderId="0" xfId="20" applyNumberFormat="1" applyAlignment="1">
      <alignment horizontal="center"/>
    </xf>
    <xf numFmtId="0" fontId="29" fillId="0" borderId="0" xfId="20" applyFont="1"/>
    <xf numFmtId="166" fontId="12" fillId="0" borderId="0" xfId="20" applyNumberFormat="1" applyFont="1"/>
    <xf numFmtId="0" fontId="11" fillId="0" borderId="0" xfId="20" applyAlignment="1">
      <alignment horizontal="center" vertical="top"/>
    </xf>
    <xf numFmtId="3" fontId="19" fillId="0" borderId="0" xfId="20" applyNumberFormat="1" applyFont="1" applyAlignment="1">
      <alignment horizontal="center"/>
    </xf>
    <xf numFmtId="14" fontId="12" fillId="0" borderId="8" xfId="0" applyNumberFormat="1" applyFont="1" applyBorder="1" applyAlignment="1">
      <alignment horizontal="center" wrapText="1"/>
    </xf>
    <xf numFmtId="0" fontId="11" fillId="0" borderId="0" xfId="20" applyAlignment="1">
      <alignment vertical="center" wrapText="1"/>
    </xf>
    <xf numFmtId="0" fontId="12" fillId="0" borderId="0" xfId="11" applyFont="1" applyAlignment="1">
      <alignment horizontal="right" vertical="center" indent="1"/>
    </xf>
    <xf numFmtId="0" fontId="12" fillId="0" borderId="0" xfId="11" applyFont="1" applyAlignment="1">
      <alignment horizontal="right" vertical="center"/>
    </xf>
    <xf numFmtId="0" fontId="11" fillId="0" borderId="0" xfId="11" applyAlignment="1">
      <alignment horizontal="left" vertical="center"/>
    </xf>
    <xf numFmtId="0" fontId="19" fillId="0" borderId="0" xfId="11" applyFont="1" applyAlignment="1">
      <alignment horizontal="center" vertical="center"/>
    </xf>
    <xf numFmtId="0" fontId="11" fillId="0" borderId="0" xfId="11"/>
    <xf numFmtId="0" fontId="12" fillId="0" borderId="0" xfId="11" applyFont="1" applyAlignment="1">
      <alignment vertical="center"/>
    </xf>
    <xf numFmtId="0" fontId="12" fillId="0" borderId="0" xfId="11" applyFont="1" applyAlignment="1">
      <alignment horizontal="right"/>
    </xf>
    <xf numFmtId="0" fontId="12" fillId="0" borderId="0" xfId="11" applyFont="1"/>
    <xf numFmtId="0" fontId="12" fillId="0" borderId="0" xfId="11" applyFont="1" applyAlignment="1">
      <alignment horizontal="left" vertical="top" wrapText="1" indent="1"/>
    </xf>
    <xf numFmtId="0" fontId="12" fillId="0" borderId="0" xfId="11" applyFont="1" applyAlignment="1">
      <alignment horizontal="right" vertical="center" wrapText="1" indent="1"/>
    </xf>
    <xf numFmtId="0" fontId="11" fillId="0" borderId="0" xfId="11" applyAlignment="1">
      <alignment vertical="top"/>
    </xf>
    <xf numFmtId="0" fontId="11" fillId="0" borderId="0" xfId="11" applyAlignment="1">
      <alignment vertical="top" wrapText="1"/>
    </xf>
    <xf numFmtId="0" fontId="15" fillId="0" borderId="0" xfId="20" applyFont="1" applyAlignment="1">
      <alignment wrapText="1"/>
    </xf>
    <xf numFmtId="0" fontId="11" fillId="0" borderId="0" xfId="20" applyAlignment="1">
      <alignment horizontal="left"/>
    </xf>
    <xf numFmtId="9" fontId="11" fillId="0" borderId="0" xfId="1" applyFont="1" applyFill="1" applyAlignment="1">
      <alignment horizontal="left" wrapText="1"/>
    </xf>
    <xf numFmtId="0" fontId="11" fillId="0" borderId="0" xfId="20" applyAlignment="1">
      <alignment horizontal="center" wrapText="1"/>
    </xf>
    <xf numFmtId="9" fontId="11" fillId="0" borderId="0" xfId="1" applyFont="1" applyFill="1" applyAlignment="1">
      <alignment horizontal="left"/>
    </xf>
    <xf numFmtId="170" fontId="11" fillId="0" borderId="0" xfId="1" applyNumberFormat="1" applyFont="1" applyFill="1" applyAlignment="1">
      <alignment horizontal="left"/>
    </xf>
    <xf numFmtId="0" fontId="12" fillId="0" borderId="0" xfId="20" applyFont="1" applyAlignment="1">
      <alignment horizontal="right" vertical="center" wrapText="1"/>
    </xf>
    <xf numFmtId="0" fontId="11" fillId="0" borderId="0" xfId="20" applyAlignment="1">
      <alignment horizontal="left" vertical="top" wrapText="1"/>
    </xf>
    <xf numFmtId="0" fontId="11" fillId="0" borderId="0" xfId="11" applyAlignment="1">
      <alignment horizontal="center" wrapText="1"/>
    </xf>
    <xf numFmtId="0" fontId="11" fillId="0" borderId="0" xfId="0" applyFont="1" applyAlignment="1">
      <alignment wrapText="1"/>
    </xf>
    <xf numFmtId="165" fontId="0" fillId="0" borderId="5" xfId="0" applyNumberFormat="1" applyBorder="1" applyAlignment="1">
      <alignment horizontal="center"/>
    </xf>
    <xf numFmtId="165" fontId="11" fillId="0" borderId="5" xfId="0" applyNumberFormat="1" applyFont="1" applyBorder="1" applyAlignment="1">
      <alignment horizontal="center"/>
    </xf>
    <xf numFmtId="0" fontId="11" fillId="0" borderId="5" xfId="0" applyFont="1" applyBorder="1" applyAlignment="1">
      <alignment horizontal="center"/>
    </xf>
    <xf numFmtId="6" fontId="11" fillId="0" borderId="0" xfId="20" applyNumberFormat="1" applyAlignment="1">
      <alignment horizontal="center"/>
    </xf>
    <xf numFmtId="0" fontId="11" fillId="0" borderId="0" xfId="0" applyFont="1" applyAlignment="1">
      <alignment horizontal="left" wrapText="1"/>
    </xf>
    <xf numFmtId="9" fontId="11" fillId="0" borderId="0" xfId="1" applyFont="1" applyFill="1" applyAlignment="1">
      <alignment horizontal="left" indent="2"/>
    </xf>
    <xf numFmtId="9" fontId="0" fillId="0" borderId="0" xfId="1" applyFont="1" applyFill="1" applyAlignment="1">
      <alignment horizontal="left" indent="2"/>
    </xf>
    <xf numFmtId="0" fontId="11" fillId="0" borderId="0" xfId="20" applyAlignment="1">
      <alignment vertical="center"/>
    </xf>
    <xf numFmtId="14" fontId="11" fillId="0" borderId="0" xfId="20" applyNumberFormat="1"/>
    <xf numFmtId="0" fontId="0" fillId="0" borderId="0" xfId="0" applyAlignment="1">
      <alignment horizontal="left" indent="2"/>
    </xf>
    <xf numFmtId="0" fontId="0" fillId="0" borderId="0" xfId="0" applyAlignment="1">
      <alignment horizontal="left" indent="1"/>
    </xf>
    <xf numFmtId="9" fontId="11" fillId="0" borderId="0" xfId="0" applyNumberFormat="1" applyFont="1" applyAlignment="1">
      <alignment horizontal="left" wrapText="1"/>
    </xf>
    <xf numFmtId="0" fontId="22" fillId="0" borderId="0" xfId="20" applyFont="1"/>
    <xf numFmtId="0" fontId="11" fillId="0" borderId="8" xfId="20" applyBorder="1"/>
    <xf numFmtId="0" fontId="11" fillId="0" borderId="8" xfId="20" applyBorder="1" applyAlignment="1">
      <alignment horizontal="center"/>
    </xf>
    <xf numFmtId="14" fontId="11" fillId="0" borderId="8" xfId="20" applyNumberFormat="1" applyBorder="1" applyAlignment="1">
      <alignment horizontal="center"/>
    </xf>
    <xf numFmtId="0" fontId="11" fillId="0" borderId="8" xfId="20" applyBorder="1" applyAlignment="1">
      <alignment horizontal="center" vertical="center"/>
    </xf>
    <xf numFmtId="0" fontId="66" fillId="0" borderId="8" xfId="146" applyFont="1" applyBorder="1"/>
    <xf numFmtId="0" fontId="66" fillId="0" borderId="8" xfId="146" applyFont="1" applyBorder="1" applyAlignment="1">
      <alignment horizontal="center"/>
    </xf>
    <xf numFmtId="0" fontId="22" fillId="0" borderId="8" xfId="20" applyFont="1" applyBorder="1" applyAlignment="1">
      <alignment horizontal="center"/>
    </xf>
    <xf numFmtId="0" fontId="29" fillId="0" borderId="8" xfId="20" applyFont="1" applyBorder="1"/>
    <xf numFmtId="0" fontId="0" fillId="0" borderId="0" xfId="0" applyAlignment="1">
      <alignment vertical="top" wrapText="1"/>
    </xf>
    <xf numFmtId="0" fontId="25" fillId="0" borderId="0" xfId="0" applyFont="1" applyAlignment="1">
      <alignment horizontal="center" vertical="center"/>
    </xf>
    <xf numFmtId="0" fontId="11" fillId="0" borderId="0" xfId="0" applyFont="1" applyAlignment="1">
      <alignment horizontal="left" vertical="center" wrapText="1" indent="1"/>
    </xf>
    <xf numFmtId="6" fontId="11" fillId="0" borderId="0" xfId="0" applyNumberFormat="1" applyFont="1" applyAlignment="1">
      <alignment horizontal="left" vertical="center"/>
    </xf>
    <xf numFmtId="0" fontId="0" fillId="0" borderId="0" xfId="0" applyAlignment="1">
      <alignment horizontal="left" wrapText="1"/>
    </xf>
    <xf numFmtId="0" fontId="11" fillId="0" borderId="0" xfId="0" applyFont="1" applyAlignment="1">
      <alignment horizontal="left" vertical="top" wrapText="1"/>
    </xf>
    <xf numFmtId="0" fontId="11" fillId="0" borderId="0" xfId="0" applyFont="1" applyAlignment="1">
      <alignment vertical="center" wrapText="1"/>
    </xf>
    <xf numFmtId="0" fontId="0" fillId="0" borderId="0" xfId="0" applyAlignment="1">
      <alignment horizontal="left" wrapText="1" indent="3"/>
    </xf>
    <xf numFmtId="0" fontId="0" fillId="0" borderId="0" xfId="0" applyAlignment="1">
      <alignment horizontal="left" indent="3"/>
    </xf>
    <xf numFmtId="0" fontId="20" fillId="0" borderId="0" xfId="0" applyFont="1" applyAlignment="1">
      <alignment horizontal="center" vertical="center"/>
    </xf>
    <xf numFmtId="168" fontId="66" fillId="0" borderId="0" xfId="0" applyNumberFormat="1" applyFont="1" applyAlignment="1">
      <alignment horizontal="center"/>
    </xf>
    <xf numFmtId="0" fontId="66" fillId="0" borderId="0" xfId="117" applyFont="1"/>
    <xf numFmtId="0" fontId="13" fillId="0" borderId="0" xfId="0" applyFont="1"/>
    <xf numFmtId="0" fontId="11" fillId="0" borderId="0" xfId="0" applyFont="1" applyAlignment="1">
      <alignment horizontal="left" indent="3"/>
    </xf>
    <xf numFmtId="172" fontId="11" fillId="0" borderId="8" xfId="0" applyNumberFormat="1" applyFont="1" applyBorder="1" applyAlignment="1">
      <alignment horizontal="center"/>
    </xf>
    <xf numFmtId="172" fontId="11" fillId="0" borderId="0" xfId="0" applyNumberFormat="1" applyFont="1"/>
    <xf numFmtId="0" fontId="69" fillId="0" borderId="0" xfId="0" applyFont="1"/>
    <xf numFmtId="172" fontId="11" fillId="0" borderId="0" xfId="0" applyNumberFormat="1" applyFont="1" applyAlignment="1">
      <alignment horizontal="left" indent="3"/>
    </xf>
    <xf numFmtId="9" fontId="0" fillId="0" borderId="0" xfId="0" applyNumberFormat="1" applyAlignment="1">
      <alignment horizontal="left" wrapText="1"/>
    </xf>
    <xf numFmtId="0" fontId="0" fillId="0" borderId="0" xfId="0" applyAlignment="1">
      <alignment vertical="center" wrapText="1"/>
    </xf>
    <xf numFmtId="0" fontId="27" fillId="0" borderId="0" xfId="0" applyFont="1" applyAlignment="1">
      <alignment horizontal="right" vertical="center" indent="1"/>
    </xf>
    <xf numFmtId="9" fontId="29" fillId="0" borderId="0" xfId="0" applyNumberFormat="1" applyFont="1" applyAlignment="1">
      <alignment horizontal="left" wrapText="1"/>
    </xf>
    <xf numFmtId="0" fontId="29" fillId="0" borderId="0" xfId="0" applyFont="1" applyAlignment="1">
      <alignment wrapText="1"/>
    </xf>
    <xf numFmtId="0" fontId="27" fillId="0" borderId="0" xfId="0" applyFont="1" applyAlignment="1">
      <alignment horizontal="right" vertical="center" wrapText="1" indent="1"/>
    </xf>
    <xf numFmtId="9" fontId="11" fillId="0" borderId="0" xfId="0" applyNumberFormat="1" applyFont="1" applyAlignment="1">
      <alignment horizontal="left"/>
    </xf>
    <xf numFmtId="0" fontId="29" fillId="0" borderId="0" xfId="0" applyFont="1" applyAlignment="1">
      <alignment horizontal="left" wrapText="1"/>
    </xf>
    <xf numFmtId="0" fontId="29" fillId="0" borderId="0" xfId="0" applyFont="1" applyAlignment="1">
      <alignment vertical="top" wrapText="1"/>
    </xf>
    <xf numFmtId="0" fontId="24" fillId="0" borderId="0" xfId="0" applyFont="1" applyAlignment="1">
      <alignment horizontal="left" wrapText="1"/>
    </xf>
    <xf numFmtId="0" fontId="24" fillId="0" borderId="0" xfId="0" applyFont="1" applyAlignment="1">
      <alignment horizontal="center" wrapText="1"/>
    </xf>
    <xf numFmtId="0" fontId="70" fillId="0" borderId="8" xfId="0" applyFont="1" applyBorder="1" applyAlignment="1">
      <alignment horizontal="center"/>
    </xf>
    <xf numFmtId="173" fontId="11" fillId="0" borderId="0" xfId="0" applyNumberFormat="1" applyFont="1" applyAlignment="1">
      <alignment horizontal="left"/>
    </xf>
    <xf numFmtId="14" fontId="0" fillId="0" borderId="8" xfId="0" applyNumberFormat="1" applyBorder="1" applyAlignment="1">
      <alignment horizontal="center"/>
    </xf>
    <xf numFmtId="0" fontId="11" fillId="0" borderId="8" xfId="0" applyFont="1" applyBorder="1" applyAlignment="1">
      <alignment horizontal="center"/>
    </xf>
    <xf numFmtId="14" fontId="11" fillId="0" borderId="8" xfId="0" applyNumberFormat="1" applyFont="1" applyBorder="1" applyAlignment="1">
      <alignment horizontal="center"/>
    </xf>
    <xf numFmtId="0" fontId="11" fillId="0" borderId="8" xfId="0" applyFont="1" applyBorder="1" applyAlignment="1">
      <alignment horizontal="center" vertical="center"/>
    </xf>
    <xf numFmtId="0" fontId="0" fillId="0" borderId="13" xfId="0" applyBorder="1" applyAlignment="1">
      <alignment horizontal="center"/>
    </xf>
    <xf numFmtId="0" fontId="0" fillId="39" borderId="0" xfId="0" applyFill="1"/>
    <xf numFmtId="0" fontId="0" fillId="39" borderId="0" xfId="0" applyFill="1" applyAlignment="1">
      <alignment horizontal="left"/>
    </xf>
    <xf numFmtId="0" fontId="0" fillId="40" borderId="0" xfId="0" applyFill="1"/>
    <xf numFmtId="0" fontId="0" fillId="0" borderId="37" xfId="0" applyBorder="1"/>
    <xf numFmtId="0" fontId="0" fillId="0" borderId="38" xfId="0" applyBorder="1"/>
    <xf numFmtId="0" fontId="0" fillId="0" borderId="39" xfId="0" applyBorder="1"/>
    <xf numFmtId="0" fontId="0" fillId="2" borderId="0" xfId="0" applyFill="1" applyAlignment="1">
      <alignment wrapText="1"/>
    </xf>
    <xf numFmtId="0" fontId="75" fillId="0" borderId="8" xfId="0" applyFont="1" applyBorder="1" applyAlignment="1">
      <alignment horizontal="left" vertical="top"/>
    </xf>
    <xf numFmtId="0" fontId="12" fillId="42" borderId="21" xfId="0" applyFont="1" applyFill="1" applyBorder="1" applyAlignment="1">
      <alignment horizontal="left" vertical="center" indent="1"/>
    </xf>
    <xf numFmtId="0" fontId="15" fillId="0" borderId="18" xfId="0" applyFont="1" applyBorder="1" applyAlignment="1">
      <alignment horizontal="left" vertical="center"/>
    </xf>
    <xf numFmtId="0" fontId="0" fillId="0" borderId="40" xfId="0" applyBorder="1"/>
    <xf numFmtId="0" fontId="12" fillId="42" borderId="41" xfId="0" applyFont="1" applyFill="1" applyBorder="1" applyAlignment="1">
      <alignment horizontal="left" vertical="center" indent="1"/>
    </xf>
    <xf numFmtId="0" fontId="0" fillId="0" borderId="42" xfId="0" applyBorder="1" applyAlignment="1">
      <alignment horizontal="left"/>
    </xf>
    <xf numFmtId="0" fontId="12" fillId="42" borderId="41" xfId="0" applyFont="1" applyFill="1" applyBorder="1" applyAlignment="1">
      <alignment vertical="center"/>
    </xf>
    <xf numFmtId="0" fontId="12" fillId="42" borderId="43" xfId="0" applyFont="1" applyFill="1" applyBorder="1" applyAlignment="1">
      <alignment horizontal="left" vertical="center" indent="1"/>
    </xf>
    <xf numFmtId="14" fontId="0" fillId="0" borderId="44" xfId="0" applyNumberFormat="1" applyBorder="1" applyAlignment="1">
      <alignment horizontal="left"/>
    </xf>
    <xf numFmtId="0" fontId="12" fillId="42" borderId="43" xfId="0" applyFont="1" applyFill="1" applyBorder="1" applyAlignment="1">
      <alignment vertical="center"/>
    </xf>
    <xf numFmtId="0" fontId="12" fillId="42" borderId="45" xfId="0" applyFont="1" applyFill="1" applyBorder="1"/>
    <xf numFmtId="0" fontId="12" fillId="42" borderId="45" xfId="0" applyFont="1" applyFill="1" applyBorder="1" applyAlignment="1">
      <alignment horizontal="left" vertical="center" indent="1"/>
    </xf>
    <xf numFmtId="0" fontId="12" fillId="42" borderId="45" xfId="0" applyFont="1" applyFill="1" applyBorder="1" applyAlignment="1">
      <alignment vertical="center"/>
    </xf>
    <xf numFmtId="14" fontId="32" fillId="0" borderId="46" xfId="0" applyNumberFormat="1" applyFont="1" applyBorder="1" applyAlignment="1">
      <alignment horizontal="left"/>
    </xf>
    <xf numFmtId="0" fontId="0" fillId="0" borderId="12" xfId="0" applyBorder="1"/>
    <xf numFmtId="0" fontId="12" fillId="0" borderId="0" xfId="0" applyFont="1" applyAlignment="1">
      <alignment horizontal="left" vertical="center" indent="1"/>
    </xf>
    <xf numFmtId="0" fontId="15" fillId="42" borderId="19" xfId="0" applyFont="1" applyFill="1" applyBorder="1" applyAlignment="1">
      <alignment horizontal="left" vertical="center"/>
    </xf>
    <xf numFmtId="0" fontId="12" fillId="42" borderId="20" xfId="0" applyFont="1" applyFill="1" applyBorder="1" applyAlignment="1">
      <alignment horizontal="center"/>
    </xf>
    <xf numFmtId="0" fontId="15" fillId="42" borderId="41" xfId="0" applyFont="1" applyFill="1" applyBorder="1" applyAlignment="1">
      <alignment vertical="center"/>
    </xf>
    <xf numFmtId="0" fontId="15" fillId="42" borderId="41" xfId="0" applyFont="1" applyFill="1" applyBorder="1" applyAlignment="1">
      <alignment horizontal="left" vertical="center"/>
    </xf>
    <xf numFmtId="0" fontId="12" fillId="42" borderId="42" xfId="0" applyFont="1" applyFill="1" applyBorder="1"/>
    <xf numFmtId="0" fontId="12" fillId="0" borderId="43" xfId="0" applyFont="1" applyBorder="1" applyAlignment="1">
      <alignment horizontal="left" vertical="center" indent="1"/>
    </xf>
    <xf numFmtId="14" fontId="0" fillId="0" borderId="0" xfId="0" applyNumberFormat="1" applyAlignment="1">
      <alignment horizontal="left"/>
    </xf>
    <xf numFmtId="0" fontId="27" fillId="0" borderId="43" xfId="0" applyFont="1" applyBorder="1" applyAlignment="1">
      <alignment horizontal="left" vertical="center" indent="1"/>
    </xf>
    <xf numFmtId="0" fontId="12" fillId="42" borderId="37" xfId="0" applyFont="1" applyFill="1" applyBorder="1"/>
    <xf numFmtId="14" fontId="11" fillId="0" borderId="44" xfId="0" applyNumberFormat="1" applyFont="1" applyBorder="1" applyAlignment="1">
      <alignment horizontal="center"/>
    </xf>
    <xf numFmtId="0" fontId="12" fillId="0" borderId="45" xfId="0" applyFont="1" applyBorder="1" applyAlignment="1">
      <alignment horizontal="left" vertical="center" indent="1"/>
    </xf>
    <xf numFmtId="0" fontId="0" fillId="0" borderId="49" xfId="0" applyBorder="1"/>
    <xf numFmtId="0" fontId="12" fillId="0" borderId="50" xfId="0" applyFont="1" applyBorder="1" applyAlignment="1">
      <alignment horizontal="left" vertical="center" indent="1"/>
    </xf>
    <xf numFmtId="14" fontId="32" fillId="0" borderId="50" xfId="0" applyNumberFormat="1" applyFont="1" applyBorder="1" applyAlignment="1">
      <alignment horizontal="left"/>
    </xf>
    <xf numFmtId="0" fontId="15" fillId="42" borderId="47" xfId="0" applyFont="1" applyFill="1" applyBorder="1" applyAlignment="1">
      <alignment horizontal="left" vertical="center"/>
    </xf>
    <xf numFmtId="14" fontId="32" fillId="0" borderId="0" xfId="0" applyNumberFormat="1" applyFont="1" applyAlignment="1">
      <alignment horizontal="left"/>
    </xf>
    <xf numFmtId="0" fontId="12" fillId="42" borderId="32" xfId="20" applyFont="1" applyFill="1" applyBorder="1"/>
    <xf numFmtId="0" fontId="12" fillId="42" borderId="33" xfId="20" applyFont="1" applyFill="1" applyBorder="1" applyAlignment="1">
      <alignment horizontal="center"/>
    </xf>
    <xf numFmtId="0" fontId="12" fillId="42" borderId="34" xfId="20" applyFont="1" applyFill="1" applyBorder="1" applyAlignment="1">
      <alignment horizontal="center"/>
    </xf>
    <xf numFmtId="0" fontId="12" fillId="0" borderId="41" xfId="20" applyFont="1" applyBorder="1"/>
    <xf numFmtId="165" fontId="11" fillId="0" borderId="47" xfId="20" applyNumberFormat="1" applyBorder="1" applyAlignment="1">
      <alignment horizontal="center"/>
    </xf>
    <xf numFmtId="171" fontId="11" fillId="0" borderId="47" xfId="20" applyNumberFormat="1" applyBorder="1" applyAlignment="1">
      <alignment horizontal="center"/>
    </xf>
    <xf numFmtId="171" fontId="11" fillId="0" borderId="42" xfId="20" applyNumberFormat="1" applyBorder="1" applyAlignment="1">
      <alignment horizontal="center"/>
    </xf>
    <xf numFmtId="0" fontId="12" fillId="0" borderId="43" xfId="20" applyFont="1" applyBorder="1"/>
    <xf numFmtId="165" fontId="11" fillId="0" borderId="8" xfId="20" applyNumberFormat="1" applyBorder="1" applyAlignment="1">
      <alignment horizontal="center"/>
    </xf>
    <xf numFmtId="171" fontId="11" fillId="0" borderId="8" xfId="20" applyNumberFormat="1" applyBorder="1" applyAlignment="1">
      <alignment horizontal="center"/>
    </xf>
    <xf numFmtId="171" fontId="11" fillId="0" borderId="44" xfId="20" applyNumberFormat="1" applyBorder="1" applyAlignment="1">
      <alignment horizontal="center"/>
    </xf>
    <xf numFmtId="0" fontId="12" fillId="0" borderId="45" xfId="20" applyFont="1" applyBorder="1"/>
    <xf numFmtId="165" fontId="11" fillId="0" borderId="48" xfId="20" applyNumberFormat="1" applyBorder="1" applyAlignment="1">
      <alignment horizontal="center"/>
    </xf>
    <xf numFmtId="171" fontId="11" fillId="0" borderId="48" xfId="20" applyNumberFormat="1" applyBorder="1" applyAlignment="1">
      <alignment horizontal="center"/>
    </xf>
    <xf numFmtId="171" fontId="11" fillId="0" borderId="46" xfId="20" applyNumberFormat="1" applyBorder="1" applyAlignment="1">
      <alignment horizontal="center"/>
    </xf>
    <xf numFmtId="0" fontId="12" fillId="42" borderId="41" xfId="0" applyFont="1" applyFill="1" applyBorder="1"/>
    <xf numFmtId="14" fontId="12" fillId="0" borderId="0" xfId="0" applyNumberFormat="1" applyFont="1" applyAlignment="1">
      <alignment horizontal="center" vertical="center"/>
    </xf>
    <xf numFmtId="0" fontId="11" fillId="0" borderId="41" xfId="0" applyFont="1" applyBorder="1" applyAlignment="1">
      <alignment horizontal="center"/>
    </xf>
    <xf numFmtId="0" fontId="11" fillId="0" borderId="47" xfId="0" applyFont="1" applyBorder="1"/>
    <xf numFmtId="0" fontId="0" fillId="0" borderId="47" xfId="0" applyBorder="1"/>
    <xf numFmtId="0" fontId="11" fillId="0" borderId="45" xfId="0" applyFont="1" applyBorder="1" applyAlignment="1">
      <alignment horizontal="center"/>
    </xf>
    <xf numFmtId="0" fontId="11" fillId="0" borderId="48" xfId="0" applyFont="1" applyBorder="1"/>
    <xf numFmtId="0" fontId="0" fillId="0" borderId="48" xfId="0" applyBorder="1"/>
    <xf numFmtId="0" fontId="11" fillId="0" borderId="42" xfId="0" applyFont="1" applyBorder="1" applyAlignment="1">
      <alignment horizontal="center"/>
    </xf>
    <xf numFmtId="0" fontId="12" fillId="42" borderId="8" xfId="20" applyFont="1" applyFill="1" applyBorder="1" applyAlignment="1">
      <alignment horizontal="center" wrapText="1"/>
    </xf>
    <xf numFmtId="0" fontId="11" fillId="43" borderId="57" xfId="20" applyFill="1" applyBorder="1" applyAlignment="1">
      <alignment horizontal="center"/>
    </xf>
    <xf numFmtId="0" fontId="11" fillId="43" borderId="52" xfId="20" applyFill="1" applyBorder="1"/>
    <xf numFmtId="0" fontId="12" fillId="43" borderId="53" xfId="20" applyFont="1" applyFill="1" applyBorder="1"/>
    <xf numFmtId="0" fontId="11" fillId="0" borderId="43" xfId="20" applyBorder="1" applyAlignment="1">
      <alignment horizontal="center"/>
    </xf>
    <xf numFmtId="0" fontId="11" fillId="0" borderId="45" xfId="20" applyBorder="1" applyAlignment="1">
      <alignment horizontal="center"/>
    </xf>
    <xf numFmtId="0" fontId="11" fillId="0" borderId="48" xfId="20" applyBorder="1"/>
    <xf numFmtId="0" fontId="22" fillId="0" borderId="0" xfId="0" applyFont="1" applyAlignment="1">
      <alignment horizontal="center"/>
    </xf>
    <xf numFmtId="0" fontId="12" fillId="42" borderId="42" xfId="20" applyFont="1" applyFill="1" applyBorder="1"/>
    <xf numFmtId="0" fontId="12" fillId="42" borderId="41" xfId="20" applyFont="1" applyFill="1" applyBorder="1"/>
    <xf numFmtId="0" fontId="12" fillId="42" borderId="47" xfId="20" applyFont="1" applyFill="1" applyBorder="1" applyAlignment="1">
      <alignment vertical="center"/>
    </xf>
    <xf numFmtId="0" fontId="12" fillId="0" borderId="58" xfId="20" applyFont="1" applyBorder="1" applyAlignment="1">
      <alignment horizontal="left" vertical="center" indent="1"/>
    </xf>
    <xf numFmtId="10" fontId="11" fillId="0" borderId="18" xfId="20" applyNumberFormat="1" applyBorder="1" applyAlignment="1">
      <alignment horizontal="left" vertical="center"/>
    </xf>
    <xf numFmtId="10" fontId="11" fillId="0" borderId="0" xfId="20" applyNumberFormat="1" applyAlignment="1">
      <alignment vertical="center"/>
    </xf>
    <xf numFmtId="0" fontId="11" fillId="0" borderId="0" xfId="20" applyAlignment="1">
      <alignment horizontal="left" wrapText="1"/>
    </xf>
    <xf numFmtId="0" fontId="20" fillId="0" borderId="0" xfId="20" applyFont="1" applyAlignment="1">
      <alignment horizontal="center" vertical="center"/>
    </xf>
    <xf numFmtId="0" fontId="12" fillId="0" borderId="0" xfId="20" applyFont="1" applyAlignment="1">
      <alignment horizontal="right" vertical="center" indent="1"/>
    </xf>
    <xf numFmtId="0" fontId="24" fillId="0" borderId="0" xfId="20" applyFont="1"/>
    <xf numFmtId="0" fontId="24" fillId="0" borderId="0" xfId="20" applyFont="1" applyAlignment="1">
      <alignment vertical="center" wrapText="1"/>
    </xf>
    <xf numFmtId="0" fontId="24" fillId="0" borderId="0" xfId="148" applyFont="1"/>
    <xf numFmtId="0" fontId="29" fillId="0" borderId="0" xfId="20" applyFont="1" applyAlignment="1">
      <alignment vertical="center" wrapText="1"/>
    </xf>
    <xf numFmtId="0" fontId="29" fillId="0" borderId="0" xfId="20" applyFont="1" applyAlignment="1">
      <alignment wrapText="1"/>
    </xf>
    <xf numFmtId="173" fontId="66" fillId="0" borderId="0" xfId="0" applyNumberFormat="1" applyFont="1" applyAlignment="1">
      <alignment horizontal="left"/>
    </xf>
    <xf numFmtId="14" fontId="11" fillId="0" borderId="0" xfId="0" applyNumberFormat="1" applyFont="1" applyAlignment="1">
      <alignment horizontal="center"/>
    </xf>
    <xf numFmtId="14" fontId="11" fillId="0" borderId="0" xfId="0" applyNumberFormat="1" applyFont="1" applyAlignment="1">
      <alignment horizontal="left"/>
    </xf>
    <xf numFmtId="14" fontId="66" fillId="0" borderId="0" xfId="0" applyNumberFormat="1" applyFont="1" applyAlignment="1">
      <alignment horizontal="center"/>
    </xf>
    <xf numFmtId="14" fontId="69" fillId="0" borderId="0" xfId="0" applyNumberFormat="1" applyFont="1" applyAlignment="1">
      <alignment horizontal="left"/>
    </xf>
    <xf numFmtId="0" fontId="66" fillId="0" borderId="0" xfId="0" applyFont="1" applyAlignment="1">
      <alignment horizontal="center"/>
    </xf>
    <xf numFmtId="0" fontId="66" fillId="0" borderId="0" xfId="0" applyFont="1" applyAlignment="1">
      <alignment horizontal="center" vertical="center"/>
    </xf>
    <xf numFmtId="0" fontId="20" fillId="0" borderId="0" xfId="0" applyFont="1" applyAlignment="1">
      <alignment vertical="center"/>
    </xf>
    <xf numFmtId="0" fontId="27" fillId="43" borderId="0" xfId="0" applyFont="1" applyFill="1" applyAlignment="1">
      <alignment horizontal="right" vertical="center" indent="1"/>
    </xf>
    <xf numFmtId="0" fontId="29" fillId="43" borderId="0" xfId="0" applyFont="1" applyFill="1" applyAlignment="1">
      <alignment horizontal="left" vertical="center"/>
    </xf>
    <xf numFmtId="0" fontId="29" fillId="43" borderId="0" xfId="0" applyFont="1" applyFill="1" applyAlignment="1">
      <alignment horizontal="left" vertical="center" indent="1"/>
    </xf>
    <xf numFmtId="0" fontId="29" fillId="43" borderId="0" xfId="0" applyFont="1" applyFill="1" applyAlignment="1">
      <alignment horizontal="center" vertical="center"/>
    </xf>
    <xf numFmtId="0" fontId="29" fillId="43" borderId="0" xfId="0" applyFont="1" applyFill="1" applyAlignment="1">
      <alignment horizontal="center"/>
    </xf>
    <xf numFmtId="0" fontId="29" fillId="43" borderId="0" xfId="0" applyFont="1" applyFill="1" applyAlignment="1">
      <alignment vertical="center" wrapText="1"/>
    </xf>
    <xf numFmtId="0" fontId="27" fillId="43" borderId="0" xfId="0" applyFont="1" applyFill="1" applyAlignment="1">
      <alignment horizontal="right" vertical="center" wrapText="1" indent="1"/>
    </xf>
    <xf numFmtId="0" fontId="29" fillId="43" borderId="0" xfId="0" applyFont="1" applyFill="1" applyAlignment="1">
      <alignment horizontal="left" vertical="center" wrapText="1" indent="1"/>
    </xf>
    <xf numFmtId="0" fontId="11" fillId="0" borderId="0" xfId="29"/>
    <xf numFmtId="9" fontId="11" fillId="0" borderId="0" xfId="1" applyFont="1" applyFill="1" applyBorder="1" applyAlignment="1">
      <alignment horizontal="left" vertical="top" wrapText="1"/>
    </xf>
    <xf numFmtId="167" fontId="0" fillId="0" borderId="0" xfId="0" applyNumberFormat="1" applyAlignment="1">
      <alignment horizontal="center"/>
    </xf>
    <xf numFmtId="0" fontId="11" fillId="0" borderId="44" xfId="0" applyFont="1" applyBorder="1" applyAlignment="1">
      <alignment horizontal="center"/>
    </xf>
    <xf numFmtId="0" fontId="11" fillId="0" borderId="48" xfId="0" applyFont="1" applyBorder="1" applyAlignment="1">
      <alignment horizontal="center"/>
    </xf>
    <xf numFmtId="0" fontId="12" fillId="42" borderId="8" xfId="0" applyFont="1" applyFill="1" applyBorder="1" applyAlignment="1">
      <alignment horizontal="center" vertical="top" wrapText="1"/>
    </xf>
    <xf numFmtId="0" fontId="11" fillId="0" borderId="8" xfId="0" applyFont="1" applyBorder="1" applyAlignment="1">
      <alignment horizontal="center" vertical="top" wrapText="1"/>
    </xf>
    <xf numFmtId="0" fontId="11" fillId="0" borderId="8" xfId="0" applyFont="1" applyBorder="1" applyAlignment="1">
      <alignment horizontal="left" vertical="top" wrapText="1"/>
    </xf>
    <xf numFmtId="167" fontId="11" fillId="0" borderId="8" xfId="0" applyNumberFormat="1" applyFont="1" applyBorder="1" applyAlignment="1">
      <alignment horizontal="center" vertical="top"/>
    </xf>
    <xf numFmtId="1" fontId="11" fillId="0" borderId="8" xfId="0" applyNumberFormat="1" applyFont="1" applyBorder="1" applyAlignment="1">
      <alignment horizontal="center" vertical="center"/>
    </xf>
    <xf numFmtId="0" fontId="0" fillId="0" borderId="8" xfId="0" applyBorder="1"/>
    <xf numFmtId="167" fontId="0" fillId="0" borderId="8" xfId="0" applyNumberFormat="1" applyBorder="1" applyAlignment="1">
      <alignment horizontal="center"/>
    </xf>
    <xf numFmtId="1" fontId="11" fillId="0" borderId="8" xfId="20" applyNumberFormat="1" applyBorder="1" applyAlignment="1">
      <alignment horizontal="center"/>
    </xf>
    <xf numFmtId="0" fontId="11" fillId="0" borderId="8" xfId="0" applyFont="1" applyBorder="1" applyAlignment="1">
      <alignment horizontal="left"/>
    </xf>
    <xf numFmtId="0" fontId="12" fillId="0" borderId="0" xfId="0" applyFont="1" applyAlignment="1">
      <alignment vertical="top" wrapText="1"/>
    </xf>
    <xf numFmtId="1" fontId="0" fillId="0" borderId="8" xfId="0" applyNumberFormat="1" applyBorder="1" applyAlignment="1">
      <alignment horizontal="right"/>
    </xf>
    <xf numFmtId="1" fontId="0" fillId="0" borderId="0" xfId="0" applyNumberFormat="1" applyAlignment="1">
      <alignment horizontal="right"/>
    </xf>
    <xf numFmtId="0" fontId="0" fillId="42" borderId="47" xfId="0" applyFill="1" applyBorder="1" applyAlignment="1">
      <alignment horizontal="center"/>
    </xf>
    <xf numFmtId="0" fontId="12" fillId="42" borderId="42" xfId="0" applyFont="1" applyFill="1" applyBorder="1" applyAlignment="1">
      <alignment horizontal="center" vertical="center"/>
    </xf>
    <xf numFmtId="0" fontId="0" fillId="0" borderId="44" xfId="0" applyBorder="1" applyAlignment="1">
      <alignment horizontal="center"/>
    </xf>
    <xf numFmtId="14" fontId="0" fillId="0" borderId="44" xfId="0" applyNumberFormat="1" applyBorder="1" applyAlignment="1">
      <alignment horizontal="center"/>
    </xf>
    <xf numFmtId="14" fontId="0" fillId="0" borderId="46" xfId="0" applyNumberFormat="1" applyBorder="1" applyAlignment="1">
      <alignment horizontal="center"/>
    </xf>
    <xf numFmtId="0" fontId="11" fillId="42" borderId="47" xfId="0" applyFont="1" applyFill="1" applyBorder="1" applyAlignment="1">
      <alignment horizontal="center"/>
    </xf>
    <xf numFmtId="14" fontId="11" fillId="0" borderId="46" xfId="0" applyNumberFormat="1" applyFont="1" applyBorder="1" applyAlignment="1">
      <alignment horizontal="center"/>
    </xf>
    <xf numFmtId="0" fontId="11" fillId="0" borderId="48" xfId="20" applyBorder="1" applyAlignment="1">
      <alignment horizontal="center" vertical="center"/>
    </xf>
    <xf numFmtId="0" fontId="12" fillId="42" borderId="16" xfId="20" applyFont="1" applyFill="1" applyBorder="1"/>
    <xf numFmtId="0" fontId="12" fillId="42" borderId="47" xfId="20" applyFont="1" applyFill="1" applyBorder="1"/>
    <xf numFmtId="0" fontId="12" fillId="42" borderId="47" xfId="0" applyFont="1" applyFill="1" applyBorder="1" applyAlignment="1">
      <alignment horizontal="center" vertical="center"/>
    </xf>
    <xf numFmtId="0" fontId="11" fillId="0" borderId="8" xfId="0" applyFont="1" applyBorder="1" applyAlignment="1">
      <alignment horizontal="center" vertical="center" wrapText="1"/>
    </xf>
    <xf numFmtId="0" fontId="12" fillId="42" borderId="17" xfId="11" applyFont="1" applyFill="1" applyBorder="1" applyAlignment="1">
      <alignment horizontal="center" vertical="center"/>
    </xf>
    <xf numFmtId="0" fontId="12" fillId="42" borderId="17" xfId="11" applyFont="1" applyFill="1" applyBorder="1" applyAlignment="1">
      <alignment horizontal="center" vertical="center" wrapText="1"/>
    </xf>
    <xf numFmtId="9" fontId="29" fillId="0" borderId="0" xfId="34" applyFont="1" applyFill="1" applyAlignment="1">
      <alignment horizontal="left" wrapText="1"/>
    </xf>
    <xf numFmtId="0" fontId="29" fillId="0" borderId="0" xfId="20" applyFont="1" applyAlignment="1">
      <alignment horizontal="center" wrapText="1"/>
    </xf>
    <xf numFmtId="0" fontId="15" fillId="0" borderId="0" xfId="0" applyFont="1" applyAlignment="1">
      <alignment horizontal="center" vertical="center"/>
    </xf>
    <xf numFmtId="0" fontId="11" fillId="0" borderId="44" xfId="20" applyBorder="1" applyAlignment="1">
      <alignment horizontal="center"/>
    </xf>
    <xf numFmtId="0" fontId="11" fillId="0" borderId="48" xfId="20" applyBorder="1" applyAlignment="1">
      <alignment horizontal="center"/>
    </xf>
    <xf numFmtId="0" fontId="11" fillId="0" borderId="46" xfId="20" applyBorder="1" applyAlignment="1">
      <alignment horizontal="center"/>
    </xf>
    <xf numFmtId="167" fontId="11" fillId="0" borderId="44" xfId="0" applyNumberFormat="1" applyFont="1" applyBorder="1" applyAlignment="1">
      <alignment horizontal="center"/>
    </xf>
    <xf numFmtId="167" fontId="0" fillId="0" borderId="44" xfId="0" applyNumberFormat="1" applyBorder="1" applyAlignment="1">
      <alignment horizontal="center"/>
    </xf>
    <xf numFmtId="0" fontId="11" fillId="0" borderId="48" xfId="0" applyFont="1" applyBorder="1" applyAlignment="1">
      <alignment horizontal="center" vertical="center" wrapText="1"/>
    </xf>
    <xf numFmtId="167" fontId="0" fillId="0" borderId="46" xfId="0" applyNumberFormat="1" applyBorder="1" applyAlignment="1">
      <alignment horizontal="center"/>
    </xf>
    <xf numFmtId="165" fontId="11" fillId="0" borderId="0" xfId="0" applyNumberFormat="1" applyFont="1" applyAlignment="1">
      <alignment horizontal="center"/>
    </xf>
    <xf numFmtId="165" fontId="0" fillId="0" borderId="0" xfId="0" applyNumberFormat="1" applyAlignment="1">
      <alignment horizontal="center"/>
    </xf>
    <xf numFmtId="0" fontId="11" fillId="0" borderId="0" xfId="20" applyAlignment="1">
      <alignment horizontal="left" vertical="center" wrapText="1"/>
    </xf>
    <xf numFmtId="0" fontId="11" fillId="0" borderId="8" xfId="20" applyBorder="1" applyAlignment="1">
      <alignment horizontal="left" vertical="top"/>
    </xf>
    <xf numFmtId="0" fontId="11" fillId="0" borderId="8" xfId="20" applyBorder="1" applyAlignment="1">
      <alignment horizontal="left" vertical="top" wrapText="1"/>
    </xf>
    <xf numFmtId="14" fontId="0" fillId="2" borderId="15" xfId="0" applyNumberFormat="1" applyFill="1" applyBorder="1" applyAlignment="1">
      <alignment horizontal="center"/>
    </xf>
    <xf numFmtId="0" fontId="11" fillId="2" borderId="42" xfId="0" applyFont="1" applyFill="1" applyBorder="1" applyAlignment="1">
      <alignment horizontal="center"/>
    </xf>
    <xf numFmtId="14" fontId="0" fillId="2" borderId="44" xfId="0" applyNumberFormat="1" applyFill="1" applyBorder="1" applyAlignment="1">
      <alignment horizontal="center"/>
    </xf>
    <xf numFmtId="14" fontId="0" fillId="2" borderId="46" xfId="0" applyNumberFormat="1" applyFill="1" applyBorder="1" applyAlignment="1">
      <alignment horizontal="center"/>
    </xf>
    <xf numFmtId="0" fontId="0" fillId="2" borderId="42" xfId="0" applyFill="1" applyBorder="1" applyAlignment="1">
      <alignment horizontal="center"/>
    </xf>
    <xf numFmtId="14" fontId="32" fillId="0" borderId="44" xfId="0" applyNumberFormat="1" applyFont="1" applyBorder="1" applyAlignment="1">
      <alignment horizontal="center"/>
    </xf>
    <xf numFmtId="14" fontId="32" fillId="0" borderId="46" xfId="0" applyNumberFormat="1" applyFont="1" applyBorder="1" applyAlignment="1">
      <alignment horizontal="center"/>
    </xf>
    <xf numFmtId="0" fontId="15" fillId="42" borderId="14" xfId="0" applyFont="1" applyFill="1" applyBorder="1" applyAlignment="1">
      <alignment horizontal="center" vertical="center"/>
    </xf>
    <xf numFmtId="0" fontId="70" fillId="0" borderId="44" xfId="0" applyFont="1" applyBorder="1" applyAlignment="1">
      <alignment horizontal="center"/>
    </xf>
    <xf numFmtId="0" fontId="12" fillId="42" borderId="42" xfId="0" applyFont="1" applyFill="1" applyBorder="1" applyAlignment="1">
      <alignment horizontal="center"/>
    </xf>
    <xf numFmtId="0" fontId="0" fillId="0" borderId="46" xfId="0" applyBorder="1" applyAlignment="1">
      <alignment horizontal="center"/>
    </xf>
    <xf numFmtId="0" fontId="12" fillId="42" borderId="47" xfId="0" applyFont="1" applyFill="1" applyBorder="1" applyAlignment="1">
      <alignment horizontal="center" vertical="center" wrapText="1"/>
    </xf>
    <xf numFmtId="0" fontId="12" fillId="42" borderId="42" xfId="20" applyFont="1" applyFill="1" applyBorder="1" applyAlignment="1">
      <alignment horizontal="center"/>
    </xf>
    <xf numFmtId="0" fontId="0" fillId="0" borderId="8" xfId="0" applyBorder="1" applyAlignment="1">
      <alignment horizontal="center" vertical="center" wrapText="1"/>
    </xf>
    <xf numFmtId="14" fontId="11" fillId="0" borderId="44" xfId="20" applyNumberFormat="1" applyBorder="1" applyAlignment="1">
      <alignment horizontal="center"/>
    </xf>
    <xf numFmtId="14" fontId="11" fillId="0" borderId="46" xfId="20" applyNumberFormat="1" applyBorder="1" applyAlignment="1">
      <alignment horizontal="center"/>
    </xf>
    <xf numFmtId="0" fontId="12" fillId="42" borderId="8" xfId="20" applyFont="1" applyFill="1" applyBorder="1" applyAlignment="1">
      <alignment horizontal="center"/>
    </xf>
    <xf numFmtId="0" fontId="12" fillId="42" borderId="47" xfId="0" applyFont="1" applyFill="1" applyBorder="1" applyAlignment="1">
      <alignment horizontal="center"/>
    </xf>
    <xf numFmtId="0" fontId="12" fillId="0" borderId="43" xfId="20" applyFont="1" applyBorder="1" applyAlignment="1">
      <alignment horizontal="left" vertical="center" indent="1"/>
    </xf>
    <xf numFmtId="0" fontId="11" fillId="0" borderId="8" xfId="20" applyBorder="1" applyAlignment="1">
      <alignment horizontal="center" vertical="center" wrapText="1"/>
    </xf>
    <xf numFmtId="0" fontId="0" fillId="0" borderId="48" xfId="0" applyBorder="1" applyAlignment="1">
      <alignment horizontal="center" vertical="center" wrapText="1"/>
    </xf>
    <xf numFmtId="14" fontId="0" fillId="0" borderId="48" xfId="0" applyNumberFormat="1" applyBorder="1" applyAlignment="1">
      <alignment horizontal="center"/>
    </xf>
    <xf numFmtId="0" fontId="11" fillId="0" borderId="43" xfId="20" applyBorder="1"/>
    <xf numFmtId="0" fontId="11" fillId="0" borderId="0" xfId="20" applyAlignment="1">
      <alignment horizontal="center" vertical="center"/>
    </xf>
    <xf numFmtId="0" fontId="19" fillId="0" borderId="0" xfId="0" applyFont="1" applyAlignment="1">
      <alignment vertical="center"/>
    </xf>
    <xf numFmtId="165" fontId="32" fillId="0" borderId="0" xfId="0" applyNumberFormat="1" applyFont="1" applyAlignment="1">
      <alignment horizontal="left"/>
    </xf>
    <xf numFmtId="165" fontId="11" fillId="0" borderId="41" xfId="11" applyNumberFormat="1" applyBorder="1" applyAlignment="1">
      <alignment horizontal="center" vertical="center"/>
    </xf>
    <xf numFmtId="165" fontId="11" fillId="0" borderId="47" xfId="11" applyNumberFormat="1" applyBorder="1" applyAlignment="1">
      <alignment horizontal="center" vertical="center"/>
    </xf>
    <xf numFmtId="0" fontId="11" fillId="0" borderId="47" xfId="11" applyBorder="1" applyAlignment="1">
      <alignment horizontal="center" vertical="center"/>
    </xf>
    <xf numFmtId="172" fontId="11" fillId="0" borderId="42" xfId="11" applyNumberFormat="1" applyBorder="1" applyAlignment="1">
      <alignment horizontal="center" vertical="center"/>
    </xf>
    <xf numFmtId="165" fontId="11" fillId="0" borderId="43" xfId="11" applyNumberFormat="1" applyBorder="1" applyAlignment="1">
      <alignment horizontal="center" vertical="center"/>
    </xf>
    <xf numFmtId="165" fontId="11" fillId="0" borderId="8" xfId="11" applyNumberFormat="1" applyBorder="1" applyAlignment="1">
      <alignment horizontal="center" vertical="center"/>
    </xf>
    <xf numFmtId="0" fontId="11" fillId="0" borderId="8" xfId="11" applyBorder="1" applyAlignment="1">
      <alignment horizontal="center" vertical="center"/>
    </xf>
    <xf numFmtId="172" fontId="11" fillId="0" borderId="44" xfId="11" applyNumberFormat="1" applyBorder="1" applyAlignment="1">
      <alignment horizontal="center" vertical="center"/>
    </xf>
    <xf numFmtId="165" fontId="11" fillId="0" borderId="59" xfId="11" applyNumberFormat="1" applyBorder="1" applyAlignment="1">
      <alignment horizontal="center" vertical="center"/>
    </xf>
    <xf numFmtId="165" fontId="11" fillId="0" borderId="17" xfId="11" applyNumberFormat="1" applyBorder="1" applyAlignment="1">
      <alignment horizontal="center" vertical="center"/>
    </xf>
    <xf numFmtId="0" fontId="11" fillId="0" borderId="17" xfId="11" applyBorder="1" applyAlignment="1">
      <alignment horizontal="center" vertical="center"/>
    </xf>
    <xf numFmtId="172" fontId="11" fillId="0" borderId="60" xfId="11" applyNumberFormat="1" applyBorder="1" applyAlignment="1">
      <alignment horizontal="center" vertical="center"/>
    </xf>
    <xf numFmtId="165" fontId="11" fillId="0" borderId="45" xfId="11" applyNumberFormat="1" applyBorder="1" applyAlignment="1">
      <alignment horizontal="center" vertical="center"/>
    </xf>
    <xf numFmtId="165" fontId="11" fillId="0" borderId="48" xfId="11" applyNumberFormat="1" applyBorder="1" applyAlignment="1">
      <alignment horizontal="center" vertical="center"/>
    </xf>
    <xf numFmtId="0" fontId="11" fillId="0" borderId="48" xfId="11" applyBorder="1" applyAlignment="1">
      <alignment horizontal="center" vertical="center"/>
    </xf>
    <xf numFmtId="172" fontId="11" fillId="0" borderId="46" xfId="11" applyNumberFormat="1" applyBorder="1" applyAlignment="1">
      <alignment horizontal="center" vertical="center"/>
    </xf>
    <xf numFmtId="165" fontId="11" fillId="0" borderId="61" xfId="11" applyNumberFormat="1" applyBorder="1" applyAlignment="1">
      <alignment horizontal="center" vertical="center"/>
    </xf>
    <xf numFmtId="165" fontId="11" fillId="0" borderId="31" xfId="11" applyNumberFormat="1" applyBorder="1" applyAlignment="1">
      <alignment horizontal="center" vertical="center"/>
    </xf>
    <xf numFmtId="0" fontId="11" fillId="0" borderId="31" xfId="11" applyBorder="1" applyAlignment="1">
      <alignment horizontal="center" vertical="center"/>
    </xf>
    <xf numFmtId="172" fontId="11" fillId="0" borderId="62" xfId="11" applyNumberFormat="1" applyBorder="1" applyAlignment="1">
      <alignment horizontal="center" vertical="center"/>
    </xf>
    <xf numFmtId="0" fontId="12" fillId="42" borderId="0" xfId="0" applyFont="1" applyFill="1" applyAlignment="1">
      <alignment horizontal="right" vertical="center" indent="1"/>
    </xf>
    <xf numFmtId="0" fontId="12" fillId="0" borderId="0" xfId="11" applyFont="1" applyAlignment="1">
      <alignment horizontal="center" vertical="center"/>
    </xf>
    <xf numFmtId="164" fontId="12" fillId="0" borderId="0" xfId="11" applyNumberFormat="1" applyFont="1" applyAlignment="1">
      <alignment horizontal="center" vertical="center"/>
    </xf>
    <xf numFmtId="9" fontId="11" fillId="0" borderId="0" xfId="11" applyNumberFormat="1" applyAlignment="1">
      <alignment horizontal="center" vertical="center"/>
    </xf>
    <xf numFmtId="2" fontId="11" fillId="0" borderId="0" xfId="20" applyNumberFormat="1" applyAlignment="1">
      <alignment horizontal="center" vertical="center"/>
    </xf>
    <xf numFmtId="0" fontId="11" fillId="0" borderId="0" xfId="11" applyAlignment="1">
      <alignment horizontal="center" vertical="center"/>
    </xf>
    <xf numFmtId="164" fontId="11" fillId="0" borderId="0" xfId="11" applyNumberFormat="1" applyAlignment="1">
      <alignment horizontal="center" vertical="center"/>
    </xf>
    <xf numFmtId="169" fontId="11" fillId="0" borderId="8" xfId="20" applyNumberFormat="1" applyBorder="1" applyAlignment="1">
      <alignment horizontal="center" vertical="center"/>
    </xf>
    <xf numFmtId="0" fontId="12" fillId="42" borderId="8" xfId="11" applyFont="1" applyFill="1" applyBorder="1"/>
    <xf numFmtId="0" fontId="12" fillId="42" borderId="8" xfId="11" applyFont="1" applyFill="1" applyBorder="1" applyAlignment="1">
      <alignment horizontal="center" vertical="center"/>
    </xf>
    <xf numFmtId="0" fontId="26" fillId="42" borderId="43" xfId="11" applyFont="1" applyFill="1" applyBorder="1"/>
    <xf numFmtId="0" fontId="12" fillId="42" borderId="44" xfId="11" applyFont="1" applyFill="1" applyBorder="1"/>
    <xf numFmtId="0" fontId="12" fillId="42" borderId="43" xfId="11" applyFont="1" applyFill="1" applyBorder="1" applyAlignment="1">
      <alignment horizontal="center" vertical="center"/>
    </xf>
    <xf numFmtId="0" fontId="12" fillId="42" borderId="44" xfId="11" applyFont="1" applyFill="1" applyBorder="1" applyAlignment="1">
      <alignment horizontal="center" vertical="center"/>
    </xf>
    <xf numFmtId="9" fontId="11" fillId="0" borderId="43" xfId="11" applyNumberFormat="1" applyBorder="1" applyAlignment="1">
      <alignment horizontal="center" vertical="center"/>
    </xf>
    <xf numFmtId="0" fontId="11" fillId="0" borderId="44" xfId="11" applyBorder="1" applyAlignment="1">
      <alignment horizontal="center" vertical="center"/>
    </xf>
    <xf numFmtId="9" fontId="11" fillId="0" borderId="45" xfId="11" applyNumberFormat="1" applyBorder="1" applyAlignment="1">
      <alignment horizontal="center" vertical="center"/>
    </xf>
    <xf numFmtId="169" fontId="11" fillId="0" borderId="48" xfId="20" applyNumberFormat="1" applyBorder="1" applyAlignment="1">
      <alignment horizontal="center" vertical="center"/>
    </xf>
    <xf numFmtId="0" fontId="11" fillId="0" borderId="46" xfId="11" applyBorder="1" applyAlignment="1">
      <alignment horizontal="center" vertical="center"/>
    </xf>
    <xf numFmtId="2" fontId="11" fillId="0" borderId="8" xfId="20" applyNumberFormat="1" applyBorder="1" applyAlignment="1">
      <alignment horizontal="center" vertical="center"/>
    </xf>
    <xf numFmtId="2" fontId="11" fillId="0" borderId="48" xfId="20" applyNumberFormat="1" applyBorder="1" applyAlignment="1">
      <alignment horizontal="center" vertical="center"/>
    </xf>
    <xf numFmtId="0" fontId="12" fillId="42" borderId="0" xfId="11" applyFont="1" applyFill="1" applyAlignment="1">
      <alignment horizontal="right" vertical="center" indent="1"/>
    </xf>
    <xf numFmtId="0" fontId="12" fillId="0" borderId="0" xfId="20" applyFont="1" applyAlignment="1">
      <alignment horizontal="right" vertical="center" wrapText="1" indent="1"/>
    </xf>
    <xf numFmtId="0" fontId="12" fillId="0" borderId="0" xfId="20" applyFont="1" applyAlignment="1">
      <alignment horizontal="left" vertical="center" indent="1"/>
    </xf>
    <xf numFmtId="0" fontId="71" fillId="0" borderId="0" xfId="20" applyFont="1" applyAlignment="1">
      <alignment horizontal="left" vertical="center" indent="1"/>
    </xf>
    <xf numFmtId="0" fontId="27" fillId="0" borderId="0" xfId="20" applyFont="1" applyAlignment="1">
      <alignment horizontal="right" vertical="center" indent="1"/>
    </xf>
    <xf numFmtId="0" fontId="27" fillId="0" borderId="0" xfId="20" applyFont="1" applyAlignment="1">
      <alignment horizontal="right" vertical="center" wrapText="1" indent="1"/>
    </xf>
    <xf numFmtId="0" fontId="78" fillId="0" borderId="0" xfId="0" applyFont="1"/>
    <xf numFmtId="168" fontId="75" fillId="0" borderId="8" xfId="0" applyNumberFormat="1" applyFont="1" applyBorder="1" applyAlignment="1">
      <alignment horizontal="left" vertical="top"/>
    </xf>
    <xf numFmtId="168" fontId="78" fillId="0" borderId="0" xfId="0" applyNumberFormat="1" applyFont="1"/>
    <xf numFmtId="0" fontId="77" fillId="41" borderId="8" xfId="0" applyFont="1" applyFill="1" applyBorder="1" applyAlignment="1">
      <alignment horizontal="center" vertical="top" wrapText="1"/>
    </xf>
    <xf numFmtId="168" fontId="77" fillId="41" borderId="8" xfId="0" applyNumberFormat="1" applyFont="1" applyFill="1" applyBorder="1" applyAlignment="1">
      <alignment horizontal="center" vertical="top" wrapText="1"/>
    </xf>
    <xf numFmtId="0" fontId="78" fillId="0" borderId="0" xfId="0" applyFont="1" applyAlignment="1">
      <alignment vertical="top" wrapText="1"/>
    </xf>
    <xf numFmtId="165" fontId="11" fillId="0" borderId="43" xfId="0" applyNumberFormat="1" applyFont="1" applyBorder="1"/>
    <xf numFmtId="172" fontId="11" fillId="0" borderId="44" xfId="0" applyNumberFormat="1" applyFont="1" applyBorder="1" applyAlignment="1">
      <alignment horizontal="center"/>
    </xf>
    <xf numFmtId="165" fontId="11" fillId="0" borderId="45" xfId="0" applyNumberFormat="1" applyFont="1" applyBorder="1"/>
    <xf numFmtId="172" fontId="11" fillId="0" borderId="48" xfId="0" applyNumberFormat="1" applyFont="1" applyBorder="1" applyAlignment="1">
      <alignment horizontal="center"/>
    </xf>
    <xf numFmtId="172" fontId="11" fillId="0" borderId="46" xfId="0" applyNumberFormat="1" applyFont="1" applyBorder="1" applyAlignment="1">
      <alignment horizontal="center"/>
    </xf>
    <xf numFmtId="3" fontId="11" fillId="0" borderId="8" xfId="20" applyNumberFormat="1" applyBorder="1"/>
    <xf numFmtId="3" fontId="11" fillId="0" borderId="8" xfId="20" applyNumberFormat="1" applyBorder="1" applyAlignment="1">
      <alignment horizontal="center"/>
    </xf>
    <xf numFmtId="166" fontId="11" fillId="0" borderId="8" xfId="20" applyNumberFormat="1" applyBorder="1" applyAlignment="1">
      <alignment horizontal="center"/>
    </xf>
    <xf numFmtId="0" fontId="12" fillId="0" borderId="8" xfId="20" applyFont="1" applyBorder="1" applyAlignment="1">
      <alignment horizontal="right" vertical="top"/>
    </xf>
    <xf numFmtId="166" fontId="11" fillId="0" borderId="8" xfId="20" applyNumberFormat="1" applyBorder="1" applyAlignment="1">
      <alignment horizontal="center" vertical="center"/>
    </xf>
    <xf numFmtId="0" fontId="12" fillId="42" borderId="8" xfId="20" applyFont="1" applyFill="1" applyBorder="1" applyAlignment="1">
      <alignment horizontal="right"/>
    </xf>
    <xf numFmtId="3" fontId="12" fillId="42" borderId="8" xfId="20" applyNumberFormat="1" applyFont="1" applyFill="1" applyBorder="1"/>
    <xf numFmtId="3" fontId="12" fillId="42" borderId="8" xfId="20" applyNumberFormat="1" applyFont="1" applyFill="1" applyBorder="1" applyAlignment="1">
      <alignment horizontal="center" wrapText="1"/>
    </xf>
    <xf numFmtId="166" fontId="12" fillId="42" borderId="8" xfId="20" applyNumberFormat="1" applyFont="1" applyFill="1" applyBorder="1" applyAlignment="1">
      <alignment horizontal="center" wrapText="1"/>
    </xf>
    <xf numFmtId="3" fontId="11" fillId="0" borderId="45" xfId="20" applyNumberFormat="1" applyBorder="1" applyAlignment="1">
      <alignment horizontal="center"/>
    </xf>
    <xf numFmtId="3" fontId="11" fillId="0" borderId="48" xfId="20" applyNumberFormat="1" applyBorder="1" applyAlignment="1">
      <alignment horizontal="center"/>
    </xf>
    <xf numFmtId="3" fontId="12" fillId="42" borderId="41" xfId="20" applyNumberFormat="1" applyFont="1" applyFill="1" applyBorder="1" applyAlignment="1">
      <alignment horizontal="center"/>
    </xf>
    <xf numFmtId="3" fontId="12" fillId="42" borderId="47" xfId="20" applyNumberFormat="1" applyFont="1" applyFill="1" applyBorder="1" applyAlignment="1">
      <alignment horizontal="center"/>
    </xf>
    <xf numFmtId="3" fontId="0" fillId="0" borderId="45" xfId="0" applyNumberFormat="1" applyBorder="1"/>
    <xf numFmtId="3" fontId="0" fillId="0" borderId="48" xfId="0" applyNumberFormat="1" applyBorder="1"/>
    <xf numFmtId="166" fontId="0" fillId="0" borderId="48" xfId="0" applyNumberFormat="1" applyBorder="1"/>
    <xf numFmtId="166" fontId="0" fillId="0" borderId="48" xfId="0" applyNumberFormat="1" applyBorder="1" applyAlignment="1">
      <alignment horizontal="center"/>
    </xf>
    <xf numFmtId="3" fontId="12" fillId="42" borderId="41" xfId="20" applyNumberFormat="1" applyFont="1" applyFill="1" applyBorder="1" applyAlignment="1">
      <alignment horizontal="center" wrapText="1"/>
    </xf>
    <xf numFmtId="3" fontId="12" fillId="42" borderId="47" xfId="20" applyNumberFormat="1" applyFont="1" applyFill="1" applyBorder="1" applyAlignment="1">
      <alignment horizontal="center" wrapText="1"/>
    </xf>
    <xf numFmtId="0" fontId="12" fillId="42" borderId="47" xfId="20" applyFont="1" applyFill="1" applyBorder="1" applyAlignment="1">
      <alignment horizontal="center" wrapText="1"/>
    </xf>
    <xf numFmtId="0" fontId="12" fillId="42" borderId="42" xfId="20" applyFont="1" applyFill="1" applyBorder="1" applyAlignment="1">
      <alignment horizontal="center" wrapText="1"/>
    </xf>
    <xf numFmtId="3" fontId="11" fillId="0" borderId="0" xfId="20" applyNumberFormat="1" applyAlignment="1">
      <alignment horizontal="left"/>
    </xf>
    <xf numFmtId="0" fontId="12" fillId="0" borderId="0" xfId="20" applyFont="1" applyAlignment="1">
      <alignment horizontal="left"/>
    </xf>
    <xf numFmtId="3" fontId="11" fillId="0" borderId="0" xfId="20" applyNumberFormat="1" applyAlignment="1">
      <alignment horizontal="left" vertical="center"/>
    </xf>
    <xf numFmtId="0" fontId="12" fillId="0" borderId="0" xfId="20" applyFont="1" applyAlignment="1">
      <alignment horizontal="left" vertical="center"/>
    </xf>
    <xf numFmtId="3" fontId="11" fillId="0" borderId="43" xfId="20" applyNumberFormat="1" applyBorder="1"/>
    <xf numFmtId="0" fontId="11" fillId="0" borderId="44" xfId="20" applyBorder="1"/>
    <xf numFmtId="3" fontId="11" fillId="0" borderId="45" xfId="20" applyNumberFormat="1" applyBorder="1"/>
    <xf numFmtId="3" fontId="11" fillId="0" borderId="48" xfId="20" applyNumberFormat="1" applyBorder="1"/>
    <xf numFmtId="0" fontId="11" fillId="0" borderId="46" xfId="20" applyBorder="1"/>
    <xf numFmtId="0" fontId="11" fillId="0" borderId="43" xfId="0" applyFont="1" applyBorder="1" applyAlignment="1">
      <alignment horizontal="center" vertical="top" wrapText="1"/>
    </xf>
    <xf numFmtId="0" fontId="11" fillId="0" borderId="44" xfId="0" applyFont="1" applyBorder="1" applyAlignment="1">
      <alignment vertical="center" wrapText="1"/>
    </xf>
    <xf numFmtId="0" fontId="15" fillId="42" borderId="41" xfId="0" applyFont="1" applyFill="1" applyBorder="1" applyAlignment="1">
      <alignment horizontal="center" vertical="top" wrapText="1"/>
    </xf>
    <xf numFmtId="0" fontId="15" fillId="42" borderId="47" xfId="0" applyFont="1" applyFill="1" applyBorder="1" applyAlignment="1">
      <alignment horizontal="center" vertical="top" wrapText="1"/>
    </xf>
    <xf numFmtId="0" fontId="15" fillId="42" borderId="42" xfId="0" applyFont="1" applyFill="1" applyBorder="1" applyAlignment="1">
      <alignment horizontal="center" vertical="center" wrapText="1"/>
    </xf>
    <xf numFmtId="9" fontId="11" fillId="0" borderId="0" xfId="34" applyFont="1" applyFill="1" applyBorder="1" applyAlignment="1">
      <alignment horizontal="left" wrapText="1"/>
    </xf>
    <xf numFmtId="9" fontId="11" fillId="0" borderId="0" xfId="1" applyFont="1" applyFill="1" applyBorder="1" applyAlignment="1">
      <alignment horizontal="left" wrapText="1"/>
    </xf>
    <xf numFmtId="0" fontId="11" fillId="0" borderId="8" xfId="0" applyFont="1" applyBorder="1" applyAlignment="1">
      <alignment vertical="top" wrapText="1"/>
    </xf>
    <xf numFmtId="1" fontId="11" fillId="0" borderId="8" xfId="0" applyNumberFormat="1" applyFont="1" applyBorder="1" applyAlignment="1">
      <alignment horizontal="right"/>
    </xf>
    <xf numFmtId="167" fontId="11" fillId="0" borderId="8" xfId="0" applyNumberFormat="1" applyFont="1" applyBorder="1" applyAlignment="1">
      <alignment horizontal="center" vertical="top" wrapText="1"/>
    </xf>
    <xf numFmtId="1" fontId="11" fillId="0" borderId="8" xfId="0" applyNumberFormat="1" applyFont="1" applyBorder="1" applyAlignment="1">
      <alignment horizontal="center"/>
    </xf>
    <xf numFmtId="0" fontId="11" fillId="0" borderId="8" xfId="0" applyFont="1" applyBorder="1" applyAlignment="1">
      <alignment horizontal="right"/>
    </xf>
    <xf numFmtId="49" fontId="11" fillId="0" borderId="8" xfId="0" applyNumberFormat="1" applyFont="1" applyBorder="1"/>
    <xf numFmtId="167" fontId="11" fillId="0" borderId="8" xfId="0" applyNumberFormat="1" applyFont="1" applyBorder="1" applyAlignment="1">
      <alignment horizontal="center"/>
    </xf>
    <xf numFmtId="167" fontId="11" fillId="0" borderId="8" xfId="0" applyNumberFormat="1" applyFont="1" applyBorder="1" applyAlignment="1">
      <alignment horizontal="center" vertical="center"/>
    </xf>
    <xf numFmtId="0" fontId="11" fillId="0" borderId="8" xfId="0" applyFont="1" applyBorder="1" applyAlignment="1">
      <alignment vertical="center" wrapText="1"/>
    </xf>
    <xf numFmtId="0" fontId="11" fillId="0" borderId="8" xfId="0" applyFont="1" applyBorder="1" applyAlignment="1">
      <alignment horizontal="left" vertical="center" wrapText="1"/>
    </xf>
    <xf numFmtId="167" fontId="33" fillId="0" borderId="8" xfId="0" applyNumberFormat="1" applyFont="1" applyBorder="1" applyAlignment="1">
      <alignment horizontal="left"/>
    </xf>
    <xf numFmtId="1" fontId="11" fillId="0" borderId="8" xfId="0" applyNumberFormat="1" applyFont="1" applyBorder="1" applyAlignment="1">
      <alignment horizontal="right" vertical="center"/>
    </xf>
    <xf numFmtId="167" fontId="11" fillId="0" borderId="8" xfId="0" applyNumberFormat="1" applyFont="1" applyBorder="1" applyAlignment="1">
      <alignment horizontal="center" vertical="center" wrapText="1"/>
    </xf>
    <xf numFmtId="0" fontId="11" fillId="0" borderId="8" xfId="0" applyFont="1" applyBorder="1" applyAlignment="1">
      <alignment horizontal="right" vertical="center"/>
    </xf>
    <xf numFmtId="1" fontId="11" fillId="0" borderId="8" xfId="20" applyNumberFormat="1" applyBorder="1" applyAlignment="1">
      <alignment horizontal="center" vertical="center"/>
    </xf>
    <xf numFmtId="0" fontId="11" fillId="0" borderId="8" xfId="20" applyBorder="1" applyAlignment="1">
      <alignment horizontal="center" vertical="top"/>
    </xf>
    <xf numFmtId="1" fontId="11" fillId="0" borderId="8" xfId="20" applyNumberFormat="1" applyBorder="1" applyAlignment="1">
      <alignment horizontal="right"/>
    </xf>
    <xf numFmtId="167" fontId="11" fillId="0" borderId="8" xfId="20" applyNumberFormat="1" applyBorder="1" applyAlignment="1">
      <alignment horizontal="center" vertical="top"/>
    </xf>
    <xf numFmtId="0" fontId="11" fillId="0" borderId="8" xfId="20" applyBorder="1" applyAlignment="1">
      <alignment vertical="top" wrapText="1"/>
    </xf>
    <xf numFmtId="49" fontId="11" fillId="0" borderId="8" xfId="20" applyNumberFormat="1" applyBorder="1"/>
    <xf numFmtId="0" fontId="11" fillId="0" borderId="8" xfId="20" applyBorder="1" applyAlignment="1">
      <alignment vertical="center"/>
    </xf>
    <xf numFmtId="49" fontId="11" fillId="0" borderId="8" xfId="20" applyNumberFormat="1" applyBorder="1" applyAlignment="1">
      <alignment vertical="center"/>
    </xf>
    <xf numFmtId="0" fontId="11" fillId="0" borderId="8" xfId="20" applyBorder="1" applyAlignment="1">
      <alignment vertical="center" wrapText="1"/>
    </xf>
    <xf numFmtId="0" fontId="22" fillId="0" borderId="8" xfId="0" applyFont="1" applyBorder="1" applyAlignment="1">
      <alignment horizontal="center"/>
    </xf>
    <xf numFmtId="167" fontId="11" fillId="0" borderId="8" xfId="20" applyNumberFormat="1" applyBorder="1" applyAlignment="1">
      <alignment horizontal="center"/>
    </xf>
    <xf numFmtId="0" fontId="29" fillId="0" borderId="8" xfId="0" applyFont="1" applyBorder="1" applyAlignment="1">
      <alignment horizontal="center" wrapText="1"/>
    </xf>
    <xf numFmtId="0" fontId="12" fillId="42" borderId="8" xfId="0" applyFont="1" applyFill="1" applyBorder="1" applyAlignment="1">
      <alignment vertical="top" wrapText="1"/>
    </xf>
    <xf numFmtId="49" fontId="12" fillId="42" borderId="8" xfId="0" applyNumberFormat="1" applyFont="1" applyFill="1" applyBorder="1" applyAlignment="1">
      <alignment vertical="top" wrapText="1"/>
    </xf>
    <xf numFmtId="1" fontId="12" fillId="42" borderId="8" xfId="0" applyNumberFormat="1" applyFont="1" applyFill="1" applyBorder="1" applyAlignment="1">
      <alignment horizontal="center" vertical="top" wrapText="1"/>
    </xf>
    <xf numFmtId="167" fontId="12" fillId="42" borderId="8" xfId="0" applyNumberFormat="1" applyFont="1" applyFill="1" applyBorder="1" applyAlignment="1">
      <alignment horizontal="center" vertical="top" wrapText="1"/>
    </xf>
    <xf numFmtId="0" fontId="22" fillId="0" borderId="0" xfId="0" applyFont="1" applyAlignment="1">
      <alignment vertical="top"/>
    </xf>
    <xf numFmtId="49" fontId="0" fillId="0" borderId="0" xfId="0" applyNumberFormat="1" applyAlignment="1">
      <alignment horizontal="left"/>
    </xf>
    <xf numFmtId="0" fontId="12" fillId="0" borderId="0" xfId="0" applyFont="1" applyAlignment="1">
      <alignment horizontal="center" vertical="top" wrapText="1"/>
    </xf>
    <xf numFmtId="0" fontId="29" fillId="0" borderId="8" xfId="0" applyFont="1" applyBorder="1" applyAlignment="1">
      <alignment horizontal="left" vertical="center" wrapText="1"/>
    </xf>
    <xf numFmtId="0" fontId="27" fillId="0" borderId="8" xfId="0" applyFont="1" applyBorder="1" applyAlignment="1">
      <alignment horizontal="left" vertical="center" wrapText="1"/>
    </xf>
    <xf numFmtId="0" fontId="67" fillId="0" borderId="8" xfId="0" applyFont="1" applyBorder="1" applyAlignment="1">
      <alignment vertical="center"/>
    </xf>
    <xf numFmtId="0" fontId="29" fillId="0" borderId="8" xfId="0" applyFont="1" applyBorder="1" applyAlignment="1">
      <alignment horizontal="right" vertical="center" wrapText="1"/>
    </xf>
    <xf numFmtId="14" fontId="27" fillId="0" borderId="8" xfId="0" applyNumberFormat="1" applyFont="1" applyBorder="1" applyAlignment="1">
      <alignment horizontal="center" vertical="center" wrapText="1"/>
    </xf>
    <xf numFmtId="0" fontId="29" fillId="0" borderId="8" xfId="0" applyFont="1" applyBorder="1" applyAlignment="1">
      <alignment horizontal="center" vertical="center" wrapText="1"/>
    </xf>
    <xf numFmtId="0" fontId="29" fillId="0" borderId="8" xfId="0" applyFont="1" applyBorder="1" applyAlignment="1">
      <alignment horizontal="center" vertical="center"/>
    </xf>
    <xf numFmtId="0" fontId="0" fillId="0" borderId="8" xfId="0" applyBorder="1" applyAlignment="1">
      <alignment horizontal="center" vertical="center"/>
    </xf>
    <xf numFmtId="49" fontId="11" fillId="0" borderId="8" xfId="0" applyNumberFormat="1" applyFont="1" applyBorder="1" applyAlignment="1">
      <alignment horizontal="left"/>
    </xf>
    <xf numFmtId="49" fontId="12" fillId="42" borderId="8" xfId="0" applyNumberFormat="1" applyFont="1" applyFill="1" applyBorder="1" applyAlignment="1">
      <alignment horizontal="center" vertical="top" wrapText="1"/>
    </xf>
    <xf numFmtId="0" fontId="31" fillId="0" borderId="0" xfId="20" applyFont="1" applyAlignment="1">
      <alignment vertical="center"/>
    </xf>
    <xf numFmtId="14" fontId="11" fillId="0" borderId="48" xfId="20" applyNumberFormat="1" applyBorder="1" applyAlignment="1">
      <alignment horizontal="center"/>
    </xf>
    <xf numFmtId="0" fontId="12" fillId="42" borderId="41" xfId="20" applyFont="1" applyFill="1" applyBorder="1" applyAlignment="1">
      <alignment horizontal="center" vertical="center" wrapText="1"/>
    </xf>
    <xf numFmtId="0" fontId="12" fillId="42" borderId="47" xfId="20" applyFont="1" applyFill="1" applyBorder="1" applyAlignment="1">
      <alignment horizontal="center" vertical="center" wrapText="1"/>
    </xf>
    <xf numFmtId="0" fontId="12" fillId="42" borderId="42" xfId="20" applyFont="1" applyFill="1" applyBorder="1" applyAlignment="1">
      <alignment horizontal="center" vertical="center" wrapText="1"/>
    </xf>
    <xf numFmtId="172" fontId="66" fillId="0" borderId="8" xfId="146" applyNumberFormat="1" applyFont="1" applyBorder="1" applyAlignment="1">
      <alignment horizontal="center"/>
    </xf>
    <xf numFmtId="0" fontId="11" fillId="0" borderId="0" xfId="20" applyAlignment="1">
      <alignment vertical="top" wrapText="1"/>
    </xf>
    <xf numFmtId="172" fontId="11" fillId="0" borderId="8" xfId="20" applyNumberFormat="1" applyBorder="1" applyAlignment="1">
      <alignment horizontal="center"/>
    </xf>
    <xf numFmtId="0" fontId="11" fillId="0" borderId="8" xfId="20" applyBorder="1" applyAlignment="1">
      <alignment horizontal="left" wrapText="1"/>
    </xf>
    <xf numFmtId="0" fontId="11" fillId="0" borderId="8" xfId="20" applyBorder="1" applyAlignment="1">
      <alignment wrapText="1"/>
    </xf>
    <xf numFmtId="14" fontId="11" fillId="0" borderId="0" xfId="20" applyNumberFormat="1" applyAlignment="1">
      <alignment horizontal="center"/>
    </xf>
    <xf numFmtId="0" fontId="12" fillId="42" borderId="8" xfId="20" applyFont="1" applyFill="1" applyBorder="1" applyAlignment="1">
      <alignment horizontal="center" vertical="top" wrapText="1"/>
    </xf>
    <xf numFmtId="0" fontId="11" fillId="0" borderId="8" xfId="20" applyBorder="1" applyAlignment="1">
      <alignment horizontal="left"/>
    </xf>
    <xf numFmtId="0" fontId="79" fillId="0" borderId="8" xfId="20" applyFont="1" applyBorder="1" applyAlignment="1">
      <alignment horizontal="left"/>
    </xf>
    <xf numFmtId="0" fontId="11" fillId="0" borderId="8" xfId="20" applyBorder="1" applyAlignment="1">
      <alignment horizontal="left" vertical="center"/>
    </xf>
    <xf numFmtId="0" fontId="66" fillId="0" borderId="8" xfId="146" applyFont="1" applyBorder="1" applyAlignment="1">
      <alignment horizontal="left"/>
    </xf>
    <xf numFmtId="0" fontId="11" fillId="0" borderId="8" xfId="29" applyBorder="1" applyAlignment="1">
      <alignment horizontal="left"/>
    </xf>
    <xf numFmtId="0" fontId="29" fillId="0" borderId="0" xfId="0" applyFont="1" applyAlignment="1">
      <alignment vertical="center" wrapText="1"/>
    </xf>
    <xf numFmtId="0" fontId="12" fillId="0" borderId="14" xfId="0" applyFont="1" applyBorder="1" applyAlignment="1">
      <alignment horizontal="right" vertical="center"/>
    </xf>
    <xf numFmtId="0" fontId="12" fillId="0" borderId="37" xfId="0" applyFont="1" applyBorder="1" applyAlignment="1">
      <alignment horizontal="right"/>
    </xf>
    <xf numFmtId="174" fontId="12" fillId="2" borderId="39" xfId="0" applyNumberFormat="1" applyFont="1" applyFill="1" applyBorder="1" applyAlignment="1">
      <alignment horizontal="left"/>
    </xf>
    <xf numFmtId="0" fontId="66" fillId="0" borderId="0" xfId="155" applyFont="1"/>
    <xf numFmtId="0" fontId="12" fillId="42" borderId="14" xfId="0" applyFont="1" applyFill="1" applyBorder="1" applyAlignment="1">
      <alignment horizontal="right"/>
    </xf>
    <xf numFmtId="0" fontId="12" fillId="2" borderId="39" xfId="0" applyFont="1" applyFill="1" applyBorder="1" applyAlignment="1">
      <alignment horizontal="left"/>
    </xf>
    <xf numFmtId="165" fontId="0" fillId="0" borderId="0" xfId="0" applyNumberFormat="1"/>
    <xf numFmtId="0" fontId="12" fillId="42" borderId="19" xfId="20" applyFont="1" applyFill="1" applyBorder="1" applyAlignment="1">
      <alignment horizontal="right" vertical="center" indent="1"/>
    </xf>
    <xf numFmtId="0" fontId="12" fillId="0" borderId="4" xfId="20" applyFont="1" applyBorder="1" applyAlignment="1">
      <alignment horizontal="right" vertical="center" indent="1"/>
    </xf>
    <xf numFmtId="0" fontId="80" fillId="0" borderId="0" xfId="20" applyFont="1" applyAlignment="1">
      <alignment horizontal="center" vertical="center"/>
    </xf>
    <xf numFmtId="0" fontId="12" fillId="0" borderId="41" xfId="20" applyFont="1" applyBorder="1" applyAlignment="1">
      <alignment horizontal="left" vertical="center" indent="1"/>
    </xf>
    <xf numFmtId="14" fontId="11" fillId="0" borderId="47" xfId="20" applyNumberFormat="1" applyBorder="1" applyAlignment="1">
      <alignment horizontal="center"/>
    </xf>
    <xf numFmtId="14" fontId="11" fillId="0" borderId="42" xfId="20" applyNumberFormat="1" applyBorder="1" applyAlignment="1">
      <alignment horizontal="left"/>
    </xf>
    <xf numFmtId="0" fontId="11" fillId="0" borderId="3" xfId="20" applyBorder="1"/>
    <xf numFmtId="0" fontId="11" fillId="0" borderId="44" xfId="20" applyBorder="1" applyAlignment="1">
      <alignment horizontal="left"/>
    </xf>
    <xf numFmtId="0" fontId="11" fillId="2" borderId="0" xfId="20" applyFill="1" applyAlignment="1">
      <alignment horizontal="left" vertical="center"/>
    </xf>
    <xf numFmtId="14" fontId="66" fillId="0" borderId="8" xfId="20" applyNumberFormat="1" applyFont="1" applyBorder="1" applyAlignment="1">
      <alignment horizontal="center"/>
    </xf>
    <xf numFmtId="14" fontId="69" fillId="0" borderId="44" xfId="20" applyNumberFormat="1" applyFont="1" applyBorder="1" applyAlignment="1">
      <alignment horizontal="left"/>
    </xf>
    <xf numFmtId="0" fontId="66" fillId="0" borderId="8" xfId="20" applyFont="1" applyBorder="1" applyAlignment="1">
      <alignment horizontal="center"/>
    </xf>
    <xf numFmtId="0" fontId="12" fillId="0" borderId="37" xfId="20" applyFont="1" applyBorder="1" applyAlignment="1">
      <alignment horizontal="center" vertical="center"/>
    </xf>
    <xf numFmtId="168" fontId="12" fillId="2" borderId="39" xfId="20" applyNumberFormat="1" applyFont="1" applyFill="1" applyBorder="1" applyAlignment="1">
      <alignment horizontal="left" vertical="center"/>
    </xf>
    <xf numFmtId="164" fontId="12" fillId="0" borderId="0" xfId="20" applyNumberFormat="1" applyFont="1" applyAlignment="1">
      <alignment horizontal="center" vertical="center"/>
    </xf>
    <xf numFmtId="0" fontId="12" fillId="0" borderId="0" xfId="20" applyFont="1" applyAlignment="1">
      <alignment horizontal="center" vertical="center"/>
    </xf>
    <xf numFmtId="0" fontId="12" fillId="0" borderId="3" xfId="20" applyFont="1" applyBorder="1"/>
    <xf numFmtId="164" fontId="11" fillId="0" borderId="0" xfId="20" applyNumberFormat="1" applyAlignment="1">
      <alignment horizontal="center" vertical="center"/>
    </xf>
    <xf numFmtId="0" fontId="12" fillId="0" borderId="45" xfId="20" applyFont="1" applyBorder="1" applyAlignment="1">
      <alignment horizontal="left" vertical="center" indent="1"/>
    </xf>
    <xf numFmtId="14" fontId="66" fillId="0" borderId="48" xfId="20" applyNumberFormat="1" applyFont="1" applyBorder="1" applyAlignment="1">
      <alignment horizontal="center"/>
    </xf>
    <xf numFmtId="14" fontId="69" fillId="0" borderId="46" xfId="20" applyNumberFormat="1" applyFont="1" applyBorder="1" applyAlignment="1">
      <alignment horizontal="left"/>
    </xf>
    <xf numFmtId="14" fontId="66" fillId="0" borderId="0" xfId="20" applyNumberFormat="1" applyFont="1" applyAlignment="1">
      <alignment horizontal="center"/>
    </xf>
    <xf numFmtId="14" fontId="69" fillId="0" borderId="0" xfId="20" applyNumberFormat="1" applyFont="1" applyAlignment="1">
      <alignment horizontal="left"/>
    </xf>
    <xf numFmtId="0" fontId="12" fillId="44" borderId="37" xfId="20" applyFont="1" applyFill="1" applyBorder="1" applyAlignment="1">
      <alignment horizontal="center" vertical="top" wrapText="1"/>
    </xf>
    <xf numFmtId="0" fontId="12" fillId="44" borderId="38" xfId="20" applyFont="1" applyFill="1" applyBorder="1" applyAlignment="1">
      <alignment horizontal="center" vertical="top" wrapText="1"/>
    </xf>
    <xf numFmtId="164" fontId="12" fillId="44" borderId="38" xfId="20" applyNumberFormat="1" applyFont="1" applyFill="1" applyBorder="1" applyAlignment="1">
      <alignment horizontal="center" vertical="top" wrapText="1"/>
    </xf>
    <xf numFmtId="14" fontId="32" fillId="44" borderId="39" xfId="20" applyNumberFormat="1" applyFont="1" applyFill="1" applyBorder="1" applyAlignment="1">
      <alignment horizontal="center" vertical="top" wrapText="1"/>
    </xf>
    <xf numFmtId="14" fontId="32" fillId="0" borderId="0" xfId="20" applyNumberFormat="1" applyFont="1" applyAlignment="1">
      <alignment horizontal="left"/>
    </xf>
    <xf numFmtId="0" fontId="11" fillId="0" borderId="61" xfId="20" applyBorder="1" applyAlignment="1">
      <alignment horizontal="center" vertical="center"/>
    </xf>
    <xf numFmtId="0" fontId="11" fillId="0" borderId="31" xfId="20" applyBorder="1" applyAlignment="1">
      <alignment horizontal="center" vertical="center"/>
    </xf>
    <xf numFmtId="164" fontId="11" fillId="0" borderId="31" xfId="20" applyNumberFormat="1" applyBorder="1" applyAlignment="1">
      <alignment horizontal="center" vertical="center"/>
    </xf>
    <xf numFmtId="165" fontId="11" fillId="0" borderId="31" xfId="20" applyNumberFormat="1" applyBorder="1" applyAlignment="1">
      <alignment horizontal="center" vertical="center"/>
    </xf>
    <xf numFmtId="164" fontId="11" fillId="0" borderId="8" xfId="20" applyNumberFormat="1" applyBorder="1" applyAlignment="1">
      <alignment horizontal="center" vertical="center"/>
    </xf>
    <xf numFmtId="165" fontId="11" fillId="0" borderId="8" xfId="20" applyNumberFormat="1" applyBorder="1" applyAlignment="1">
      <alignment horizontal="center" vertical="center"/>
    </xf>
    <xf numFmtId="164" fontId="11" fillId="0" borderId="48" xfId="20" applyNumberFormat="1" applyBorder="1" applyAlignment="1">
      <alignment horizontal="center" vertical="center"/>
    </xf>
    <xf numFmtId="165" fontId="11" fillId="0" borderId="48" xfId="20" applyNumberFormat="1" applyBorder="1" applyAlignment="1">
      <alignment horizontal="center" vertical="center"/>
    </xf>
    <xf numFmtId="3" fontId="11" fillId="0" borderId="8" xfId="20" applyNumberFormat="1" applyBorder="1" applyAlignment="1">
      <alignment horizontal="center" vertical="center"/>
    </xf>
    <xf numFmtId="3" fontId="11" fillId="0" borderId="48" xfId="20" applyNumberFormat="1" applyBorder="1" applyAlignment="1">
      <alignment horizontal="center" vertical="center"/>
    </xf>
    <xf numFmtId="0" fontId="12" fillId="44" borderId="32" xfId="20" applyFont="1" applyFill="1" applyBorder="1" applyAlignment="1">
      <alignment horizontal="center" vertical="top" wrapText="1"/>
    </xf>
    <xf numFmtId="0" fontId="12" fillId="44" borderId="33" xfId="20" applyFont="1" applyFill="1" applyBorder="1" applyAlignment="1">
      <alignment horizontal="center" vertical="top" wrapText="1"/>
    </xf>
    <xf numFmtId="164" fontId="12" fillId="44" borderId="33" xfId="20" applyNumberFormat="1" applyFont="1" applyFill="1" applyBorder="1" applyAlignment="1">
      <alignment horizontal="center" vertical="top" wrapText="1"/>
    </xf>
    <xf numFmtId="14" fontId="32" fillId="44" borderId="34" xfId="20" applyNumberFormat="1" applyFont="1" applyFill="1" applyBorder="1" applyAlignment="1">
      <alignment horizontal="center" vertical="top" wrapText="1"/>
    </xf>
    <xf numFmtId="3" fontId="11" fillId="0" borderId="41" xfId="20" applyNumberFormat="1" applyBorder="1" applyAlignment="1">
      <alignment horizontal="center" vertical="center"/>
    </xf>
    <xf numFmtId="0" fontId="11" fillId="0" borderId="47" xfId="20" applyBorder="1" applyAlignment="1">
      <alignment horizontal="center" vertical="center"/>
    </xf>
    <xf numFmtId="164" fontId="11" fillId="0" borderId="47" xfId="20" applyNumberFormat="1" applyBorder="1" applyAlignment="1">
      <alignment horizontal="center" vertical="center"/>
    </xf>
    <xf numFmtId="165" fontId="11" fillId="0" borderId="47" xfId="20" applyNumberFormat="1" applyBorder="1" applyAlignment="1">
      <alignment horizontal="center" vertical="center"/>
    </xf>
    <xf numFmtId="165" fontId="66" fillId="0" borderId="8" xfId="20" applyNumberFormat="1" applyFont="1" applyBorder="1" applyAlignment="1">
      <alignment horizontal="center"/>
    </xf>
    <xf numFmtId="0" fontId="12" fillId="0" borderId="4" xfId="20" applyFont="1" applyBorder="1" applyAlignment="1">
      <alignment horizontal="center" vertical="center"/>
    </xf>
    <xf numFmtId="168" fontId="12" fillId="0" borderId="0" xfId="20" applyNumberFormat="1" applyFont="1" applyAlignment="1">
      <alignment horizontal="center" vertical="center"/>
    </xf>
    <xf numFmtId="3" fontId="11" fillId="0" borderId="43" xfId="20" applyNumberFormat="1" applyBorder="1" applyAlignment="1">
      <alignment horizontal="center" vertical="center"/>
    </xf>
    <xf numFmtId="3" fontId="11" fillId="0" borderId="45" xfId="20" applyNumberFormat="1" applyBorder="1" applyAlignment="1">
      <alignment horizontal="center" vertical="center"/>
    </xf>
    <xf numFmtId="0" fontId="77" fillId="45" borderId="8" xfId="156" applyFont="1" applyFill="1" applyBorder="1" applyAlignment="1">
      <alignment horizontal="center" vertical="top" wrapText="1"/>
    </xf>
    <xf numFmtId="168" fontId="77" fillId="41" borderId="8" xfId="156" applyNumberFormat="1" applyFont="1" applyFill="1" applyBorder="1" applyAlignment="1">
      <alignment horizontal="center" vertical="top" wrapText="1"/>
    </xf>
    <xf numFmtId="0" fontId="77" fillId="41" borderId="8" xfId="156" applyFont="1" applyFill="1" applyBorder="1" applyAlignment="1">
      <alignment horizontal="center" vertical="top" wrapText="1"/>
    </xf>
    <xf numFmtId="0" fontId="78" fillId="0" borderId="0" xfId="20" applyFont="1" applyAlignment="1">
      <alignment vertical="top" wrapText="1"/>
    </xf>
    <xf numFmtId="0" fontId="78" fillId="0" borderId="0" xfId="20" applyFont="1"/>
    <xf numFmtId="168" fontId="78" fillId="0" borderId="0" xfId="20" applyNumberFormat="1" applyFont="1" applyAlignment="1">
      <alignment horizontal="left"/>
    </xf>
    <xf numFmtId="0" fontId="78" fillId="0" borderId="0" xfId="20" applyFont="1" applyAlignment="1">
      <alignment horizontal="left"/>
    </xf>
    <xf numFmtId="168" fontId="78" fillId="0" borderId="0" xfId="20" applyNumberFormat="1" applyFont="1"/>
    <xf numFmtId="0" fontId="81" fillId="0" borderId="8" xfId="0" applyFont="1" applyBorder="1"/>
    <xf numFmtId="0" fontId="75" fillId="0" borderId="8" xfId="156" applyFont="1" applyBorder="1" applyAlignment="1">
      <alignment horizontal="left" vertical="top"/>
    </xf>
    <xf numFmtId="0" fontId="75" fillId="0" borderId="8" xfId="157" applyFont="1" applyBorder="1" applyAlignment="1">
      <alignment horizontal="left" vertical="top"/>
    </xf>
    <xf numFmtId="0" fontId="78" fillId="0" borderId="8" xfId="20" applyFont="1" applyBorder="1"/>
    <xf numFmtId="0" fontId="76" fillId="0" borderId="0" xfId="0" applyFont="1" applyAlignment="1">
      <alignment vertical="center"/>
    </xf>
    <xf numFmtId="0" fontId="27" fillId="0" borderId="0" xfId="0" applyFont="1" applyAlignment="1">
      <alignment horizontal="left" vertical="center" indent="1"/>
    </xf>
    <xf numFmtId="0" fontId="29" fillId="0" borderId="0" xfId="0" applyFont="1" applyAlignment="1">
      <alignment horizontal="center"/>
    </xf>
    <xf numFmtId="14" fontId="66" fillId="2" borderId="48" xfId="20" applyNumberFormat="1" applyFont="1" applyFill="1" applyBorder="1" applyAlignment="1">
      <alignment horizontal="center"/>
    </xf>
    <xf numFmtId="14" fontId="11" fillId="2" borderId="44" xfId="0" applyNumberFormat="1" applyFont="1" applyFill="1" applyBorder="1" applyAlignment="1">
      <alignment horizontal="center" wrapText="1"/>
    </xf>
    <xf numFmtId="3" fontId="11" fillId="2" borderId="43" xfId="20" applyNumberFormat="1" applyFill="1" applyBorder="1" applyAlignment="1">
      <alignment horizontal="center" vertical="center"/>
    </xf>
    <xf numFmtId="3" fontId="11" fillId="2" borderId="8" xfId="20" applyNumberFormat="1" applyFill="1" applyBorder="1" applyAlignment="1">
      <alignment horizontal="center" vertical="center"/>
    </xf>
    <xf numFmtId="164" fontId="11" fillId="2" borderId="8" xfId="20" applyNumberFormat="1" applyFill="1" applyBorder="1" applyAlignment="1">
      <alignment horizontal="center" vertical="center"/>
    </xf>
    <xf numFmtId="0" fontId="11" fillId="2" borderId="8" xfId="20" applyFill="1" applyBorder="1" applyAlignment="1">
      <alignment horizontal="center" vertical="center"/>
    </xf>
    <xf numFmtId="165" fontId="11" fillId="2" borderId="8" xfId="20" applyNumberFormat="1" applyFill="1" applyBorder="1" applyAlignment="1">
      <alignment horizontal="center" vertical="center"/>
    </xf>
    <xf numFmtId="0" fontId="11" fillId="2" borderId="8" xfId="20" applyFill="1" applyBorder="1"/>
    <xf numFmtId="3" fontId="11" fillId="2" borderId="45" xfId="20" applyNumberFormat="1" applyFill="1" applyBorder="1" applyAlignment="1">
      <alignment horizontal="center" vertical="center"/>
    </xf>
    <xf numFmtId="3" fontId="11" fillId="2" borderId="48" xfId="20" applyNumberFormat="1" applyFill="1" applyBorder="1" applyAlignment="1">
      <alignment horizontal="center" vertical="center"/>
    </xf>
    <xf numFmtId="164" fontId="11" fillId="2" borderId="48" xfId="20" applyNumberFormat="1" applyFill="1" applyBorder="1" applyAlignment="1">
      <alignment horizontal="center" vertical="center"/>
    </xf>
    <xf numFmtId="0" fontId="11" fillId="2" borderId="48" xfId="20" applyFill="1" applyBorder="1" applyAlignment="1">
      <alignment horizontal="center" vertical="center"/>
    </xf>
    <xf numFmtId="165" fontId="11" fillId="2" borderId="48" xfId="20" applyNumberFormat="1" applyFill="1" applyBorder="1" applyAlignment="1">
      <alignment horizontal="center" vertical="center"/>
    </xf>
    <xf numFmtId="0" fontId="11" fillId="2" borderId="8" xfId="20" applyFill="1" applyBorder="1" applyAlignment="1">
      <alignment horizontal="center"/>
    </xf>
    <xf numFmtId="3" fontId="11" fillId="2" borderId="59" xfId="20" applyNumberFormat="1" applyFill="1" applyBorder="1" applyAlignment="1">
      <alignment horizontal="center" vertical="center"/>
    </xf>
    <xf numFmtId="3" fontId="11" fillId="2" borderId="17" xfId="20" applyNumberFormat="1" applyFill="1" applyBorder="1" applyAlignment="1">
      <alignment horizontal="center" vertical="center"/>
    </xf>
    <xf numFmtId="164" fontId="11" fillId="2" borderId="17" xfId="20" applyNumberFormat="1" applyFill="1" applyBorder="1" applyAlignment="1">
      <alignment horizontal="center" vertical="center"/>
    </xf>
    <xf numFmtId="0" fontId="11" fillId="2" borderId="17" xfId="20" applyFill="1" applyBorder="1" applyAlignment="1">
      <alignment horizontal="center" vertical="center"/>
    </xf>
    <xf numFmtId="165" fontId="11" fillId="2" borderId="17" xfId="20" applyNumberFormat="1" applyFill="1" applyBorder="1" applyAlignment="1">
      <alignment horizontal="center" vertical="center"/>
    </xf>
    <xf numFmtId="164" fontId="11" fillId="2" borderId="48" xfId="20" applyNumberFormat="1" applyFill="1" applyBorder="1" applyAlignment="1">
      <alignment horizontal="right" vertical="center"/>
    </xf>
    <xf numFmtId="0" fontId="75" fillId="2" borderId="8" xfId="156" applyFont="1" applyFill="1" applyBorder="1" applyAlignment="1">
      <alignment horizontal="left" vertical="top"/>
    </xf>
    <xf numFmtId="168" fontId="75" fillId="2" borderId="8" xfId="156" applyNumberFormat="1" applyFont="1" applyFill="1" applyBorder="1" applyAlignment="1">
      <alignment horizontal="left" vertical="top"/>
    </xf>
    <xf numFmtId="3" fontId="75" fillId="2" borderId="8" xfId="156" applyNumberFormat="1" applyFont="1" applyFill="1" applyBorder="1" applyAlignment="1">
      <alignment horizontal="left" vertical="top"/>
    </xf>
    <xf numFmtId="165" fontId="11" fillId="2" borderId="43" xfId="0" applyNumberFormat="1" applyFont="1" applyFill="1" applyBorder="1"/>
    <xf numFmtId="172" fontId="11" fillId="2" borderId="8" xfId="0" applyNumberFormat="1" applyFont="1" applyFill="1" applyBorder="1" applyAlignment="1">
      <alignment horizontal="center"/>
    </xf>
    <xf numFmtId="172" fontId="11" fillId="2" borderId="44" xfId="0" applyNumberFormat="1" applyFont="1" applyFill="1" applyBorder="1" applyAlignment="1">
      <alignment horizontal="center"/>
    </xf>
    <xf numFmtId="165" fontId="11" fillId="2" borderId="43" xfId="0" applyNumberFormat="1" applyFont="1" applyFill="1" applyBorder="1" applyAlignment="1">
      <alignment horizontal="right"/>
    </xf>
    <xf numFmtId="172" fontId="11" fillId="2" borderId="8" xfId="0" quotePrefix="1" applyNumberFormat="1" applyFont="1" applyFill="1" applyBorder="1" applyAlignment="1">
      <alignment horizontal="center"/>
    </xf>
    <xf numFmtId="165" fontId="11" fillId="2" borderId="45" xfId="0" applyNumberFormat="1" applyFont="1" applyFill="1" applyBorder="1"/>
    <xf numFmtId="172" fontId="11" fillId="2" borderId="48" xfId="0" quotePrefix="1" applyNumberFormat="1" applyFont="1" applyFill="1" applyBorder="1" applyAlignment="1">
      <alignment horizontal="center"/>
    </xf>
    <xf numFmtId="172" fontId="11" fillId="2" borderId="48" xfId="0" applyNumberFormat="1" applyFont="1" applyFill="1" applyBorder="1" applyAlignment="1">
      <alignment horizontal="center"/>
    </xf>
    <xf numFmtId="172" fontId="11" fillId="2" borderId="46" xfId="0" applyNumberFormat="1" applyFont="1" applyFill="1" applyBorder="1" applyAlignment="1">
      <alignment horizontal="center"/>
    </xf>
    <xf numFmtId="165" fontId="22" fillId="2" borderId="43" xfId="0" applyNumberFormat="1" applyFont="1" applyFill="1" applyBorder="1"/>
    <xf numFmtId="172" fontId="22" fillId="2" borderId="8" xfId="0" applyNumberFormat="1" applyFont="1" applyFill="1" applyBorder="1" applyAlignment="1">
      <alignment horizontal="center"/>
    </xf>
    <xf numFmtId="172" fontId="22" fillId="2" borderId="44" xfId="0" applyNumberFormat="1" applyFont="1" applyFill="1" applyBorder="1" applyAlignment="1">
      <alignment horizontal="center"/>
    </xf>
    <xf numFmtId="168" fontId="11" fillId="2" borderId="8" xfId="0" applyNumberFormat="1" applyFont="1" applyFill="1" applyBorder="1" applyAlignment="1">
      <alignment horizontal="center"/>
    </xf>
    <xf numFmtId="172" fontId="22" fillId="2" borderId="8" xfId="0" quotePrefix="1" applyNumberFormat="1" applyFont="1" applyFill="1" applyBorder="1" applyAlignment="1">
      <alignment horizontal="center"/>
    </xf>
    <xf numFmtId="172" fontId="22" fillId="2" borderId="44" xfId="0" quotePrefix="1" applyNumberFormat="1" applyFont="1" applyFill="1" applyBorder="1" applyAlignment="1">
      <alignment horizontal="center"/>
    </xf>
    <xf numFmtId="165" fontId="11" fillId="2" borderId="8" xfId="0" applyNumberFormat="1" applyFont="1" applyFill="1" applyBorder="1" applyAlignment="1">
      <alignment horizontal="center"/>
    </xf>
    <xf numFmtId="3" fontId="11" fillId="2" borderId="8" xfId="0" applyNumberFormat="1" applyFont="1" applyFill="1" applyBorder="1" applyAlignment="1">
      <alignment horizontal="center"/>
    </xf>
    <xf numFmtId="0" fontId="22" fillId="2" borderId="0" xfId="0" applyFont="1" applyFill="1" applyAlignment="1">
      <alignment horizontal="left" indent="3"/>
    </xf>
    <xf numFmtId="0" fontId="22" fillId="2" borderId="0" xfId="0" applyFont="1" applyFill="1"/>
    <xf numFmtId="0" fontId="11" fillId="2" borderId="0" xfId="0" applyFont="1" applyFill="1"/>
    <xf numFmtId="0" fontId="23" fillId="2" borderId="0" xfId="0" applyFont="1" applyFill="1"/>
    <xf numFmtId="165" fontId="22" fillId="2" borderId="45" xfId="0" applyNumberFormat="1" applyFont="1" applyFill="1" applyBorder="1"/>
    <xf numFmtId="172" fontId="22" fillId="2" borderId="48" xfId="0" quotePrefix="1" applyNumberFormat="1" applyFont="1" applyFill="1" applyBorder="1" applyAlignment="1">
      <alignment horizontal="center"/>
    </xf>
    <xf numFmtId="172" fontId="22" fillId="2" borderId="48" xfId="0" applyNumberFormat="1" applyFont="1" applyFill="1" applyBorder="1" applyAlignment="1">
      <alignment horizontal="center"/>
    </xf>
    <xf numFmtId="172" fontId="22" fillId="2" borderId="46" xfId="0" applyNumberFormat="1" applyFont="1" applyFill="1" applyBorder="1" applyAlignment="1">
      <alignment horizontal="center"/>
    </xf>
    <xf numFmtId="168" fontId="75" fillId="2" borderId="8" xfId="20" applyNumberFormat="1" applyFont="1" applyFill="1" applyBorder="1" applyAlignment="1">
      <alignment horizontal="left" vertical="top"/>
    </xf>
    <xf numFmtId="0" fontId="75" fillId="2" borderId="8" xfId="20" applyFont="1" applyFill="1" applyBorder="1" applyAlignment="1">
      <alignment horizontal="left" vertical="top"/>
    </xf>
    <xf numFmtId="0" fontId="78" fillId="2" borderId="8" xfId="20" applyFont="1" applyFill="1" applyBorder="1"/>
    <xf numFmtId="168" fontId="78" fillId="2" borderId="8" xfId="20" applyNumberFormat="1" applyFont="1" applyFill="1" applyBorder="1" applyAlignment="1">
      <alignment horizontal="left"/>
    </xf>
    <xf numFmtId="0" fontId="78" fillId="2" borderId="8" xfId="20" applyFont="1" applyFill="1" applyBorder="1" applyAlignment="1">
      <alignment horizontal="left"/>
    </xf>
    <xf numFmtId="0" fontId="75" fillId="2" borderId="8" xfId="157" applyFont="1" applyFill="1" applyBorder="1" applyAlignment="1">
      <alignment horizontal="left" vertical="top"/>
    </xf>
    <xf numFmtId="168" fontId="75" fillId="2" borderId="8" xfId="157" applyNumberFormat="1" applyFont="1" applyFill="1" applyBorder="1" applyAlignment="1">
      <alignment horizontal="left" vertical="top"/>
    </xf>
    <xf numFmtId="168" fontId="78" fillId="2" borderId="8" xfId="0" applyNumberFormat="1" applyFont="1" applyFill="1" applyBorder="1" applyAlignment="1">
      <alignment horizontal="left" vertical="top"/>
    </xf>
    <xf numFmtId="168" fontId="75" fillId="2" borderId="8" xfId="0" applyNumberFormat="1" applyFont="1" applyFill="1" applyBorder="1" applyAlignment="1">
      <alignment horizontal="left" vertical="top"/>
    </xf>
    <xf numFmtId="0" fontId="75" fillId="2" borderId="8" xfId="0" applyFont="1" applyFill="1" applyBorder="1" applyAlignment="1">
      <alignment horizontal="left" vertical="top"/>
    </xf>
    <xf numFmtId="0" fontId="81" fillId="2" borderId="8" xfId="0" applyFont="1" applyFill="1" applyBorder="1"/>
    <xf numFmtId="0" fontId="22" fillId="2" borderId="8" xfId="20" applyFont="1" applyFill="1" applyBorder="1" applyAlignment="1">
      <alignment horizontal="center"/>
    </xf>
    <xf numFmtId="0" fontId="75" fillId="0" borderId="8" xfId="20" applyFont="1" applyBorder="1" applyAlignment="1">
      <alignment horizontal="left" vertical="top"/>
    </xf>
    <xf numFmtId="168" fontId="75" fillId="0" borderId="8" xfId="20" applyNumberFormat="1" applyFont="1" applyBorder="1" applyAlignment="1">
      <alignment horizontal="left" vertical="top"/>
    </xf>
    <xf numFmtId="168" fontId="78" fillId="0" borderId="8" xfId="0" applyNumberFormat="1" applyFont="1" applyBorder="1" applyAlignment="1">
      <alignment horizontal="left" vertical="top"/>
    </xf>
    <xf numFmtId="0" fontId="11" fillId="2" borderId="8" xfId="0" applyFont="1" applyFill="1" applyBorder="1" applyAlignment="1">
      <alignment vertical="top" wrapText="1"/>
    </xf>
    <xf numFmtId="0" fontId="11" fillId="2" borderId="8" xfId="0" applyFont="1" applyFill="1" applyBorder="1" applyAlignment="1">
      <alignment horizontal="center" vertical="top" wrapText="1"/>
    </xf>
    <xf numFmtId="0" fontId="11" fillId="2" borderId="8" xfId="0" applyFont="1" applyFill="1" applyBorder="1" applyAlignment="1">
      <alignment horizontal="left" vertical="top" wrapText="1"/>
    </xf>
    <xf numFmtId="1" fontId="11" fillId="2" borderId="8" xfId="0" applyNumberFormat="1" applyFont="1" applyFill="1" applyBorder="1" applyAlignment="1">
      <alignment horizontal="right"/>
    </xf>
    <xf numFmtId="167" fontId="11" fillId="2" borderId="8" xfId="0" applyNumberFormat="1" applyFont="1" applyFill="1" applyBorder="1" applyAlignment="1">
      <alignment horizontal="center" vertical="top"/>
    </xf>
    <xf numFmtId="0" fontId="11" fillId="2" borderId="8" xfId="0" applyFont="1" applyFill="1" applyBorder="1" applyAlignment="1">
      <alignment horizontal="center" vertical="center"/>
    </xf>
    <xf numFmtId="1" fontId="11" fillId="2" borderId="8" xfId="0" applyNumberFormat="1" applyFont="1" applyFill="1" applyBorder="1" applyAlignment="1">
      <alignment horizontal="center"/>
    </xf>
    <xf numFmtId="0" fontId="11" fillId="2" borderId="8" xfId="0" applyFont="1" applyFill="1" applyBorder="1" applyAlignment="1">
      <alignment horizontal="center"/>
    </xf>
    <xf numFmtId="0" fontId="11" fillId="2" borderId="8" xfId="0" applyFont="1" applyFill="1" applyBorder="1" applyAlignment="1">
      <alignment horizontal="right"/>
    </xf>
    <xf numFmtId="0" fontId="22" fillId="2" borderId="8" xfId="0" applyFont="1" applyFill="1" applyBorder="1" applyAlignment="1">
      <alignment vertical="top" wrapText="1"/>
    </xf>
    <xf numFmtId="0" fontId="22" fillId="2" borderId="8" xfId="0" applyFont="1" applyFill="1" applyBorder="1" applyAlignment="1">
      <alignment horizontal="center" vertical="top" wrapText="1"/>
    </xf>
    <xf numFmtId="0" fontId="22" fillId="2" borderId="8" xfId="0" applyFont="1" applyFill="1" applyBorder="1" applyAlignment="1">
      <alignment horizontal="left" vertical="top" wrapText="1"/>
    </xf>
    <xf numFmtId="1" fontId="22" fillId="2" borderId="8" xfId="0" applyNumberFormat="1" applyFont="1" applyFill="1" applyBorder="1" applyAlignment="1">
      <alignment horizontal="right"/>
    </xf>
    <xf numFmtId="167" fontId="22" fillId="2" borderId="8" xfId="0" applyNumberFormat="1" applyFont="1" applyFill="1" applyBorder="1" applyAlignment="1">
      <alignment horizontal="center" vertical="top"/>
    </xf>
    <xf numFmtId="0" fontId="22" fillId="2" borderId="8" xfId="0" applyFont="1" applyFill="1" applyBorder="1" applyAlignment="1">
      <alignment horizontal="center" vertical="center"/>
    </xf>
    <xf numFmtId="1" fontId="22" fillId="2" borderId="8" xfId="0" applyNumberFormat="1" applyFont="1" applyFill="1" applyBorder="1" applyAlignment="1">
      <alignment horizontal="center"/>
    </xf>
    <xf numFmtId="0" fontId="22" fillId="2" borderId="8" xfId="0" applyFont="1" applyFill="1" applyBorder="1" applyAlignment="1">
      <alignment horizontal="center"/>
    </xf>
    <xf numFmtId="0" fontId="22" fillId="2" borderId="8" xfId="0" applyFont="1" applyFill="1" applyBorder="1" applyAlignment="1">
      <alignment horizontal="right"/>
    </xf>
    <xf numFmtId="167" fontId="11" fillId="2" borderId="8" xfId="0" applyNumberFormat="1" applyFont="1" applyFill="1" applyBorder="1" applyAlignment="1">
      <alignment horizontal="center" vertical="top" wrapText="1"/>
    </xf>
    <xf numFmtId="167" fontId="22" fillId="2" borderId="8" xfId="0" applyNumberFormat="1" applyFont="1" applyFill="1" applyBorder="1" applyAlignment="1">
      <alignment horizontal="center" vertical="top" wrapText="1"/>
    </xf>
    <xf numFmtId="0" fontId="12" fillId="2" borderId="8" xfId="0" applyFont="1" applyFill="1" applyBorder="1" applyAlignment="1">
      <alignment vertical="top" wrapText="1"/>
    </xf>
    <xf numFmtId="1" fontId="11" fillId="2" borderId="8" xfId="20" applyNumberFormat="1" applyFill="1" applyBorder="1" applyAlignment="1">
      <alignment horizontal="center"/>
    </xf>
    <xf numFmtId="0" fontId="23" fillId="2" borderId="8" xfId="0" applyFont="1" applyFill="1" applyBorder="1" applyAlignment="1">
      <alignment vertical="top" wrapText="1"/>
    </xf>
    <xf numFmtId="1" fontId="22" fillId="2" borderId="8" xfId="20" applyNumberFormat="1" applyFont="1" applyFill="1" applyBorder="1" applyAlignment="1">
      <alignment horizontal="center"/>
    </xf>
    <xf numFmtId="1" fontId="11" fillId="2" borderId="8" xfId="0" applyNumberFormat="1" applyFont="1" applyFill="1" applyBorder="1" applyAlignment="1">
      <alignment horizontal="right" vertical="top"/>
    </xf>
    <xf numFmtId="0" fontId="11" fillId="2" borderId="8" xfId="0" applyFont="1" applyFill="1" applyBorder="1" applyAlignment="1">
      <alignment horizontal="center" vertical="top"/>
    </xf>
    <xf numFmtId="1" fontId="11" fillId="2" borderId="8" xfId="0" applyNumberFormat="1" applyFont="1" applyFill="1" applyBorder="1" applyAlignment="1">
      <alignment horizontal="center" vertical="top"/>
    </xf>
    <xf numFmtId="0" fontId="11" fillId="2" borderId="8" xfId="0" applyFont="1" applyFill="1" applyBorder="1" applyAlignment="1">
      <alignment horizontal="right" vertical="top"/>
    </xf>
    <xf numFmtId="1" fontId="22" fillId="2" borderId="8" xfId="0" applyNumberFormat="1" applyFont="1" applyFill="1" applyBorder="1" applyAlignment="1">
      <alignment horizontal="right" vertical="top"/>
    </xf>
    <xf numFmtId="0" fontId="22" fillId="2" borderId="8" xfId="0" applyFont="1" applyFill="1" applyBorder="1" applyAlignment="1">
      <alignment horizontal="center" vertical="top"/>
    </xf>
    <xf numFmtId="1" fontId="22" fillId="2" borderId="8" xfId="0" applyNumberFormat="1" applyFont="1" applyFill="1" applyBorder="1" applyAlignment="1">
      <alignment horizontal="center" vertical="top"/>
    </xf>
    <xf numFmtId="0" fontId="22" fillId="2" borderId="8" xfId="0" applyFont="1" applyFill="1" applyBorder="1" applyAlignment="1">
      <alignment horizontal="right" vertical="top"/>
    </xf>
    <xf numFmtId="167" fontId="0" fillId="2" borderId="8" xfId="0" applyNumberFormat="1" applyFill="1" applyBorder="1" applyAlignment="1">
      <alignment horizontal="center"/>
    </xf>
    <xf numFmtId="167" fontId="11" fillId="2" borderId="8" xfId="0" applyNumberFormat="1" applyFont="1" applyFill="1" applyBorder="1" applyAlignment="1">
      <alignment horizontal="center" vertical="center"/>
    </xf>
    <xf numFmtId="0" fontId="11" fillId="2" borderId="8" xfId="5" applyFill="1" applyBorder="1" applyAlignment="1">
      <alignment horizontal="center"/>
    </xf>
    <xf numFmtId="167" fontId="22" fillId="2" borderId="8" xfId="0" applyNumberFormat="1" applyFont="1" applyFill="1" applyBorder="1" applyAlignment="1">
      <alignment horizontal="center"/>
    </xf>
    <xf numFmtId="167" fontId="22" fillId="2" borderId="8" xfId="0" applyNumberFormat="1" applyFont="1" applyFill="1" applyBorder="1" applyAlignment="1">
      <alignment horizontal="center" vertical="center"/>
    </xf>
    <xf numFmtId="0" fontId="22" fillId="2" borderId="8" xfId="5" applyFont="1" applyFill="1" applyBorder="1" applyAlignment="1">
      <alignment horizontal="center"/>
    </xf>
    <xf numFmtId="0" fontId="22" fillId="2" borderId="8" xfId="5" applyFont="1" applyFill="1" applyBorder="1" applyAlignment="1">
      <alignment horizontal="right"/>
    </xf>
    <xf numFmtId="0" fontId="11" fillId="2" borderId="8" xfId="0" applyFont="1" applyFill="1" applyBorder="1" applyAlignment="1">
      <alignment horizontal="center" wrapText="1"/>
    </xf>
    <xf numFmtId="0" fontId="22" fillId="2" borderId="8" xfId="0" applyFont="1" applyFill="1" applyBorder="1" applyAlignment="1">
      <alignment horizontal="center" wrapText="1"/>
    </xf>
    <xf numFmtId="1" fontId="11" fillId="2" borderId="8" xfId="0" applyNumberFormat="1" applyFont="1" applyFill="1" applyBorder="1" applyAlignment="1">
      <alignment horizontal="center" vertical="center"/>
    </xf>
    <xf numFmtId="1" fontId="22" fillId="2" borderId="8" xfId="0" applyNumberFormat="1" applyFont="1" applyFill="1" applyBorder="1" applyAlignment="1">
      <alignment horizontal="center" vertical="center"/>
    </xf>
    <xf numFmtId="0" fontId="11" fillId="2" borderId="8" xfId="0" applyFont="1" applyFill="1" applyBorder="1"/>
    <xf numFmtId="0" fontId="83" fillId="2" borderId="8" xfId="0" applyFont="1" applyFill="1" applyBorder="1"/>
    <xf numFmtId="0" fontId="22" fillId="2" borderId="8" xfId="0" applyFont="1" applyFill="1" applyBorder="1"/>
    <xf numFmtId="0" fontId="84" fillId="2" borderId="8" xfId="0" applyFont="1" applyFill="1" applyBorder="1" applyAlignment="1">
      <alignment horizontal="center" vertical="top" wrapText="1"/>
    </xf>
    <xf numFmtId="1" fontId="11" fillId="2" borderId="8" xfId="0" applyNumberFormat="1" applyFont="1" applyFill="1" applyBorder="1"/>
    <xf numFmtId="171" fontId="11" fillId="2" borderId="8" xfId="0" applyNumberFormat="1" applyFont="1" applyFill="1" applyBorder="1" applyAlignment="1">
      <alignment horizontal="center" vertical="top"/>
    </xf>
    <xf numFmtId="1" fontId="22" fillId="2" borderId="8" xfId="0" applyNumberFormat="1" applyFont="1" applyFill="1" applyBorder="1"/>
    <xf numFmtId="171" fontId="22" fillId="2" borderId="8" xfId="0" applyNumberFormat="1" applyFont="1" applyFill="1" applyBorder="1" applyAlignment="1">
      <alignment horizontal="center" vertical="top"/>
    </xf>
    <xf numFmtId="49" fontId="11" fillId="2" borderId="8" xfId="20" applyNumberFormat="1" applyFill="1" applyBorder="1"/>
    <xf numFmtId="1" fontId="11" fillId="2" borderId="8" xfId="20" applyNumberFormat="1" applyFill="1" applyBorder="1" applyAlignment="1">
      <alignment horizontal="right"/>
    </xf>
    <xf numFmtId="167" fontId="11" fillId="2" borderId="8" xfId="20" applyNumberFormat="1" applyFill="1" applyBorder="1" applyAlignment="1">
      <alignment horizontal="center"/>
    </xf>
    <xf numFmtId="0" fontId="22" fillId="2" borderId="8" xfId="20" applyFont="1" applyFill="1" applyBorder="1"/>
    <xf numFmtId="49" fontId="22" fillId="2" borderId="8" xfId="20" applyNumberFormat="1" applyFont="1" applyFill="1" applyBorder="1"/>
    <xf numFmtId="1" fontId="22" fillId="2" borderId="8" xfId="20" applyNumberFormat="1" applyFont="1" applyFill="1" applyBorder="1" applyAlignment="1">
      <alignment horizontal="right"/>
    </xf>
    <xf numFmtId="167" fontId="22" fillId="2" borderId="8" xfId="20" applyNumberFormat="1" applyFont="1" applyFill="1" applyBorder="1" applyAlignment="1">
      <alignment horizontal="center"/>
    </xf>
    <xf numFmtId="49" fontId="11" fillId="2" borderId="8" xfId="0" applyNumberFormat="1" applyFont="1" applyFill="1" applyBorder="1"/>
    <xf numFmtId="167" fontId="11" fillId="2" borderId="8" xfId="0" applyNumberFormat="1" applyFont="1" applyFill="1" applyBorder="1" applyAlignment="1">
      <alignment horizontal="center"/>
    </xf>
    <xf numFmtId="49" fontId="22" fillId="2" borderId="8" xfId="0" applyNumberFormat="1" applyFont="1" applyFill="1" applyBorder="1"/>
    <xf numFmtId="0" fontId="12" fillId="2" borderId="8" xfId="0" applyFont="1" applyFill="1" applyBorder="1" applyAlignment="1">
      <alignment horizontal="left" vertical="top" wrapText="1"/>
    </xf>
    <xf numFmtId="0" fontId="11" fillId="2" borderId="8" xfId="0" applyFont="1" applyFill="1" applyBorder="1" applyAlignment="1">
      <alignment horizontal="right" vertical="top" wrapText="1"/>
    </xf>
    <xf numFmtId="14" fontId="11" fillId="2" borderId="8" xfId="0" applyNumberFormat="1" applyFont="1" applyFill="1" applyBorder="1" applyAlignment="1">
      <alignment horizontal="center" vertical="top" wrapText="1"/>
    </xf>
    <xf numFmtId="0" fontId="0" fillId="2" borderId="8" xfId="0" applyFill="1" applyBorder="1" applyAlignment="1">
      <alignment horizontal="center" vertical="top"/>
    </xf>
    <xf numFmtId="0" fontId="23" fillId="2" borderId="8" xfId="0" applyFont="1" applyFill="1" applyBorder="1" applyAlignment="1">
      <alignment horizontal="left" vertical="top" wrapText="1"/>
    </xf>
    <xf numFmtId="0" fontId="22" fillId="2" borderId="8" xfId="0" applyFont="1" applyFill="1" applyBorder="1" applyAlignment="1">
      <alignment horizontal="right" vertical="top" wrapText="1"/>
    </xf>
    <xf numFmtId="14" fontId="22" fillId="2" borderId="8" xfId="0" applyNumberFormat="1" applyFont="1" applyFill="1" applyBorder="1" applyAlignment="1">
      <alignment horizontal="center" vertical="top" wrapText="1"/>
    </xf>
    <xf numFmtId="0" fontId="0" fillId="2" borderId="0" xfId="0" applyFill="1" applyAlignment="1">
      <alignment vertical="center"/>
    </xf>
    <xf numFmtId="0" fontId="0" fillId="2" borderId="0" xfId="0" applyFill="1" applyAlignment="1">
      <alignment horizontal="left" vertical="center"/>
    </xf>
    <xf numFmtId="0" fontId="85" fillId="2" borderId="8" xfId="0" applyFont="1" applyFill="1" applyBorder="1" applyAlignment="1">
      <alignment vertical="top" wrapText="1"/>
    </xf>
    <xf numFmtId="0" fontId="68" fillId="2" borderId="8" xfId="0" applyFont="1" applyFill="1" applyBorder="1" applyAlignment="1">
      <alignment vertical="top" wrapText="1"/>
    </xf>
    <xf numFmtId="0" fontId="11" fillId="2" borderId="8" xfId="0" applyFont="1" applyFill="1" applyBorder="1" applyAlignment="1">
      <alignment horizontal="center" vertical="center" wrapText="1"/>
    </xf>
    <xf numFmtId="0" fontId="0" fillId="2" borderId="8" xfId="0" applyFill="1" applyBorder="1" applyAlignment="1">
      <alignment horizontal="center" vertical="center" wrapText="1"/>
    </xf>
    <xf numFmtId="14" fontId="11" fillId="2" borderId="8" xfId="0" applyNumberFormat="1" applyFont="1" applyFill="1" applyBorder="1" applyAlignment="1">
      <alignment horizontal="center" wrapText="1"/>
    </xf>
    <xf numFmtId="14" fontId="11" fillId="2" borderId="44" xfId="20" applyNumberFormat="1" applyFill="1" applyBorder="1" applyAlignment="1">
      <alignment horizontal="center"/>
    </xf>
    <xf numFmtId="0" fontId="11" fillId="0" borderId="59" xfId="20" applyBorder="1"/>
    <xf numFmtId="0" fontId="11" fillId="0" borderId="17" xfId="20" applyBorder="1" applyAlignment="1">
      <alignment horizontal="center"/>
    </xf>
    <xf numFmtId="0" fontId="11" fillId="0" borderId="60" xfId="20" applyBorder="1" applyAlignment="1">
      <alignment horizontal="center"/>
    </xf>
    <xf numFmtId="0" fontId="11" fillId="2" borderId="45" xfId="20" applyFill="1" applyBorder="1"/>
    <xf numFmtId="0" fontId="11" fillId="2" borderId="48" xfId="20" applyFill="1" applyBorder="1" applyAlignment="1">
      <alignment horizontal="center"/>
    </xf>
    <xf numFmtId="0" fontId="11" fillId="2" borderId="46" xfId="20" applyFill="1" applyBorder="1" applyAlignment="1">
      <alignment horizontal="center"/>
    </xf>
    <xf numFmtId="0" fontId="11" fillId="2" borderId="0" xfId="20" applyFill="1"/>
    <xf numFmtId="0" fontId="0" fillId="2" borderId="0" xfId="0" applyFill="1"/>
    <xf numFmtId="172" fontId="11" fillId="0" borderId="0" xfId="0" applyNumberFormat="1" applyFont="1" applyAlignment="1">
      <alignment horizontal="center"/>
    </xf>
    <xf numFmtId="0" fontId="11" fillId="2" borderId="8" xfId="0" applyFont="1" applyFill="1" applyBorder="1" applyAlignment="1">
      <alignment horizontal="left"/>
    </xf>
    <xf numFmtId="14" fontId="11" fillId="2" borderId="8" xfId="0" applyNumberFormat="1" applyFont="1" applyFill="1" applyBorder="1" applyAlignment="1">
      <alignment horizontal="center"/>
    </xf>
    <xf numFmtId="0" fontId="22" fillId="2" borderId="8" xfId="0" applyFont="1" applyFill="1" applyBorder="1" applyAlignment="1">
      <alignment horizontal="left"/>
    </xf>
    <xf numFmtId="14" fontId="22" fillId="2" borderId="8" xfId="0" applyNumberFormat="1" applyFont="1" applyFill="1" applyBorder="1" applyAlignment="1">
      <alignment horizontal="center"/>
    </xf>
    <xf numFmtId="0" fontId="11" fillId="2" borderId="8" xfId="20" applyFill="1" applyBorder="1" applyAlignment="1">
      <alignment horizontal="left"/>
    </xf>
    <xf numFmtId="0" fontId="11" fillId="2" borderId="8" xfId="20" applyFill="1" applyBorder="1" applyAlignment="1">
      <alignment horizontal="left" wrapText="1"/>
    </xf>
    <xf numFmtId="172" fontId="11" fillId="2" borderId="8" xfId="20" applyNumberFormat="1" applyFill="1" applyBorder="1" applyAlignment="1">
      <alignment horizontal="center"/>
    </xf>
    <xf numFmtId="14" fontId="11" fillId="2" borderId="8" xfId="20" applyNumberFormat="1" applyFill="1" applyBorder="1" applyAlignment="1">
      <alignment horizontal="center"/>
    </xf>
    <xf numFmtId="0" fontId="22" fillId="2" borderId="8" xfId="20" applyFont="1" applyFill="1" applyBorder="1" applyAlignment="1">
      <alignment horizontal="center" vertical="center"/>
    </xf>
    <xf numFmtId="0" fontId="22" fillId="2" borderId="8" xfId="20" applyFont="1" applyFill="1" applyBorder="1" applyAlignment="1">
      <alignment horizontal="left"/>
    </xf>
    <xf numFmtId="0" fontId="22" fillId="2" borderId="8" xfId="20" applyFont="1" applyFill="1" applyBorder="1" applyAlignment="1">
      <alignment horizontal="left" wrapText="1"/>
    </xf>
    <xf numFmtId="172" fontId="22" fillId="2" borderId="8" xfId="20" applyNumberFormat="1" applyFont="1" applyFill="1" applyBorder="1" applyAlignment="1">
      <alignment horizontal="center"/>
    </xf>
    <xf numFmtId="14" fontId="22" fillId="2" borderId="8" xfId="20" applyNumberFormat="1" applyFont="1" applyFill="1" applyBorder="1" applyAlignment="1">
      <alignment horizontal="center"/>
    </xf>
    <xf numFmtId="0" fontId="26" fillId="42" borderId="41" xfId="20" applyFont="1" applyFill="1" applyBorder="1"/>
    <xf numFmtId="0" fontId="12" fillId="42" borderId="47" xfId="20" applyFont="1" applyFill="1" applyBorder="1" applyAlignment="1">
      <alignment horizontal="center"/>
    </xf>
    <xf numFmtId="0" fontId="23" fillId="2" borderId="43" xfId="20" applyFont="1" applyFill="1" applyBorder="1" applyAlignment="1">
      <alignment vertical="top"/>
    </xf>
    <xf numFmtId="0" fontId="22" fillId="2" borderId="8" xfId="20" applyFont="1" applyFill="1" applyBorder="1" applyAlignment="1">
      <alignment horizontal="center" vertical="top"/>
    </xf>
    <xf numFmtId="0" fontId="22" fillId="2" borderId="44" xfId="20" applyFont="1" applyFill="1" applyBorder="1" applyAlignment="1">
      <alignment horizontal="center" vertical="top" wrapText="1"/>
    </xf>
    <xf numFmtId="0" fontId="15" fillId="42" borderId="16" xfId="0" applyFont="1" applyFill="1" applyBorder="1" applyAlignment="1">
      <alignment horizontal="left" vertical="center"/>
    </xf>
    <xf numFmtId="0" fontId="12" fillId="2" borderId="43" xfId="0" applyFont="1" applyFill="1" applyBorder="1" applyAlignment="1">
      <alignment horizontal="left" vertical="center" wrapText="1" indent="1"/>
    </xf>
    <xf numFmtId="0" fontId="11" fillId="2" borderId="8" xfId="5" applyFill="1" applyBorder="1" applyAlignment="1">
      <alignment horizontal="right"/>
    </xf>
    <xf numFmtId="0" fontId="11" fillId="0" borderId="0" xfId="0" applyFont="1" applyAlignment="1">
      <alignment horizontal="right"/>
    </xf>
    <xf numFmtId="0" fontId="11" fillId="0" borderId="43" xfId="0" applyFont="1" applyBorder="1" applyAlignment="1">
      <alignment horizontal="left" vertical="center"/>
    </xf>
    <xf numFmtId="0" fontId="11" fillId="0" borderId="8" xfId="0" applyFont="1" applyBorder="1" applyAlignment="1">
      <alignment horizontal="left" vertical="center"/>
    </xf>
    <xf numFmtId="173" fontId="11" fillId="0" borderId="8" xfId="0" applyNumberFormat="1" applyFont="1" applyBorder="1" applyAlignment="1">
      <alignment horizontal="center"/>
    </xf>
    <xf numFmtId="173" fontId="0" fillId="0" borderId="8" xfId="0" applyNumberFormat="1" applyBorder="1" applyAlignment="1">
      <alignment horizontal="center"/>
    </xf>
    <xf numFmtId="173" fontId="0" fillId="0" borderId="44" xfId="0" applyNumberFormat="1" applyBorder="1" applyAlignment="1">
      <alignment horizontal="center"/>
    </xf>
    <xf numFmtId="0" fontId="11" fillId="0" borderId="45" xfId="0" applyFont="1" applyBorder="1" applyAlignment="1">
      <alignment horizontal="left" vertical="center"/>
    </xf>
    <xf numFmtId="0" fontId="11" fillId="0" borderId="48" xfId="0" applyFont="1" applyBorder="1" applyAlignment="1">
      <alignment horizontal="left" vertical="center"/>
    </xf>
    <xf numFmtId="173" fontId="11" fillId="0" borderId="48" xfId="0" applyNumberFormat="1" applyFont="1" applyBorder="1" applyAlignment="1">
      <alignment horizontal="center"/>
    </xf>
    <xf numFmtId="173" fontId="0" fillId="0" borderId="48" xfId="0" applyNumberFormat="1" applyBorder="1" applyAlignment="1">
      <alignment horizontal="center"/>
    </xf>
    <xf numFmtId="173" fontId="0" fillId="0" borderId="46" xfId="0" applyNumberFormat="1" applyBorder="1" applyAlignment="1">
      <alignment horizontal="center"/>
    </xf>
    <xf numFmtId="0" fontId="12" fillId="0" borderId="13" xfId="0" applyFont="1" applyBorder="1" applyAlignment="1">
      <alignment vertical="center"/>
    </xf>
    <xf numFmtId="0" fontId="12" fillId="0" borderId="21" xfId="0" applyFont="1" applyBorder="1" applyAlignment="1">
      <alignment horizontal="center" vertical="center"/>
    </xf>
    <xf numFmtId="0" fontId="12" fillId="0" borderId="65" xfId="0" applyFont="1" applyBorder="1" applyAlignment="1">
      <alignment horizontal="center" vertical="center"/>
    </xf>
    <xf numFmtId="0" fontId="13" fillId="0" borderId="0" xfId="0" applyFont="1" applyAlignment="1">
      <alignment horizontal="left" vertical="top" wrapText="1"/>
    </xf>
    <xf numFmtId="172" fontId="0" fillId="0" borderId="19" xfId="0" applyNumberFormat="1" applyBorder="1" applyAlignment="1">
      <alignment horizontal="center" vertical="center"/>
    </xf>
    <xf numFmtId="0" fontId="0" fillId="0" borderId="14" xfId="0" applyBorder="1" applyAlignment="1">
      <alignment horizontal="center" vertical="center"/>
    </xf>
    <xf numFmtId="0" fontId="11" fillId="0" borderId="14" xfId="0" applyFont="1" applyBorder="1" applyAlignment="1">
      <alignment horizontal="center" vertical="center"/>
    </xf>
    <xf numFmtId="172" fontId="0" fillId="0" borderId="4" xfId="0" applyNumberFormat="1" applyBorder="1" applyAlignment="1">
      <alignment horizontal="center" vertical="center"/>
    </xf>
    <xf numFmtId="2" fontId="0" fillId="0" borderId="4" xfId="0" applyNumberFormat="1" applyBorder="1" applyAlignment="1">
      <alignment horizontal="center" vertical="center"/>
    </xf>
    <xf numFmtId="2" fontId="0" fillId="0" borderId="2" xfId="0" applyNumberFormat="1" applyBorder="1" applyAlignment="1">
      <alignment horizontal="center" vertical="center"/>
    </xf>
    <xf numFmtId="0" fontId="0" fillId="0" borderId="5" xfId="0" applyBorder="1" applyAlignment="1">
      <alignment horizontal="center" vertical="center"/>
    </xf>
    <xf numFmtId="0" fontId="11" fillId="0" borderId="5" xfId="0" applyFont="1" applyBorder="1" applyAlignment="1">
      <alignment horizontal="center" vertical="center"/>
    </xf>
    <xf numFmtId="0" fontId="12" fillId="0" borderId="0" xfId="0" applyFont="1" applyAlignment="1">
      <alignment horizontal="left"/>
    </xf>
    <xf numFmtId="0" fontId="0" fillId="0" borderId="3" xfId="0" applyBorder="1"/>
    <xf numFmtId="0" fontId="12" fillId="0" borderId="5" xfId="0" applyFont="1" applyBorder="1" applyAlignment="1">
      <alignment horizontal="left"/>
    </xf>
    <xf numFmtId="0" fontId="0" fillId="0" borderId="5" xfId="0" applyBorder="1"/>
    <xf numFmtId="0" fontId="0" fillId="0" borderId="1" xfId="0" applyBorder="1"/>
    <xf numFmtId="165" fontId="11" fillId="2" borderId="0" xfId="0" applyNumberFormat="1" applyFont="1" applyFill="1" applyAlignment="1">
      <alignment horizontal="left" vertical="center"/>
    </xf>
    <xf numFmtId="0" fontId="12" fillId="0" borderId="5" xfId="0" applyFont="1" applyBorder="1" applyAlignment="1">
      <alignment horizontal="right"/>
    </xf>
    <xf numFmtId="0" fontId="12" fillId="42" borderId="66" xfId="0" applyFont="1" applyFill="1" applyBorder="1" applyAlignment="1">
      <alignment horizontal="center"/>
    </xf>
    <xf numFmtId="0" fontId="12" fillId="42" borderId="40" xfId="0" applyFont="1" applyFill="1" applyBorder="1" applyAlignment="1">
      <alignment horizontal="center"/>
    </xf>
    <xf numFmtId="165" fontId="12" fillId="42" borderId="67" xfId="0" applyNumberFormat="1" applyFont="1" applyFill="1" applyBorder="1" applyAlignment="1">
      <alignment horizontal="center"/>
    </xf>
    <xf numFmtId="165" fontId="12" fillId="42" borderId="40" xfId="0" applyNumberFormat="1" applyFont="1" applyFill="1" applyBorder="1" applyAlignment="1">
      <alignment horizontal="center"/>
    </xf>
    <xf numFmtId="165" fontId="12" fillId="42" borderId="68" xfId="0" applyNumberFormat="1" applyFont="1" applyFill="1" applyBorder="1" applyAlignment="1">
      <alignment horizontal="center"/>
    </xf>
    <xf numFmtId="0" fontId="11" fillId="0" borderId="41" xfId="0" applyFont="1" applyBorder="1" applyAlignment="1">
      <alignment horizontal="left" vertical="center"/>
    </xf>
    <xf numFmtId="165" fontId="0" fillId="0" borderId="47" xfId="0" applyNumberFormat="1" applyBorder="1" applyAlignment="1">
      <alignment horizontal="left" vertical="center"/>
    </xf>
    <xf numFmtId="173" fontId="11" fillId="0" borderId="47" xfId="0" applyNumberFormat="1" applyFont="1" applyBorder="1" applyAlignment="1">
      <alignment horizontal="center"/>
    </xf>
    <xf numFmtId="173" fontId="0" fillId="0" borderId="47" xfId="0" applyNumberFormat="1" applyBorder="1" applyAlignment="1">
      <alignment horizontal="center"/>
    </xf>
    <xf numFmtId="173" fontId="0" fillId="0" borderId="42" xfId="0" applyNumberFormat="1" applyBorder="1" applyAlignment="1">
      <alignment horizontal="center"/>
    </xf>
    <xf numFmtId="0" fontId="11" fillId="0" borderId="8" xfId="0" applyFont="1" applyBorder="1" applyAlignment="1">
      <alignment wrapText="1"/>
    </xf>
    <xf numFmtId="0" fontId="11" fillId="2" borderId="8" xfId="20" applyFill="1" applyBorder="1" applyAlignment="1">
      <alignment wrapText="1"/>
    </xf>
    <xf numFmtId="0" fontId="22" fillId="2" borderId="8" xfId="20" applyFont="1" applyFill="1" applyBorder="1" applyAlignment="1">
      <alignment wrapText="1"/>
    </xf>
    <xf numFmtId="0" fontId="0" fillId="2" borderId="8" xfId="0" applyFill="1" applyBorder="1" applyAlignment="1">
      <alignment horizontal="center"/>
    </xf>
    <xf numFmtId="1" fontId="0" fillId="2" borderId="8" xfId="0" applyNumberFormat="1" applyFill="1" applyBorder="1" applyAlignment="1">
      <alignment horizontal="right"/>
    </xf>
    <xf numFmtId="1" fontId="11" fillId="2" borderId="8" xfId="20" applyNumberFormat="1" applyFill="1" applyBorder="1" applyAlignment="1">
      <alignment horizontal="center" vertical="center"/>
    </xf>
    <xf numFmtId="0" fontId="12" fillId="0" borderId="59" xfId="20" applyFont="1" applyBorder="1" applyAlignment="1">
      <alignment horizontal="left" vertical="center" indent="1"/>
    </xf>
    <xf numFmtId="14" fontId="66" fillId="0" borderId="17" xfId="20" applyNumberFormat="1" applyFont="1" applyBorder="1" applyAlignment="1">
      <alignment horizontal="center"/>
    </xf>
    <xf numFmtId="14" fontId="69" fillId="0" borderId="60" xfId="20" applyNumberFormat="1" applyFont="1" applyBorder="1" applyAlignment="1">
      <alignment horizontal="left"/>
    </xf>
    <xf numFmtId="0" fontId="66" fillId="0" borderId="0" xfId="20" applyFont="1" applyAlignment="1">
      <alignment horizontal="center"/>
    </xf>
    <xf numFmtId="0" fontId="11" fillId="0" borderId="46" xfId="0" applyFont="1" applyBorder="1" applyAlignment="1">
      <alignment horizontal="center"/>
    </xf>
    <xf numFmtId="0" fontId="12" fillId="0" borderId="41" xfId="0" applyFont="1" applyBorder="1" applyAlignment="1">
      <alignment horizontal="center"/>
    </xf>
    <xf numFmtId="0" fontId="12" fillId="0" borderId="47" xfId="0" applyFont="1" applyBorder="1" applyAlignment="1">
      <alignment horizontal="center"/>
    </xf>
    <xf numFmtId="0" fontId="12" fillId="0" borderId="42" xfId="0" applyFont="1" applyBorder="1" applyAlignment="1">
      <alignment horizontal="center"/>
    </xf>
    <xf numFmtId="6" fontId="11" fillId="0" borderId="43" xfId="20" applyNumberFormat="1" applyBorder="1" applyAlignment="1">
      <alignment horizontal="center"/>
    </xf>
    <xf numFmtId="0" fontId="12" fillId="2" borderId="43" xfId="0" applyFont="1" applyFill="1" applyBorder="1" applyAlignment="1">
      <alignment horizontal="left" vertical="center" indent="1"/>
    </xf>
    <xf numFmtId="172" fontId="0" fillId="2" borderId="4" xfId="0" applyNumberFormat="1" applyFill="1" applyBorder="1" applyAlignment="1">
      <alignment horizontal="center" vertical="center"/>
    </xf>
    <xf numFmtId="175" fontId="11" fillId="2" borderId="8" xfId="20" applyNumberFormat="1" applyFill="1" applyBorder="1" applyAlignment="1">
      <alignment horizontal="center" vertical="center"/>
    </xf>
    <xf numFmtId="175" fontId="11" fillId="2" borderId="17" xfId="20" applyNumberFormat="1" applyFill="1" applyBorder="1" applyAlignment="1">
      <alignment horizontal="center" vertical="center"/>
    </xf>
    <xf numFmtId="175" fontId="11" fillId="2" borderId="48" xfId="20" applyNumberFormat="1" applyFill="1" applyBorder="1" applyAlignment="1">
      <alignment horizontal="center" vertical="center"/>
    </xf>
    <xf numFmtId="0" fontId="0" fillId="2" borderId="8" xfId="0" applyFill="1" applyBorder="1"/>
    <xf numFmtId="1" fontId="0" fillId="2" borderId="8" xfId="0" applyNumberFormat="1" applyFill="1" applyBorder="1" applyAlignment="1">
      <alignment horizontal="center"/>
    </xf>
    <xf numFmtId="0" fontId="22" fillId="2" borderId="8" xfId="0" applyFont="1" applyFill="1" applyBorder="1" applyAlignment="1">
      <alignment horizontal="left" vertical="top"/>
    </xf>
    <xf numFmtId="0" fontId="11" fillId="4" borderId="8" xfId="0" applyFont="1" applyFill="1" applyBorder="1" applyAlignment="1">
      <alignment horizontal="left" vertical="top" wrapText="1"/>
    </xf>
    <xf numFmtId="0" fontId="11" fillId="4" borderId="8" xfId="0" applyFont="1" applyFill="1" applyBorder="1" applyAlignment="1">
      <alignment horizontal="center" vertical="top" wrapText="1"/>
    </xf>
    <xf numFmtId="0" fontId="11" fillId="4" borderId="8" xfId="0" applyFont="1" applyFill="1" applyBorder="1" applyAlignment="1">
      <alignment horizontal="left" vertical="top"/>
    </xf>
    <xf numFmtId="1" fontId="11" fillId="4" borderId="8" xfId="0" applyNumberFormat="1" applyFont="1" applyFill="1" applyBorder="1" applyAlignment="1">
      <alignment horizontal="right"/>
    </xf>
    <xf numFmtId="167" fontId="11" fillId="4" borderId="8" xfId="0" applyNumberFormat="1" applyFont="1" applyFill="1" applyBorder="1" applyAlignment="1">
      <alignment horizontal="center" vertical="top"/>
    </xf>
    <xf numFmtId="1" fontId="11" fillId="4" borderId="8" xfId="0" applyNumberFormat="1" applyFont="1" applyFill="1" applyBorder="1" applyAlignment="1">
      <alignment horizontal="center"/>
    </xf>
    <xf numFmtId="0" fontId="11" fillId="4" borderId="8" xfId="0" applyFont="1" applyFill="1" applyBorder="1" applyAlignment="1">
      <alignment horizontal="center" vertical="center"/>
    </xf>
    <xf numFmtId="0" fontId="11" fillId="4" borderId="8" xfId="0" applyFont="1" applyFill="1" applyBorder="1" applyAlignment="1">
      <alignment horizontal="center"/>
    </xf>
    <xf numFmtId="0" fontId="0" fillId="4" borderId="8" xfId="0" applyFill="1" applyBorder="1" applyAlignment="1">
      <alignment horizontal="right"/>
    </xf>
    <xf numFmtId="0" fontId="22" fillId="4" borderId="8" xfId="0" applyFont="1" applyFill="1" applyBorder="1" applyAlignment="1">
      <alignment horizontal="left" vertical="top" wrapText="1"/>
    </xf>
    <xf numFmtId="0" fontId="22" fillId="4" borderId="8" xfId="0" applyFont="1" applyFill="1" applyBorder="1" applyAlignment="1">
      <alignment horizontal="center" vertical="top" wrapText="1"/>
    </xf>
    <xf numFmtId="0" fontId="22" fillId="4" borderId="8" xfId="0" applyFont="1" applyFill="1" applyBorder="1" applyAlignment="1">
      <alignment horizontal="left" vertical="top"/>
    </xf>
    <xf numFmtId="1" fontId="22" fillId="4" borderId="8" xfId="0" applyNumberFormat="1" applyFont="1" applyFill="1" applyBorder="1" applyAlignment="1">
      <alignment horizontal="right"/>
    </xf>
    <xf numFmtId="167" fontId="22" fillId="4" borderId="8" xfId="0" applyNumberFormat="1" applyFont="1" applyFill="1" applyBorder="1" applyAlignment="1">
      <alignment horizontal="center" vertical="top"/>
    </xf>
    <xf numFmtId="1" fontId="22" fillId="4" borderId="8" xfId="0" applyNumberFormat="1" applyFont="1" applyFill="1" applyBorder="1" applyAlignment="1">
      <alignment horizontal="center"/>
    </xf>
    <xf numFmtId="0" fontId="22" fillId="4" borderId="8" xfId="0" applyFont="1" applyFill="1" applyBorder="1" applyAlignment="1">
      <alignment horizontal="center" vertical="center"/>
    </xf>
    <xf numFmtId="0" fontId="22" fillId="4" borderId="8" xfId="0" applyFont="1" applyFill="1" applyBorder="1" applyAlignment="1">
      <alignment horizontal="center"/>
    </xf>
    <xf numFmtId="0" fontId="22" fillId="4" borderId="8" xfId="0" applyFont="1" applyFill="1" applyBorder="1" applyAlignment="1">
      <alignment horizontal="right"/>
    </xf>
    <xf numFmtId="0" fontId="11" fillId="7" borderId="8" xfId="0" applyFont="1" applyFill="1" applyBorder="1" applyAlignment="1">
      <alignment horizontal="center"/>
    </xf>
    <xf numFmtId="0" fontId="0" fillId="7" borderId="8" xfId="0" applyFill="1" applyBorder="1" applyAlignment="1">
      <alignment horizontal="center"/>
    </xf>
    <xf numFmtId="49" fontId="11" fillId="7" borderId="8" xfId="0" applyNumberFormat="1" applyFont="1" applyFill="1" applyBorder="1"/>
    <xf numFmtId="0" fontId="11" fillId="7" borderId="8" xfId="0" applyFont="1" applyFill="1" applyBorder="1" applyAlignment="1">
      <alignment vertical="top" wrapText="1"/>
    </xf>
    <xf numFmtId="0" fontId="11" fillId="7" borderId="8" xfId="20" applyFill="1" applyBorder="1" applyAlignment="1">
      <alignment horizontal="left" vertical="top" wrapText="1"/>
    </xf>
    <xf numFmtId="1" fontId="0" fillId="7" borderId="8" xfId="0" applyNumberFormat="1" applyFill="1" applyBorder="1" applyAlignment="1">
      <alignment horizontal="right"/>
    </xf>
    <xf numFmtId="167" fontId="0" fillId="7" borderId="8" xfId="0" applyNumberFormat="1" applyFill="1" applyBorder="1" applyAlignment="1">
      <alignment horizontal="center"/>
    </xf>
    <xf numFmtId="1" fontId="11" fillId="7" borderId="8" xfId="0" applyNumberFormat="1" applyFont="1" applyFill="1" applyBorder="1" applyAlignment="1">
      <alignment horizontal="center"/>
    </xf>
    <xf numFmtId="0" fontId="11" fillId="7" borderId="8" xfId="0" applyFont="1" applyFill="1" applyBorder="1" applyAlignment="1">
      <alignment horizontal="right"/>
    </xf>
    <xf numFmtId="0" fontId="22" fillId="7" borderId="8" xfId="0" applyFont="1" applyFill="1" applyBorder="1"/>
    <xf numFmtId="0" fontId="22" fillId="7" borderId="8" xfId="0" applyFont="1" applyFill="1" applyBorder="1" applyAlignment="1">
      <alignment horizontal="center"/>
    </xf>
    <xf numFmtId="49" fontId="22" fillId="7" borderId="8" xfId="0" applyNumberFormat="1" applyFont="1" applyFill="1" applyBorder="1"/>
    <xf numFmtId="0" fontId="22" fillId="7" borderId="8" xfId="0" applyFont="1" applyFill="1" applyBorder="1" applyAlignment="1">
      <alignment vertical="top" wrapText="1"/>
    </xf>
    <xf numFmtId="0" fontId="22" fillId="7" borderId="8" xfId="20" applyFont="1" applyFill="1" applyBorder="1" applyAlignment="1">
      <alignment horizontal="left" vertical="top" wrapText="1"/>
    </xf>
    <xf numFmtId="1" fontId="22" fillId="7" borderId="8" xfId="0" applyNumberFormat="1" applyFont="1" applyFill="1" applyBorder="1" applyAlignment="1">
      <alignment horizontal="right"/>
    </xf>
    <xf numFmtId="167" fontId="22" fillId="7" borderId="8" xfId="0" applyNumberFormat="1" applyFont="1" applyFill="1" applyBorder="1" applyAlignment="1">
      <alignment horizontal="center"/>
    </xf>
    <xf numFmtId="1" fontId="22" fillId="7" borderId="8" xfId="0" applyNumberFormat="1" applyFont="1" applyFill="1" applyBorder="1" applyAlignment="1">
      <alignment horizontal="center"/>
    </xf>
    <xf numFmtId="0" fontId="22" fillId="7" borderId="8" xfId="0" applyFont="1" applyFill="1" applyBorder="1" applyAlignment="1">
      <alignment horizontal="right"/>
    </xf>
    <xf numFmtId="0" fontId="11" fillId="7" borderId="8" xfId="0" applyFont="1" applyFill="1" applyBorder="1" applyAlignment="1">
      <alignment horizontal="center" vertical="center" wrapText="1"/>
    </xf>
    <xf numFmtId="167" fontId="66" fillId="7" borderId="44" xfId="131" applyNumberFormat="1" applyFont="1" applyFill="1" applyBorder="1" applyAlignment="1">
      <alignment horizontal="center" vertical="center"/>
    </xf>
    <xf numFmtId="0" fontId="11" fillId="7" borderId="8" xfId="0" applyFont="1" applyFill="1" applyBorder="1"/>
    <xf numFmtId="167" fontId="11" fillId="7" borderId="44" xfId="0" applyNumberFormat="1" applyFont="1" applyFill="1" applyBorder="1" applyAlignment="1">
      <alignment horizontal="center"/>
    </xf>
    <xf numFmtId="0" fontId="22" fillId="7" borderId="8" xfId="0" applyFont="1" applyFill="1" applyBorder="1" applyAlignment="1">
      <alignment horizontal="center" vertical="top" wrapText="1"/>
    </xf>
    <xf numFmtId="167" fontId="22" fillId="7" borderId="8" xfId="0" applyNumberFormat="1" applyFont="1" applyFill="1" applyBorder="1" applyAlignment="1">
      <alignment horizontal="center" vertical="top"/>
    </xf>
    <xf numFmtId="0" fontId="22" fillId="7" borderId="8" xfId="0" applyFont="1" applyFill="1" applyBorder="1" applyAlignment="1">
      <alignment horizontal="center" vertical="center"/>
    </xf>
    <xf numFmtId="0" fontId="11" fillId="7" borderId="8" xfId="0" applyFont="1" applyFill="1" applyBorder="1" applyAlignment="1">
      <alignment horizontal="center" vertical="top" wrapText="1"/>
    </xf>
    <xf numFmtId="1" fontId="11" fillId="7" borderId="8" xfId="0" applyNumberFormat="1" applyFont="1" applyFill="1" applyBorder="1" applyAlignment="1">
      <alignment horizontal="right"/>
    </xf>
    <xf numFmtId="0" fontId="11" fillId="7" borderId="8" xfId="0" applyFont="1" applyFill="1" applyBorder="1" applyAlignment="1">
      <alignment horizontal="center" vertical="center"/>
    </xf>
    <xf numFmtId="167" fontId="11" fillId="7" borderId="8" xfId="0" applyNumberFormat="1" applyFont="1" applyFill="1" applyBorder="1" applyAlignment="1">
      <alignment horizontal="center" vertical="top"/>
    </xf>
    <xf numFmtId="0" fontId="11" fillId="7" borderId="8" xfId="0" applyFont="1" applyFill="1" applyBorder="1" applyAlignment="1">
      <alignment horizontal="center" vertical="top"/>
    </xf>
    <xf numFmtId="0" fontId="83" fillId="7" borderId="8" xfId="0" applyFont="1" applyFill="1" applyBorder="1"/>
    <xf numFmtId="0" fontId="22" fillId="7" borderId="8" xfId="0" applyFont="1" applyFill="1" applyBorder="1" applyAlignment="1">
      <alignment horizontal="left" vertical="top" wrapText="1"/>
    </xf>
    <xf numFmtId="167" fontId="22" fillId="7" borderId="8" xfId="0" applyNumberFormat="1" applyFont="1" applyFill="1" applyBorder="1" applyAlignment="1">
      <alignment horizontal="center" vertical="top" wrapText="1"/>
    </xf>
    <xf numFmtId="1" fontId="22" fillId="7" borderId="8" xfId="0" applyNumberFormat="1" applyFont="1" applyFill="1" applyBorder="1" applyAlignment="1">
      <alignment horizontal="center" vertical="center"/>
    </xf>
    <xf numFmtId="0" fontId="84" fillId="7" borderId="8" xfId="0" applyFont="1" applyFill="1" applyBorder="1" applyAlignment="1">
      <alignment horizontal="center" vertical="top" wrapText="1"/>
    </xf>
    <xf numFmtId="0" fontId="22" fillId="7" borderId="8" xfId="20" applyFont="1" applyFill="1" applyBorder="1" applyAlignment="1">
      <alignment horizontal="center"/>
    </xf>
    <xf numFmtId="0" fontId="0" fillId="7" borderId="8" xfId="0" applyFill="1" applyBorder="1"/>
    <xf numFmtId="1" fontId="0" fillId="7" borderId="8" xfId="0" applyNumberFormat="1" applyFill="1" applyBorder="1" applyAlignment="1">
      <alignment horizontal="center"/>
    </xf>
    <xf numFmtId="0" fontId="11" fillId="7" borderId="8" xfId="0" applyFont="1" applyFill="1" applyBorder="1" applyAlignment="1">
      <alignment horizontal="left" vertical="top" wrapText="1"/>
    </xf>
    <xf numFmtId="0" fontId="11" fillId="46" borderId="8" xfId="0" applyFont="1" applyFill="1" applyBorder="1" applyAlignment="1">
      <alignment vertical="top" wrapText="1"/>
    </xf>
    <xf numFmtId="0" fontId="11" fillId="46" borderId="8" xfId="0" applyFont="1" applyFill="1" applyBorder="1" applyAlignment="1">
      <alignment horizontal="center" vertical="top" wrapText="1"/>
    </xf>
    <xf numFmtId="0" fontId="11" fillId="46" borderId="8" xfId="0" applyFont="1" applyFill="1" applyBorder="1" applyAlignment="1">
      <alignment horizontal="left" vertical="top" wrapText="1"/>
    </xf>
    <xf numFmtId="1" fontId="11" fillId="46" borderId="8" xfId="0" applyNumberFormat="1" applyFont="1" applyFill="1" applyBorder="1" applyAlignment="1">
      <alignment horizontal="right"/>
    </xf>
    <xf numFmtId="167" fontId="11" fillId="46" borderId="8" xfId="0" applyNumberFormat="1" applyFont="1" applyFill="1" applyBorder="1" applyAlignment="1">
      <alignment horizontal="center" vertical="top"/>
    </xf>
    <xf numFmtId="1" fontId="11" fillId="46" borderId="8" xfId="0" applyNumberFormat="1" applyFont="1" applyFill="1" applyBorder="1" applyAlignment="1">
      <alignment horizontal="center"/>
    </xf>
    <xf numFmtId="0" fontId="11" fillId="46" borderId="8" xfId="0" applyFont="1" applyFill="1" applyBorder="1" applyAlignment="1">
      <alignment horizontal="center" vertical="center"/>
    </xf>
    <xf numFmtId="0" fontId="11" fillId="46" borderId="8" xfId="0" applyFont="1" applyFill="1" applyBorder="1" applyAlignment="1">
      <alignment horizontal="center"/>
    </xf>
    <xf numFmtId="0" fontId="11" fillId="46" borderId="8" xfId="0" applyFont="1" applyFill="1" applyBorder="1" applyAlignment="1">
      <alignment horizontal="center" vertical="top"/>
    </xf>
    <xf numFmtId="0" fontId="11" fillId="46" borderId="8" xfId="0" applyFont="1" applyFill="1" applyBorder="1" applyAlignment="1">
      <alignment horizontal="right"/>
    </xf>
    <xf numFmtId="0" fontId="22" fillId="46" borderId="8" xfId="0" applyFont="1" applyFill="1" applyBorder="1" applyAlignment="1">
      <alignment vertical="top" wrapText="1"/>
    </xf>
    <xf numFmtId="0" fontId="22" fillId="46" borderId="8" xfId="0" applyFont="1" applyFill="1" applyBorder="1" applyAlignment="1">
      <alignment horizontal="center" vertical="top" wrapText="1"/>
    </xf>
    <xf numFmtId="0" fontId="22" fillId="46" borderId="8" xfId="0" applyFont="1" applyFill="1" applyBorder="1" applyAlignment="1">
      <alignment horizontal="left" vertical="top" wrapText="1"/>
    </xf>
    <xf numFmtId="1" fontId="22" fillId="46" borderId="8" xfId="0" applyNumberFormat="1" applyFont="1" applyFill="1" applyBorder="1" applyAlignment="1">
      <alignment horizontal="right"/>
    </xf>
    <xf numFmtId="167" fontId="22" fillId="46" borderId="8" xfId="0" applyNumberFormat="1" applyFont="1" applyFill="1" applyBorder="1" applyAlignment="1">
      <alignment horizontal="center" vertical="top"/>
    </xf>
    <xf numFmtId="1" fontId="22" fillId="46" borderId="8" xfId="0" applyNumberFormat="1" applyFont="1" applyFill="1" applyBorder="1" applyAlignment="1">
      <alignment horizontal="center"/>
    </xf>
    <xf numFmtId="0" fontId="22" fillId="46" borderId="8" xfId="0" applyFont="1" applyFill="1" applyBorder="1" applyAlignment="1">
      <alignment horizontal="center" vertical="center"/>
    </xf>
    <xf numFmtId="0" fontId="22" fillId="46" borderId="8" xfId="0" applyFont="1" applyFill="1" applyBorder="1" applyAlignment="1">
      <alignment horizontal="center"/>
    </xf>
    <xf numFmtId="0" fontId="22" fillId="46" borderId="8" xfId="0" applyFont="1" applyFill="1" applyBorder="1" applyAlignment="1">
      <alignment horizontal="center" vertical="top"/>
    </xf>
    <xf numFmtId="0" fontId="22" fillId="46" borderId="8" xfId="0" applyFont="1" applyFill="1" applyBorder="1" applyAlignment="1">
      <alignment horizontal="right"/>
    </xf>
    <xf numFmtId="0" fontId="66" fillId="46" borderId="8" xfId="131" applyFont="1" applyFill="1" applyBorder="1" applyAlignment="1">
      <alignment horizontal="center" vertical="center" wrapText="1"/>
    </xf>
    <xf numFmtId="167" fontId="11" fillId="46" borderId="44" xfId="0" applyNumberFormat="1" applyFont="1" applyFill="1" applyBorder="1" applyAlignment="1">
      <alignment horizontal="center"/>
    </xf>
    <xf numFmtId="0" fontId="11" fillId="6" borderId="8" xfId="0" applyFont="1" applyFill="1" applyBorder="1" applyAlignment="1">
      <alignment horizontal="center" vertical="center" wrapText="1"/>
    </xf>
    <xf numFmtId="167" fontId="11" fillId="6" borderId="44" xfId="0" applyNumberFormat="1" applyFont="1" applyFill="1" applyBorder="1" applyAlignment="1">
      <alignment horizontal="center"/>
    </xf>
    <xf numFmtId="0" fontId="11" fillId="6" borderId="8" xfId="0" applyFont="1" applyFill="1" applyBorder="1" applyAlignment="1">
      <alignment horizontal="left" vertical="top"/>
    </xf>
    <xf numFmtId="0" fontId="11" fillId="6" borderId="8" xfId="0" applyFont="1" applyFill="1" applyBorder="1" applyAlignment="1">
      <alignment horizontal="center" vertical="top"/>
    </xf>
    <xf numFmtId="0" fontId="11" fillId="6" borderId="8" xfId="0" applyFont="1" applyFill="1" applyBorder="1" applyAlignment="1">
      <alignment vertical="top" wrapText="1"/>
    </xf>
    <xf numFmtId="0" fontId="11" fillId="6" borderId="8" xfId="0" applyFont="1" applyFill="1" applyBorder="1" applyAlignment="1">
      <alignment horizontal="left" vertical="top" wrapText="1"/>
    </xf>
    <xf numFmtId="1" fontId="11" fillId="6" borderId="8" xfId="0" applyNumberFormat="1" applyFont="1" applyFill="1" applyBorder="1" applyAlignment="1">
      <alignment horizontal="right"/>
    </xf>
    <xf numFmtId="167" fontId="11" fillId="6" borderId="8" xfId="0" applyNumberFormat="1" applyFont="1" applyFill="1" applyBorder="1" applyAlignment="1">
      <alignment horizontal="center" vertical="top"/>
    </xf>
    <xf numFmtId="0" fontId="11" fillId="6" borderId="8" xfId="0" applyFont="1" applyFill="1" applyBorder="1" applyAlignment="1">
      <alignment horizontal="center" vertical="center"/>
    </xf>
    <xf numFmtId="1" fontId="11" fillId="6" borderId="8" xfId="0" applyNumberFormat="1" applyFont="1" applyFill="1" applyBorder="1" applyAlignment="1">
      <alignment horizontal="center"/>
    </xf>
    <xf numFmtId="0" fontId="11" fillId="6" borderId="8" xfId="0" applyFont="1" applyFill="1" applyBorder="1" applyAlignment="1">
      <alignment horizontal="center"/>
    </xf>
    <xf numFmtId="0" fontId="11" fillId="6" borderId="8" xfId="0" applyFont="1" applyFill="1" applyBorder="1" applyAlignment="1">
      <alignment horizontal="right"/>
    </xf>
    <xf numFmtId="0" fontId="22" fillId="6" borderId="8" xfId="0" applyFont="1" applyFill="1" applyBorder="1" applyAlignment="1">
      <alignment horizontal="left" vertical="top"/>
    </xf>
    <xf numFmtId="0" fontId="22" fillId="6" borderId="8" xfId="0" applyFont="1" applyFill="1" applyBorder="1" applyAlignment="1">
      <alignment horizontal="center" vertical="top"/>
    </xf>
    <xf numFmtId="0" fontId="22" fillId="6" borderId="8" xfId="0" applyFont="1" applyFill="1" applyBorder="1" applyAlignment="1">
      <alignment vertical="top" wrapText="1"/>
    </xf>
    <xf numFmtId="0" fontId="22" fillId="6" borderId="8" xfId="0" applyFont="1" applyFill="1" applyBorder="1" applyAlignment="1">
      <alignment horizontal="left" vertical="top" wrapText="1"/>
    </xf>
    <xf numFmtId="1" fontId="22" fillId="6" borderId="8" xfId="0" applyNumberFormat="1" applyFont="1" applyFill="1" applyBorder="1" applyAlignment="1">
      <alignment horizontal="right"/>
    </xf>
    <xf numFmtId="167" fontId="22" fillId="6" borderId="8" xfId="0" applyNumberFormat="1" applyFont="1" applyFill="1" applyBorder="1" applyAlignment="1">
      <alignment horizontal="center" vertical="top"/>
    </xf>
    <xf numFmtId="0" fontId="22" fillId="6" borderId="8" xfId="0" applyFont="1" applyFill="1" applyBorder="1" applyAlignment="1">
      <alignment horizontal="center" vertical="center"/>
    </xf>
    <xf numFmtId="1" fontId="22" fillId="6" borderId="8" xfId="0" applyNumberFormat="1" applyFont="1" applyFill="1" applyBorder="1" applyAlignment="1">
      <alignment horizontal="center"/>
    </xf>
    <xf numFmtId="0" fontId="22" fillId="6" borderId="8" xfId="0" applyFont="1" applyFill="1" applyBorder="1" applyAlignment="1">
      <alignment horizontal="center"/>
    </xf>
    <xf numFmtId="0" fontId="22" fillId="6" borderId="8" xfId="0" applyFont="1" applyFill="1" applyBorder="1" applyAlignment="1">
      <alignment horizontal="right"/>
    </xf>
    <xf numFmtId="0" fontId="11" fillId="47" borderId="8" xfId="0" applyFont="1" applyFill="1" applyBorder="1" applyAlignment="1">
      <alignment horizontal="center" vertical="center" wrapText="1"/>
    </xf>
    <xf numFmtId="167" fontId="11" fillId="47" borderId="44" xfId="0" applyNumberFormat="1" applyFont="1" applyFill="1" applyBorder="1" applyAlignment="1">
      <alignment horizontal="center"/>
    </xf>
    <xf numFmtId="0" fontId="11" fillId="47" borderId="45" xfId="20" applyFill="1" applyBorder="1" applyAlignment="1">
      <alignment horizontal="center" vertical="center"/>
    </xf>
    <xf numFmtId="10" fontId="11" fillId="47" borderId="48" xfId="20" applyNumberFormat="1" applyFill="1" applyBorder="1" applyAlignment="1">
      <alignment horizontal="center" vertical="center"/>
    </xf>
    <xf numFmtId="0" fontId="11" fillId="47" borderId="48" xfId="20" applyFill="1" applyBorder="1" applyAlignment="1">
      <alignment horizontal="center" vertical="center"/>
    </xf>
    <xf numFmtId="0" fontId="11" fillId="47" borderId="48" xfId="20" applyFill="1" applyBorder="1" applyAlignment="1">
      <alignment vertical="center"/>
    </xf>
    <xf numFmtId="14" fontId="11" fillId="47" borderId="48" xfId="20" applyNumberFormat="1" applyFill="1" applyBorder="1" applyAlignment="1">
      <alignment horizontal="center" vertical="center"/>
    </xf>
    <xf numFmtId="0" fontId="22" fillId="47" borderId="45" xfId="20" applyFont="1" applyFill="1" applyBorder="1" applyAlignment="1">
      <alignment horizontal="center" vertical="center"/>
    </xf>
    <xf numFmtId="10" fontId="22" fillId="47" borderId="48" xfId="20" applyNumberFormat="1" applyFont="1" applyFill="1" applyBorder="1" applyAlignment="1">
      <alignment horizontal="center" vertical="center"/>
    </xf>
    <xf numFmtId="0" fontId="22" fillId="47" borderId="48" xfId="20" applyFont="1" applyFill="1" applyBorder="1" applyAlignment="1">
      <alignment horizontal="center" vertical="center"/>
    </xf>
    <xf numFmtId="0" fontId="22" fillId="47" borderId="48" xfId="20" applyFont="1" applyFill="1" applyBorder="1" applyAlignment="1">
      <alignment vertical="center"/>
    </xf>
    <xf numFmtId="14" fontId="22" fillId="47" borderId="48" xfId="20" applyNumberFormat="1" applyFont="1" applyFill="1" applyBorder="1" applyAlignment="1">
      <alignment horizontal="center" vertical="center"/>
    </xf>
    <xf numFmtId="0" fontId="11" fillId="47" borderId="8" xfId="0" applyFont="1" applyFill="1" applyBorder="1"/>
    <xf numFmtId="0" fontId="11" fillId="47" borderId="8" xfId="0" applyFont="1" applyFill="1" applyBorder="1" applyAlignment="1">
      <alignment horizontal="center"/>
    </xf>
    <xf numFmtId="0" fontId="0" fillId="47" borderId="8" xfId="0" applyFill="1" applyBorder="1" applyAlignment="1">
      <alignment horizontal="center"/>
    </xf>
    <xf numFmtId="49" fontId="11" fillId="47" borderId="8" xfId="0" applyNumberFormat="1" applyFont="1" applyFill="1" applyBorder="1"/>
    <xf numFmtId="0" fontId="11" fillId="47" borderId="8" xfId="0" applyFont="1" applyFill="1" applyBorder="1" applyAlignment="1">
      <alignment vertical="top" wrapText="1"/>
    </xf>
    <xf numFmtId="0" fontId="11" fillId="47" borderId="8" xfId="20" applyFill="1" applyBorder="1" applyAlignment="1">
      <alignment horizontal="left" vertical="top" wrapText="1"/>
    </xf>
    <xf numFmtId="1" fontId="0" fillId="47" borderId="8" xfId="0" applyNumberFormat="1" applyFill="1" applyBorder="1" applyAlignment="1">
      <alignment horizontal="right"/>
    </xf>
    <xf numFmtId="167" fontId="0" fillId="47" borderId="8" xfId="0" applyNumberFormat="1" applyFill="1" applyBorder="1" applyAlignment="1">
      <alignment horizontal="center"/>
    </xf>
    <xf numFmtId="1" fontId="0" fillId="47" borderId="8" xfId="0" applyNumberFormat="1" applyFill="1" applyBorder="1" applyAlignment="1">
      <alignment horizontal="center"/>
    </xf>
    <xf numFmtId="1" fontId="11" fillId="47" borderId="8" xfId="0" applyNumberFormat="1" applyFont="1" applyFill="1" applyBorder="1" applyAlignment="1">
      <alignment horizontal="center"/>
    </xf>
    <xf numFmtId="0" fontId="11" fillId="47" borderId="8" xfId="0" applyFont="1" applyFill="1" applyBorder="1" applyAlignment="1">
      <alignment horizontal="right"/>
    </xf>
    <xf numFmtId="0" fontId="11" fillId="48" borderId="8" xfId="0" applyFont="1" applyFill="1" applyBorder="1" applyAlignment="1">
      <alignment horizontal="center" vertical="center" wrapText="1"/>
    </xf>
    <xf numFmtId="167" fontId="0" fillId="48" borderId="44" xfId="0" applyNumberFormat="1" applyFill="1" applyBorder="1" applyAlignment="1">
      <alignment horizontal="center"/>
    </xf>
    <xf numFmtId="0" fontId="12" fillId="48" borderId="64" xfId="0" applyFont="1" applyFill="1" applyBorder="1" applyAlignment="1">
      <alignment horizontal="left" vertical="center" indent="1"/>
    </xf>
    <xf numFmtId="0" fontId="23" fillId="48" borderId="64" xfId="0" applyFont="1" applyFill="1" applyBorder="1" applyAlignment="1">
      <alignment horizontal="left" vertical="center" indent="1"/>
    </xf>
    <xf numFmtId="14" fontId="2" fillId="0" borderId="8" xfId="0" applyNumberFormat="1" applyFont="1" applyBorder="1" applyAlignment="1">
      <alignment horizontal="center"/>
    </xf>
    <xf numFmtId="14" fontId="2" fillId="0" borderId="44" xfId="0" applyNumberFormat="1" applyFont="1" applyBorder="1" applyAlignment="1">
      <alignment horizontal="center"/>
    </xf>
    <xf numFmtId="165" fontId="2" fillId="0" borderId="8" xfId="0" applyNumberFormat="1" applyFont="1" applyBorder="1" applyAlignment="1">
      <alignment horizontal="center"/>
    </xf>
    <xf numFmtId="165" fontId="2" fillId="2" borderId="8" xfId="0" applyNumberFormat="1" applyFont="1" applyFill="1" applyBorder="1" applyAlignment="1">
      <alignment horizontal="center" vertical="center"/>
    </xf>
    <xf numFmtId="0" fontId="2" fillId="2" borderId="8" xfId="0" applyFont="1" applyFill="1" applyBorder="1" applyAlignment="1">
      <alignment horizontal="center" vertical="center"/>
    </xf>
    <xf numFmtId="0" fontId="2" fillId="0" borderId="8" xfId="0" applyFont="1" applyBorder="1" applyAlignment="1">
      <alignment horizontal="center"/>
    </xf>
    <xf numFmtId="5" fontId="2" fillId="0" borderId="8" xfId="0" applyNumberFormat="1" applyFont="1" applyBorder="1" applyAlignment="1">
      <alignment horizontal="center"/>
    </xf>
    <xf numFmtId="0" fontId="2" fillId="0" borderId="48" xfId="0" applyFont="1" applyBorder="1" applyAlignment="1">
      <alignment horizontal="center"/>
    </xf>
    <xf numFmtId="14" fontId="2" fillId="0" borderId="48" xfId="0" applyNumberFormat="1" applyFont="1" applyBorder="1" applyAlignment="1">
      <alignment horizontal="center"/>
    </xf>
    <xf numFmtId="14" fontId="2" fillId="0" borderId="46" xfId="0" applyNumberFormat="1" applyFont="1" applyBorder="1" applyAlignment="1">
      <alignment horizontal="center"/>
    </xf>
    <xf numFmtId="14" fontId="2" fillId="0" borderId="62" xfId="20" applyNumberFormat="1" applyFont="1" applyBorder="1" applyAlignment="1">
      <alignment horizontal="center"/>
    </xf>
    <xf numFmtId="14" fontId="2" fillId="0" borderId="0" xfId="20" applyNumberFormat="1" applyFont="1" applyAlignment="1">
      <alignment horizontal="left"/>
    </xf>
    <xf numFmtId="14" fontId="2" fillId="2" borderId="44" xfId="20" applyNumberFormat="1" applyFont="1" applyFill="1" applyBorder="1" applyAlignment="1">
      <alignment horizontal="center"/>
    </xf>
    <xf numFmtId="14" fontId="2" fillId="2" borderId="46" xfId="20" applyNumberFormat="1" applyFont="1" applyFill="1" applyBorder="1" applyAlignment="1">
      <alignment horizontal="center"/>
    </xf>
    <xf numFmtId="14" fontId="2" fillId="0" borderId="42" xfId="20" applyNumberFormat="1" applyFont="1" applyBorder="1" applyAlignment="1">
      <alignment horizontal="center"/>
    </xf>
    <xf numFmtId="14" fontId="2" fillId="2" borderId="60" xfId="20" applyNumberFormat="1" applyFont="1" applyFill="1" applyBorder="1" applyAlignment="1">
      <alignment horizontal="center"/>
    </xf>
    <xf numFmtId="14" fontId="2" fillId="0" borderId="44" xfId="20" applyNumberFormat="1" applyFont="1" applyBorder="1" applyAlignment="1">
      <alignment horizontal="center"/>
    </xf>
    <xf numFmtId="14" fontId="2" fillId="0" borderId="46" xfId="20" applyNumberFormat="1" applyFont="1" applyBorder="1" applyAlignment="1">
      <alignment horizontal="center"/>
    </xf>
    <xf numFmtId="166" fontId="12" fillId="0" borderId="0" xfId="0" applyNumberFormat="1" applyFont="1"/>
    <xf numFmtId="166" fontId="11" fillId="0" borderId="0" xfId="0" applyNumberFormat="1" applyFont="1" applyAlignment="1">
      <alignment horizontal="center"/>
    </xf>
    <xf numFmtId="3" fontId="12" fillId="0" borderId="0" xfId="0" applyNumberFormat="1" applyFont="1" applyAlignment="1">
      <alignment horizontal="center" wrapText="1"/>
    </xf>
    <xf numFmtId="166" fontId="12" fillId="0" borderId="0" xfId="0" applyNumberFormat="1" applyFont="1" applyAlignment="1">
      <alignment horizontal="center" wrapText="1"/>
    </xf>
    <xf numFmtId="9" fontId="11" fillId="0" borderId="8" xfId="0" applyNumberFormat="1" applyFont="1" applyBorder="1" applyAlignment="1">
      <alignment horizontal="center" vertical="top" wrapText="1"/>
    </xf>
    <xf numFmtId="0" fontId="11" fillId="0" borderId="45" xfId="0" applyFont="1" applyBorder="1" applyAlignment="1">
      <alignment horizontal="center" vertical="top" wrapText="1"/>
    </xf>
    <xf numFmtId="9" fontId="11" fillId="0" borderId="48" xfId="0" applyNumberFormat="1" applyFont="1" applyBorder="1" applyAlignment="1">
      <alignment horizontal="center" vertical="top" wrapText="1"/>
    </xf>
    <xf numFmtId="0" fontId="11" fillId="0" borderId="48" xfId="0" applyFont="1" applyBorder="1" applyAlignment="1">
      <alignment horizontal="center" vertical="top" wrapText="1"/>
    </xf>
    <xf numFmtId="0" fontId="11" fillId="0" borderId="46" xfId="0" applyFont="1" applyBorder="1" applyAlignment="1">
      <alignment vertical="center" wrapText="1"/>
    </xf>
    <xf numFmtId="0" fontId="11" fillId="0" borderId="0" xfId="0" applyFont="1" applyAlignment="1">
      <alignment horizontal="center" vertical="top" wrapText="1"/>
    </xf>
    <xf numFmtId="9" fontId="11" fillId="0" borderId="0" xfId="0" applyNumberFormat="1" applyFont="1" applyAlignment="1">
      <alignment horizontal="center" vertical="top" wrapText="1"/>
    </xf>
    <xf numFmtId="0" fontId="32" fillId="0" borderId="0" xfId="0" applyFont="1" applyAlignment="1">
      <alignment horizontal="center"/>
    </xf>
    <xf numFmtId="0" fontId="22" fillId="47" borderId="45" xfId="0" applyFont="1" applyFill="1" applyBorder="1" applyAlignment="1">
      <alignment horizontal="left"/>
    </xf>
    <xf numFmtId="0" fontId="22" fillId="47" borderId="46" xfId="0" applyFont="1" applyFill="1" applyBorder="1" applyAlignment="1">
      <alignment horizontal="left"/>
    </xf>
    <xf numFmtId="0" fontId="22" fillId="46" borderId="45" xfId="0" applyFont="1" applyFill="1" applyBorder="1" applyAlignment="1">
      <alignment horizontal="left"/>
    </xf>
    <xf numFmtId="0" fontId="22" fillId="46" borderId="46" xfId="0" applyFont="1" applyFill="1" applyBorder="1" applyAlignment="1">
      <alignment horizontal="left"/>
    </xf>
    <xf numFmtId="0" fontId="12" fillId="42" borderId="47" xfId="20" applyFont="1" applyFill="1" applyBorder="1" applyAlignment="1">
      <alignment horizontal="left"/>
    </xf>
    <xf numFmtId="0" fontId="12" fillId="42" borderId="42" xfId="20" applyFont="1" applyFill="1" applyBorder="1" applyAlignment="1">
      <alignment horizontal="left"/>
    </xf>
    <xf numFmtId="0" fontId="22" fillId="7" borderId="43" xfId="0" applyFont="1" applyFill="1" applyBorder="1" applyAlignment="1">
      <alignment horizontal="left"/>
    </xf>
    <xf numFmtId="0" fontId="22" fillId="7" borderId="44" xfId="0" applyFont="1" applyFill="1" applyBorder="1" applyAlignment="1">
      <alignment horizontal="left"/>
    </xf>
    <xf numFmtId="0" fontId="11" fillId="0" borderId="43" xfId="0" applyFont="1" applyBorder="1" applyAlignment="1">
      <alignment horizontal="left" vertical="center"/>
    </xf>
    <xf numFmtId="0" fontId="11" fillId="0" borderId="8" xfId="0" applyFont="1" applyBorder="1" applyAlignment="1">
      <alignment horizontal="left" vertical="center"/>
    </xf>
    <xf numFmtId="0" fontId="11" fillId="0" borderId="43" xfId="0" applyFont="1" applyBorder="1" applyAlignment="1">
      <alignment horizontal="left"/>
    </xf>
    <xf numFmtId="0" fontId="11" fillId="0" borderId="44" xfId="0" applyFont="1" applyBorder="1" applyAlignment="1">
      <alignment horizontal="left"/>
    </xf>
    <xf numFmtId="0" fontId="22" fillId="2" borderId="43" xfId="0" applyFont="1" applyFill="1" applyBorder="1" applyAlignment="1">
      <alignment horizontal="left"/>
    </xf>
    <xf numFmtId="0" fontId="22" fillId="2" borderId="44" xfId="0" applyFont="1" applyFill="1" applyBorder="1" applyAlignment="1">
      <alignment horizontal="left"/>
    </xf>
    <xf numFmtId="0" fontId="12" fillId="42" borderId="41" xfId="0" applyFont="1" applyFill="1" applyBorder="1" applyAlignment="1">
      <alignment horizontal="left" vertical="center"/>
    </xf>
    <xf numFmtId="0" fontId="12" fillId="42" borderId="47" xfId="0" applyFont="1" applyFill="1" applyBorder="1" applyAlignment="1">
      <alignment horizontal="left" vertical="center"/>
    </xf>
    <xf numFmtId="0" fontId="22" fillId="47" borderId="48" xfId="0" applyFont="1" applyFill="1" applyBorder="1" applyAlignment="1">
      <alignment horizontal="left" vertical="center" wrapText="1"/>
    </xf>
    <xf numFmtId="0" fontId="22" fillId="47" borderId="48" xfId="0" applyFont="1" applyFill="1" applyBorder="1" applyAlignment="1">
      <alignment horizontal="left" vertical="center"/>
    </xf>
    <xf numFmtId="0" fontId="22" fillId="47" borderId="46" xfId="0" applyFont="1" applyFill="1" applyBorder="1" applyAlignment="1">
      <alignment horizontal="left" vertical="center"/>
    </xf>
    <xf numFmtId="0" fontId="22" fillId="6" borderId="45" xfId="0" applyFont="1" applyFill="1" applyBorder="1" applyAlignment="1">
      <alignment horizontal="left"/>
    </xf>
    <xf numFmtId="0" fontId="22" fillId="6" borderId="46" xfId="0" applyFont="1" applyFill="1" applyBorder="1" applyAlignment="1">
      <alignment horizontal="left"/>
    </xf>
    <xf numFmtId="0" fontId="11" fillId="2" borderId="43" xfId="0" applyFont="1" applyFill="1" applyBorder="1" applyAlignment="1">
      <alignment horizontal="left"/>
    </xf>
    <xf numFmtId="0" fontId="11" fillId="2" borderId="44" xfId="0" applyFont="1" applyFill="1" applyBorder="1" applyAlignment="1">
      <alignment horizontal="left"/>
    </xf>
    <xf numFmtId="0" fontId="11" fillId="7" borderId="43" xfId="0" applyFont="1" applyFill="1" applyBorder="1" applyAlignment="1">
      <alignment horizontal="left"/>
    </xf>
    <xf numFmtId="0" fontId="11" fillId="7" borderId="44" xfId="0" applyFont="1" applyFill="1" applyBorder="1" applyAlignment="1">
      <alignment horizontal="left"/>
    </xf>
    <xf numFmtId="0" fontId="11" fillId="42" borderId="51" xfId="0" applyFont="1" applyFill="1" applyBorder="1" applyAlignment="1">
      <alignment horizontal="left" vertical="center"/>
    </xf>
    <xf numFmtId="0" fontId="11" fillId="42" borderId="52" xfId="0" applyFont="1" applyFill="1" applyBorder="1" applyAlignment="1">
      <alignment horizontal="left" vertical="center"/>
    </xf>
    <xf numFmtId="0" fontId="11" fillId="42" borderId="53" xfId="0" applyFont="1" applyFill="1" applyBorder="1" applyAlignment="1">
      <alignment horizontal="left" vertical="center"/>
    </xf>
    <xf numFmtId="0" fontId="11" fillId="0" borderId="7" xfId="0" applyFont="1" applyBorder="1" applyAlignment="1">
      <alignment horizontal="left" vertical="center" wrapText="1"/>
    </xf>
    <xf numFmtId="0" fontId="11" fillId="0" borderId="11" xfId="0" applyFont="1" applyBorder="1" applyAlignment="1">
      <alignment horizontal="left" vertical="center" wrapText="1"/>
    </xf>
    <xf numFmtId="0" fontId="11" fillId="0" borderId="54" xfId="0" applyFont="1" applyBorder="1" applyAlignment="1">
      <alignment horizontal="left" vertical="center" wrapText="1"/>
    </xf>
    <xf numFmtId="0" fontId="11" fillId="0" borderId="55" xfId="0" applyFont="1" applyBorder="1" applyAlignment="1">
      <alignment horizontal="left" vertical="center" wrapText="1"/>
    </xf>
    <xf numFmtId="0" fontId="11" fillId="0" borderId="35" xfId="0" applyFont="1" applyBorder="1" applyAlignment="1">
      <alignment horizontal="left" vertical="center" wrapText="1"/>
    </xf>
    <xf numFmtId="0" fontId="11" fillId="0" borderId="56" xfId="0" applyFont="1" applyBorder="1" applyAlignment="1">
      <alignment horizontal="left" vertical="center" wrapText="1"/>
    </xf>
    <xf numFmtId="0" fontId="12" fillId="42" borderId="41" xfId="0" applyFont="1" applyFill="1" applyBorder="1" applyAlignment="1">
      <alignment horizontal="center" vertical="center"/>
    </xf>
    <xf numFmtId="0" fontId="12" fillId="42" borderId="42" xfId="0" applyFont="1" applyFill="1" applyBorder="1" applyAlignment="1">
      <alignment horizontal="center" vertical="center"/>
    </xf>
    <xf numFmtId="0" fontId="22" fillId="47" borderId="43" xfId="0" applyFont="1" applyFill="1" applyBorder="1" applyAlignment="1">
      <alignment horizontal="left"/>
    </xf>
    <xf numFmtId="0" fontId="22" fillId="47" borderId="44" xfId="0" applyFont="1" applyFill="1" applyBorder="1" applyAlignment="1">
      <alignment horizontal="left"/>
    </xf>
    <xf numFmtId="0" fontId="11" fillId="47" borderId="48" xfId="0" applyFont="1" applyFill="1" applyBorder="1" applyAlignment="1">
      <alignment horizontal="left" vertical="center" wrapText="1"/>
    </xf>
    <xf numFmtId="0" fontId="0" fillId="47" borderId="48" xfId="0" applyFill="1" applyBorder="1" applyAlignment="1">
      <alignment horizontal="left" vertical="center"/>
    </xf>
    <xf numFmtId="0" fontId="0" fillId="47" borderId="46" xfId="0" applyFill="1" applyBorder="1" applyAlignment="1">
      <alignment horizontal="left" vertical="center"/>
    </xf>
    <xf numFmtId="0" fontId="11" fillId="47" borderId="45" xfId="0" applyFont="1" applyFill="1" applyBorder="1" applyAlignment="1">
      <alignment horizontal="left"/>
    </xf>
    <xf numFmtId="0" fontId="11" fillId="47" borderId="46" xfId="0" applyFont="1" applyFill="1" applyBorder="1" applyAlignment="1">
      <alignment horizontal="left"/>
    </xf>
    <xf numFmtId="0" fontId="11" fillId="47" borderId="43" xfId="0" applyFont="1" applyFill="1" applyBorder="1" applyAlignment="1">
      <alignment horizontal="left"/>
    </xf>
    <xf numFmtId="0" fontId="11" fillId="47" borderId="44" xfId="0" applyFont="1" applyFill="1" applyBorder="1" applyAlignment="1">
      <alignment horizontal="left"/>
    </xf>
    <xf numFmtId="0" fontId="0" fillId="0" borderId="45" xfId="0" applyBorder="1" applyAlignment="1">
      <alignment horizontal="left"/>
    </xf>
    <xf numFmtId="0" fontId="0" fillId="0" borderId="48" xfId="0" applyBorder="1" applyAlignment="1">
      <alignment horizontal="left"/>
    </xf>
    <xf numFmtId="0" fontId="11" fillId="6" borderId="43" xfId="0" applyFont="1" applyFill="1" applyBorder="1" applyAlignment="1">
      <alignment horizontal="left"/>
    </xf>
    <xf numFmtId="0" fontId="11" fillId="6" borderId="8" xfId="0" applyFont="1" applyFill="1" applyBorder="1" applyAlignment="1">
      <alignment horizontal="left"/>
    </xf>
    <xf numFmtId="0" fontId="0" fillId="7" borderId="8" xfId="0" applyFill="1" applyBorder="1" applyAlignment="1">
      <alignment horizontal="left"/>
    </xf>
    <xf numFmtId="0" fontId="11" fillId="7" borderId="43" xfId="0" applyFont="1" applyFill="1" applyBorder="1" applyAlignment="1">
      <alignment horizontal="left" wrapText="1"/>
    </xf>
    <xf numFmtId="0" fontId="0" fillId="7" borderId="8" xfId="0" applyFill="1" applyBorder="1" applyAlignment="1">
      <alignment horizontal="left" wrapText="1"/>
    </xf>
    <xf numFmtId="0" fontId="11" fillId="46" borderId="43" xfId="0" applyFont="1" applyFill="1" applyBorder="1" applyAlignment="1">
      <alignment horizontal="left"/>
    </xf>
    <xf numFmtId="0" fontId="0" fillId="46" borderId="8" xfId="0" applyFill="1" applyBorder="1" applyAlignment="1">
      <alignment horizontal="left"/>
    </xf>
    <xf numFmtId="0" fontId="11" fillId="47" borderId="8" xfId="0" applyFont="1" applyFill="1" applyBorder="1" applyAlignment="1">
      <alignment horizontal="left"/>
    </xf>
    <xf numFmtId="0" fontId="11" fillId="48" borderId="43" xfId="0" applyFont="1" applyFill="1" applyBorder="1" applyAlignment="1">
      <alignment horizontal="left"/>
    </xf>
    <xf numFmtId="0" fontId="0" fillId="48" borderId="8" xfId="0" applyFill="1" applyBorder="1" applyAlignment="1">
      <alignment horizontal="left"/>
    </xf>
    <xf numFmtId="0" fontId="0" fillId="0" borderId="43" xfId="0" applyBorder="1" applyAlignment="1">
      <alignment horizontal="left"/>
    </xf>
    <xf numFmtId="0" fontId="0" fillId="0" borderId="8" xfId="0" applyBorder="1" applyAlignment="1">
      <alignment horizontal="left"/>
    </xf>
    <xf numFmtId="0" fontId="11" fillId="0" borderId="0" xfId="0" applyFont="1" applyAlignment="1">
      <alignment horizontal="left"/>
    </xf>
    <xf numFmtId="0" fontId="11" fillId="0" borderId="3" xfId="0" applyFont="1" applyBorder="1" applyAlignment="1">
      <alignment horizontal="left"/>
    </xf>
    <xf numFmtId="0" fontId="11" fillId="0" borderId="5" xfId="0" applyFont="1" applyBorder="1" applyAlignment="1">
      <alignment horizontal="left"/>
    </xf>
    <xf numFmtId="0" fontId="11" fillId="0" borderId="1" xfId="0" applyFont="1" applyBorder="1" applyAlignment="1">
      <alignment horizontal="left"/>
    </xf>
    <xf numFmtId="0" fontId="12" fillId="0" borderId="21" xfId="0" applyFont="1" applyBorder="1" applyAlignment="1">
      <alignment horizontal="center" vertical="center"/>
    </xf>
    <xf numFmtId="0" fontId="12" fillId="0" borderId="13" xfId="0" applyFont="1" applyBorder="1" applyAlignment="1">
      <alignment horizontal="center" vertical="center"/>
    </xf>
    <xf numFmtId="0" fontId="12" fillId="0" borderId="15" xfId="0" applyFont="1" applyBorder="1" applyAlignment="1">
      <alignment horizontal="center" vertical="center"/>
    </xf>
    <xf numFmtId="0" fontId="11" fillId="0" borderId="14" xfId="0" applyFont="1" applyBorder="1" applyAlignment="1">
      <alignment horizontal="left"/>
    </xf>
    <xf numFmtId="0" fontId="11" fillId="0" borderId="20" xfId="0" applyFont="1" applyBorder="1" applyAlignment="1">
      <alignment horizontal="left"/>
    </xf>
    <xf numFmtId="0" fontId="19" fillId="42" borderId="14" xfId="0" applyFont="1" applyFill="1" applyBorder="1" applyAlignment="1">
      <alignment horizontal="center" vertical="center"/>
    </xf>
    <xf numFmtId="0" fontId="0" fillId="0" borderId="0" xfId="0" applyAlignment="1">
      <alignment horizontal="left"/>
    </xf>
    <xf numFmtId="0" fontId="19" fillId="42" borderId="14" xfId="20" applyFont="1" applyFill="1" applyBorder="1" applyAlignment="1">
      <alignment horizontal="center" vertical="center"/>
    </xf>
    <xf numFmtId="0" fontId="19" fillId="42" borderId="20" xfId="20" applyFont="1" applyFill="1" applyBorder="1" applyAlignment="1">
      <alignment horizontal="center" vertical="center"/>
    </xf>
    <xf numFmtId="0" fontId="11" fillId="0" borderId="5" xfId="0" applyFont="1" applyBorder="1" applyAlignment="1">
      <alignment horizontal="center"/>
    </xf>
    <xf numFmtId="165" fontId="11" fillId="0" borderId="5" xfId="0" applyNumberFormat="1" applyFont="1" applyBorder="1" applyAlignment="1">
      <alignment horizontal="center"/>
    </xf>
    <xf numFmtId="165" fontId="0" fillId="0" borderId="5" xfId="0" applyNumberFormat="1" applyBorder="1" applyAlignment="1">
      <alignment horizontal="center"/>
    </xf>
    <xf numFmtId="0" fontId="19" fillId="42" borderId="20" xfId="0" applyFont="1" applyFill="1" applyBorder="1" applyAlignment="1">
      <alignment horizontal="center" vertical="center"/>
    </xf>
    <xf numFmtId="165" fontId="11" fillId="2" borderId="0" xfId="0" applyNumberFormat="1" applyFont="1" applyFill="1" applyAlignment="1">
      <alignment horizontal="left" vertical="center"/>
    </xf>
    <xf numFmtId="0" fontId="26" fillId="42" borderId="57" xfId="0" applyFont="1" applyFill="1" applyBorder="1" applyAlignment="1">
      <alignment horizontal="center"/>
    </xf>
    <xf numFmtId="0" fontId="26" fillId="42" borderId="52" xfId="0" applyFont="1" applyFill="1" applyBorder="1" applyAlignment="1">
      <alignment horizontal="center"/>
    </xf>
    <xf numFmtId="0" fontId="26" fillId="42" borderId="53" xfId="0" applyFont="1" applyFill="1" applyBorder="1" applyAlignment="1">
      <alignment horizontal="center"/>
    </xf>
    <xf numFmtId="0" fontId="11" fillId="0" borderId="0" xfId="20" applyAlignment="1">
      <alignment horizontal="left" vertical="top" wrapText="1"/>
    </xf>
    <xf numFmtId="0" fontId="11" fillId="0" borderId="3" xfId="20" applyBorder="1" applyAlignment="1">
      <alignment horizontal="left" vertical="top" wrapText="1"/>
    </xf>
    <xf numFmtId="0" fontId="19" fillId="42" borderId="0" xfId="0" applyFont="1" applyFill="1" applyAlignment="1">
      <alignment horizontal="center" vertical="center"/>
    </xf>
    <xf numFmtId="0" fontId="11" fillId="0" borderId="0" xfId="0" applyFont="1" applyAlignment="1">
      <alignment horizontal="left" vertical="center" wrapText="1" indent="1"/>
    </xf>
    <xf numFmtId="0" fontId="11" fillId="0" borderId="0" xfId="0" applyFont="1" applyAlignment="1">
      <alignment horizontal="left" vertical="center" wrapText="1"/>
    </xf>
    <xf numFmtId="0" fontId="11" fillId="0" borderId="0" xfId="0" applyFont="1" applyAlignment="1">
      <alignment horizontal="left" vertical="center"/>
    </xf>
    <xf numFmtId="0" fontId="11" fillId="0" borderId="0" xfId="0" applyFont="1" applyAlignment="1">
      <alignment horizontal="left" vertical="top" wrapText="1"/>
    </xf>
    <xf numFmtId="0" fontId="0" fillId="0" borderId="0" xfId="0" applyAlignment="1">
      <alignment horizontal="left" vertical="top" wrapText="1"/>
    </xf>
    <xf numFmtId="0" fontId="11" fillId="0" borderId="0" xfId="0" applyFont="1" applyAlignment="1">
      <alignment vertical="center" wrapText="1"/>
    </xf>
    <xf numFmtId="0" fontId="29" fillId="43" borderId="0" xfId="0" applyFont="1" applyFill="1" applyAlignment="1">
      <alignment horizontal="left" vertical="center"/>
    </xf>
    <xf numFmtId="0" fontId="29" fillId="43" borderId="0" xfId="0" applyFont="1" applyFill="1" applyAlignment="1">
      <alignment horizontal="left" vertical="center" wrapText="1"/>
    </xf>
    <xf numFmtId="0" fontId="76" fillId="42" borderId="0" xfId="0" applyFont="1" applyFill="1" applyAlignment="1">
      <alignment horizontal="center" vertical="center"/>
    </xf>
    <xf numFmtId="0" fontId="19" fillId="42" borderId="0" xfId="11" applyFont="1" applyFill="1" applyAlignment="1">
      <alignment horizontal="center" vertical="center"/>
    </xf>
    <xf numFmtId="0" fontId="11" fillId="0" borderId="0" xfId="11" applyAlignment="1">
      <alignment horizontal="left" vertical="top" wrapText="1"/>
    </xf>
    <xf numFmtId="0" fontId="12" fillId="42" borderId="57" xfId="11" applyFont="1" applyFill="1" applyBorder="1" applyAlignment="1">
      <alignment horizontal="left"/>
    </xf>
    <xf numFmtId="0" fontId="12" fillId="42" borderId="52" xfId="11" applyFont="1" applyFill="1" applyBorder="1" applyAlignment="1">
      <alignment horizontal="left"/>
    </xf>
    <xf numFmtId="0" fontId="12" fillId="42" borderId="53" xfId="11" applyFont="1" applyFill="1" applyBorder="1" applyAlignment="1">
      <alignment horizontal="left"/>
    </xf>
    <xf numFmtId="0" fontId="12" fillId="42" borderId="41" xfId="11" applyFont="1" applyFill="1" applyBorder="1" applyAlignment="1">
      <alignment horizontal="left"/>
    </xf>
    <xf numFmtId="0" fontId="12" fillId="42" borderId="47" xfId="11" applyFont="1" applyFill="1" applyBorder="1" applyAlignment="1">
      <alignment horizontal="left"/>
    </xf>
    <xf numFmtId="0" fontId="12" fillId="42" borderId="42" xfId="11" applyFont="1" applyFill="1" applyBorder="1" applyAlignment="1">
      <alignment horizontal="left"/>
    </xf>
    <xf numFmtId="0" fontId="11" fillId="0" borderId="0" xfId="20" applyAlignment="1">
      <alignment horizontal="left"/>
    </xf>
    <xf numFmtId="0" fontId="15" fillId="42" borderId="0" xfId="20" applyFont="1" applyFill="1" applyAlignment="1">
      <alignment horizontal="center" wrapText="1"/>
    </xf>
    <xf numFmtId="0" fontId="11" fillId="0" borderId="0" xfId="20" applyAlignment="1">
      <alignment wrapText="1"/>
    </xf>
    <xf numFmtId="0" fontId="11" fillId="0" borderId="0" xfId="20" applyAlignment="1">
      <alignment vertical="center" wrapText="1"/>
    </xf>
    <xf numFmtId="0" fontId="29" fillId="0" borderId="0" xfId="20" applyFont="1" applyAlignment="1">
      <alignment vertical="center" wrapText="1"/>
    </xf>
    <xf numFmtId="0" fontId="29" fillId="0" borderId="0" xfId="20" applyFont="1" applyAlignment="1">
      <alignment wrapText="1"/>
    </xf>
    <xf numFmtId="9" fontId="29" fillId="0" borderId="0" xfId="1" applyFont="1" applyFill="1" applyAlignment="1">
      <alignment horizontal="left" vertical="top" wrapText="1"/>
    </xf>
    <xf numFmtId="0" fontId="28" fillId="42" borderId="0" xfId="20" applyFont="1" applyFill="1" applyAlignment="1">
      <alignment horizontal="center" wrapText="1"/>
    </xf>
    <xf numFmtId="0" fontId="29" fillId="0" borderId="0" xfId="20" applyFont="1" applyAlignment="1">
      <alignment horizontal="left"/>
    </xf>
    <xf numFmtId="0" fontId="29" fillId="0" borderId="0" xfId="20" applyFont="1" applyAlignment="1">
      <alignment horizontal="left" wrapText="1"/>
    </xf>
    <xf numFmtId="0" fontId="20" fillId="42" borderId="2" xfId="20" applyFont="1" applyFill="1" applyBorder="1" applyAlignment="1">
      <alignment horizontal="center" vertical="center" wrapText="1"/>
    </xf>
    <xf numFmtId="0" fontId="20" fillId="42" borderId="5" xfId="20" applyFont="1" applyFill="1" applyBorder="1" applyAlignment="1">
      <alignment horizontal="center" vertical="center"/>
    </xf>
    <xf numFmtId="0" fontId="20" fillId="42" borderId="1" xfId="20" applyFont="1" applyFill="1" applyBorder="1" applyAlignment="1">
      <alignment horizontal="center" vertical="center"/>
    </xf>
    <xf numFmtId="9" fontId="11" fillId="0" borderId="0" xfId="1" applyFont="1" applyFill="1" applyAlignment="1">
      <alignment horizontal="left" vertical="top" wrapText="1"/>
    </xf>
    <xf numFmtId="0" fontId="15" fillId="42" borderId="0" xfId="20" applyFont="1" applyFill="1" applyAlignment="1">
      <alignment horizontal="center" vertical="center" wrapText="1"/>
    </xf>
    <xf numFmtId="0" fontId="20" fillId="42" borderId="2" xfId="20" applyFont="1" applyFill="1" applyBorder="1" applyAlignment="1">
      <alignment horizontal="center" vertical="top" wrapText="1"/>
    </xf>
    <xf numFmtId="0" fontId="20" fillId="42" borderId="5" xfId="20" applyFont="1" applyFill="1" applyBorder="1" applyAlignment="1">
      <alignment horizontal="center" vertical="top"/>
    </xf>
    <xf numFmtId="0" fontId="20" fillId="42" borderId="1" xfId="20" applyFont="1" applyFill="1" applyBorder="1" applyAlignment="1">
      <alignment horizontal="center" vertical="top"/>
    </xf>
    <xf numFmtId="0" fontId="20" fillId="0" borderId="2" xfId="20" applyFont="1" applyBorder="1" applyAlignment="1">
      <alignment horizontal="center" vertical="top" wrapText="1"/>
    </xf>
    <xf numFmtId="0" fontId="20" fillId="0" borderId="5" xfId="20" applyFont="1" applyBorder="1" applyAlignment="1">
      <alignment horizontal="center" vertical="top"/>
    </xf>
    <xf numFmtId="0" fontId="20" fillId="0" borderId="1" xfId="20" applyFont="1" applyBorder="1" applyAlignment="1">
      <alignment horizontal="center" vertical="top"/>
    </xf>
    <xf numFmtId="0" fontId="34" fillId="0" borderId="0" xfId="20" applyFont="1" applyAlignment="1">
      <alignment horizontal="left" vertical="top" wrapText="1"/>
    </xf>
    <xf numFmtId="0" fontId="31" fillId="42" borderId="0" xfId="0" applyFont="1" applyFill="1" applyAlignment="1">
      <alignment horizontal="center" vertical="center"/>
    </xf>
    <xf numFmtId="0" fontId="13" fillId="0" borderId="0" xfId="0" applyFont="1" applyAlignment="1">
      <alignment horizontal="left" wrapText="1"/>
    </xf>
    <xf numFmtId="0" fontId="12" fillId="42" borderId="41" xfId="0" applyFont="1" applyFill="1" applyBorder="1" applyAlignment="1">
      <alignment horizontal="center" wrapText="1"/>
    </xf>
    <xf numFmtId="0" fontId="12" fillId="42" borderId="43" xfId="0" applyFont="1" applyFill="1" applyBorder="1" applyAlignment="1">
      <alignment horizontal="center" wrapText="1"/>
    </xf>
    <xf numFmtId="0" fontId="12" fillId="42" borderId="47" xfId="0" applyFont="1" applyFill="1" applyBorder="1" applyAlignment="1">
      <alignment horizontal="center" wrapText="1"/>
    </xf>
    <xf numFmtId="0" fontId="12" fillId="42" borderId="8" xfId="0" applyFont="1" applyFill="1" applyBorder="1" applyAlignment="1">
      <alignment horizontal="center" wrapText="1"/>
    </xf>
    <xf numFmtId="0" fontId="12" fillId="42" borderId="33" xfId="0" applyFont="1" applyFill="1" applyBorder="1" applyAlignment="1">
      <alignment horizontal="center" wrapText="1"/>
    </xf>
    <xf numFmtId="0" fontId="12" fillId="42" borderId="36" xfId="0" applyFont="1" applyFill="1" applyBorder="1" applyAlignment="1">
      <alignment horizontal="center" wrapText="1"/>
    </xf>
    <xf numFmtId="0" fontId="12" fillId="42" borderId="31" xfId="0" applyFont="1" applyFill="1" applyBorder="1" applyAlignment="1">
      <alignment horizontal="center" wrapText="1"/>
    </xf>
    <xf numFmtId="0" fontId="12" fillId="42" borderId="34" xfId="0" applyFont="1" applyFill="1" applyBorder="1" applyAlignment="1">
      <alignment horizontal="center" wrapText="1"/>
    </xf>
    <xf numFmtId="0" fontId="12" fillId="42" borderId="63" xfId="0" applyFont="1" applyFill="1" applyBorder="1" applyAlignment="1">
      <alignment horizontal="center" wrapText="1"/>
    </xf>
    <xf numFmtId="0" fontId="12" fillId="42" borderId="62" xfId="0" applyFont="1" applyFill="1" applyBorder="1" applyAlignment="1">
      <alignment horizontal="center" wrapText="1"/>
    </xf>
    <xf numFmtId="0" fontId="23" fillId="2" borderId="41" xfId="0" applyFont="1" applyFill="1" applyBorder="1" applyAlignment="1">
      <alignment horizontal="center" wrapText="1"/>
    </xf>
    <xf numFmtId="0" fontId="23" fillId="2" borderId="43" xfId="0" applyFont="1" applyFill="1" applyBorder="1" applyAlignment="1">
      <alignment horizontal="center" wrapText="1"/>
    </xf>
    <xf numFmtId="0" fontId="23" fillId="2" borderId="47" xfId="0" applyFont="1" applyFill="1" applyBorder="1" applyAlignment="1">
      <alignment horizontal="center" wrapText="1"/>
    </xf>
    <xf numFmtId="0" fontId="23" fillId="2" borderId="8" xfId="0" applyFont="1" applyFill="1" applyBorder="1" applyAlignment="1">
      <alignment horizontal="center" wrapText="1"/>
    </xf>
    <xf numFmtId="0" fontId="23" fillId="2" borderId="33" xfId="0" applyFont="1" applyFill="1" applyBorder="1" applyAlignment="1">
      <alignment horizontal="center" wrapText="1"/>
    </xf>
    <xf numFmtId="0" fontId="23" fillId="2" borderId="36" xfId="0" applyFont="1" applyFill="1" applyBorder="1" applyAlignment="1">
      <alignment horizontal="center" wrapText="1"/>
    </xf>
    <xf numFmtId="0" fontId="23" fillId="2" borderId="31" xfId="0" applyFont="1" applyFill="1" applyBorder="1" applyAlignment="1">
      <alignment horizontal="center" wrapText="1"/>
    </xf>
    <xf numFmtId="0" fontId="23" fillId="2" borderId="34" xfId="0" applyFont="1" applyFill="1" applyBorder="1" applyAlignment="1">
      <alignment horizontal="center" wrapText="1"/>
    </xf>
    <xf numFmtId="0" fontId="23" fillId="2" borderId="63" xfId="0" applyFont="1" applyFill="1" applyBorder="1" applyAlignment="1">
      <alignment horizontal="center" wrapText="1"/>
    </xf>
    <xf numFmtId="0" fontId="23" fillId="2" borderId="62" xfId="0" applyFont="1" applyFill="1" applyBorder="1" applyAlignment="1">
      <alignment horizontal="center" wrapText="1"/>
    </xf>
    <xf numFmtId="0" fontId="23" fillId="2" borderId="42" xfId="0" applyFont="1" applyFill="1" applyBorder="1" applyAlignment="1">
      <alignment horizontal="center" wrapText="1"/>
    </xf>
    <xf numFmtId="0" fontId="23" fillId="2" borderId="44" xfId="0" applyFont="1" applyFill="1" applyBorder="1" applyAlignment="1">
      <alignment horizontal="center" wrapText="1"/>
    </xf>
    <xf numFmtId="172" fontId="12" fillId="42" borderId="47" xfId="0" applyNumberFormat="1" applyFont="1" applyFill="1" applyBorder="1" applyAlignment="1">
      <alignment horizontal="center" wrapText="1"/>
    </xf>
    <xf numFmtId="172" fontId="12" fillId="42" borderId="8" xfId="0" applyNumberFormat="1" applyFont="1" applyFill="1" applyBorder="1" applyAlignment="1">
      <alignment horizontal="center" wrapText="1"/>
    </xf>
    <xf numFmtId="172" fontId="12" fillId="42" borderId="34" xfId="0" applyNumberFormat="1" applyFont="1" applyFill="1" applyBorder="1" applyAlignment="1">
      <alignment horizontal="center" wrapText="1"/>
    </xf>
    <xf numFmtId="172" fontId="12" fillId="42" borderId="63" xfId="0" applyNumberFormat="1" applyFont="1" applyFill="1" applyBorder="1" applyAlignment="1">
      <alignment horizontal="center" wrapText="1"/>
    </xf>
    <xf numFmtId="172" fontId="12" fillId="42" borderId="62" xfId="0" applyNumberFormat="1" applyFont="1" applyFill="1" applyBorder="1" applyAlignment="1">
      <alignment horizontal="center" wrapText="1"/>
    </xf>
    <xf numFmtId="0" fontId="15" fillId="42" borderId="0" xfId="0" applyFont="1" applyFill="1" applyAlignment="1">
      <alignment horizontal="center" vertical="center"/>
    </xf>
    <xf numFmtId="0" fontId="0" fillId="0" borderId="0" xfId="0" applyAlignment="1">
      <alignment horizontal="left" vertical="center" wrapText="1"/>
    </xf>
    <xf numFmtId="6" fontId="11" fillId="0" borderId="0" xfId="0" applyNumberFormat="1" applyFont="1" applyAlignment="1">
      <alignment horizontal="left" vertical="center"/>
    </xf>
    <xf numFmtId="3" fontId="11" fillId="0" borderId="7" xfId="20" applyNumberFormat="1" applyBorder="1" applyAlignment="1">
      <alignment horizontal="left"/>
    </xf>
    <xf numFmtId="3" fontId="11" fillId="0" borderId="11" xfId="20" applyNumberFormat="1" applyBorder="1" applyAlignment="1">
      <alignment horizontal="left"/>
    </xf>
    <xf numFmtId="3" fontId="11" fillId="0" borderId="10" xfId="20" applyNumberFormat="1" applyBorder="1" applyAlignment="1">
      <alignment horizontal="left"/>
    </xf>
    <xf numFmtId="3" fontId="19" fillId="42" borderId="0" xfId="20" applyNumberFormat="1" applyFont="1" applyFill="1" applyAlignment="1">
      <alignment horizontal="center"/>
    </xf>
    <xf numFmtId="3" fontId="11" fillId="0" borderId="0" xfId="20" applyNumberFormat="1" applyAlignment="1">
      <alignment horizontal="left" wrapText="1"/>
    </xf>
    <xf numFmtId="0" fontId="11" fillId="0" borderId="0" xfId="20" applyAlignment="1">
      <alignment horizontal="left" wrapText="1"/>
    </xf>
    <xf numFmtId="0" fontId="11" fillId="0" borderId="0" xfId="20" applyAlignment="1">
      <alignment horizontal="left" vertical="center" wrapText="1"/>
    </xf>
    <xf numFmtId="0" fontId="19" fillId="42" borderId="0" xfId="20" applyFont="1" applyFill="1" applyAlignment="1">
      <alignment horizontal="center"/>
    </xf>
    <xf numFmtId="3" fontId="11" fillId="0" borderId="0" xfId="0" applyNumberFormat="1" applyFont="1" applyAlignment="1">
      <alignment horizontal="left" wrapText="1"/>
    </xf>
    <xf numFmtId="0" fontId="11" fillId="0" borderId="0" xfId="20" applyAlignment="1">
      <alignment horizontal="left" vertical="center"/>
    </xf>
    <xf numFmtId="0" fontId="29" fillId="0" borderId="0" xfId="0" applyFont="1" applyAlignment="1">
      <alignment vertical="center" wrapText="1"/>
    </xf>
    <xf numFmtId="0" fontId="15" fillId="42" borderId="0" xfId="0" applyFont="1" applyFill="1" applyAlignment="1">
      <alignment horizontal="center" wrapText="1"/>
    </xf>
    <xf numFmtId="0" fontId="28" fillId="42" borderId="0" xfId="0" applyFont="1" applyFill="1" applyAlignment="1">
      <alignment horizontal="center" wrapText="1"/>
    </xf>
    <xf numFmtId="0" fontId="29" fillId="0" borderId="0" xfId="0" applyFont="1" applyAlignment="1">
      <alignment wrapText="1"/>
    </xf>
    <xf numFmtId="0" fontId="11" fillId="2" borderId="0" xfId="0" applyFont="1" applyFill="1" applyAlignment="1">
      <alignment horizontal="left" vertical="top" wrapText="1"/>
    </xf>
    <xf numFmtId="0" fontId="11" fillId="0" borderId="0" xfId="0" applyFont="1" applyAlignment="1">
      <alignment vertical="top" wrapText="1"/>
    </xf>
    <xf numFmtId="0" fontId="11" fillId="0" borderId="0" xfId="0" applyFont="1" applyAlignment="1">
      <alignment wrapText="1"/>
    </xf>
    <xf numFmtId="0" fontId="11" fillId="0" borderId="5" xfId="0" applyFont="1" applyBorder="1" applyAlignment="1">
      <alignment vertical="top" wrapText="1"/>
    </xf>
    <xf numFmtId="0" fontId="15" fillId="42" borderId="0" xfId="0" applyFont="1" applyFill="1" applyAlignment="1">
      <alignment horizontal="center"/>
    </xf>
    <xf numFmtId="0" fontId="11" fillId="0" borderId="0" xfId="0" applyFont="1" applyAlignment="1">
      <alignment horizontal="left" wrapText="1"/>
    </xf>
    <xf numFmtId="0" fontId="0" fillId="0" borderId="0" xfId="0" applyAlignment="1">
      <alignment horizontal="left" wrapText="1"/>
    </xf>
    <xf numFmtId="0" fontId="29" fillId="0" borderId="0" xfId="0" applyFont="1" applyAlignment="1">
      <alignment horizontal="left" wrapText="1"/>
    </xf>
    <xf numFmtId="0" fontId="12" fillId="0" borderId="0" xfId="0" applyFont="1" applyAlignment="1">
      <alignment horizontal="left" wrapText="1"/>
    </xf>
    <xf numFmtId="0" fontId="0" fillId="0" borderId="0" xfId="0" applyAlignment="1">
      <alignment vertical="center" wrapText="1"/>
    </xf>
    <xf numFmtId="0" fontId="20" fillId="42" borderId="0" xfId="0" applyFont="1" applyFill="1" applyAlignment="1">
      <alignment horizontal="center" vertical="center"/>
    </xf>
    <xf numFmtId="0" fontId="0" fillId="0" borderId="0" xfId="0" applyAlignment="1">
      <alignment wrapText="1"/>
    </xf>
    <xf numFmtId="0" fontId="12" fillId="0" borderId="0" xfId="0" applyFont="1" applyAlignment="1">
      <alignment horizontal="left" wrapText="1" indent="2"/>
    </xf>
    <xf numFmtId="0" fontId="11" fillId="0" borderId="0" xfId="0" applyFont="1" applyAlignment="1">
      <alignment horizontal="left" wrapText="1" indent="3"/>
    </xf>
    <xf numFmtId="0" fontId="0" fillId="0" borderId="0" xfId="0" applyAlignment="1">
      <alignment horizontal="left" wrapText="1" indent="3"/>
    </xf>
    <xf numFmtId="0" fontId="15" fillId="42" borderId="0" xfId="0" applyFont="1" applyFill="1" applyAlignment="1">
      <alignment horizontal="left" vertical="center" indent="1"/>
    </xf>
    <xf numFmtId="0" fontId="17" fillId="42" borderId="0" xfId="0" applyFont="1" applyFill="1" applyAlignment="1">
      <alignment horizontal="left" indent="1"/>
    </xf>
    <xf numFmtId="0" fontId="0" fillId="0" borderId="0" xfId="0" applyAlignment="1">
      <alignment horizontal="left" indent="3"/>
    </xf>
    <xf numFmtId="0" fontId="0" fillId="0" borderId="0" xfId="0" applyAlignment="1">
      <alignment vertical="top" wrapText="1"/>
    </xf>
    <xf numFmtId="0" fontId="23" fillId="0" borderId="0" xfId="0" applyFont="1" applyAlignment="1">
      <alignment horizontal="left" wrapText="1" indent="2"/>
    </xf>
    <xf numFmtId="0" fontId="0" fillId="0" borderId="0" xfId="0" applyAlignment="1">
      <alignment horizontal="left" vertical="top" wrapText="1" indent="3"/>
    </xf>
    <xf numFmtId="0" fontId="0" fillId="0" borderId="0" xfId="0" applyAlignment="1">
      <alignment horizontal="left" vertical="top" indent="3"/>
    </xf>
    <xf numFmtId="9" fontId="11" fillId="0" borderId="0" xfId="1" applyFont="1" applyFill="1" applyBorder="1" applyAlignment="1">
      <alignment horizontal="left" vertical="top" wrapText="1"/>
    </xf>
    <xf numFmtId="0" fontId="25" fillId="0" borderId="0" xfId="0" applyFont="1" applyAlignment="1">
      <alignment horizontal="center" vertical="center"/>
    </xf>
    <xf numFmtId="0" fontId="19" fillId="0" borderId="0" xfId="0" applyFont="1" applyAlignment="1">
      <alignment horizontal="center" vertical="center"/>
    </xf>
    <xf numFmtId="0" fontId="11" fillId="0" borderId="0" xfId="0" applyFont="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xf>
    <xf numFmtId="0" fontId="31" fillId="42" borderId="0" xfId="20" applyFont="1" applyFill="1" applyAlignment="1">
      <alignment horizontal="center" vertical="center"/>
    </xf>
    <xf numFmtId="0" fontId="11" fillId="0" borderId="47" xfId="0" applyFont="1" applyBorder="1" applyAlignment="1">
      <alignment horizontal="center"/>
    </xf>
    <xf numFmtId="0" fontId="11" fillId="0" borderId="42" xfId="0" applyFont="1" applyBorder="1" applyAlignment="1">
      <alignment horizontal="center"/>
    </xf>
    <xf numFmtId="0" fontId="11" fillId="0" borderId="48" xfId="0" applyFont="1" applyBorder="1" applyAlignment="1">
      <alignment horizontal="center"/>
    </xf>
    <xf numFmtId="0" fontId="11" fillId="0" borderId="46" xfId="0" applyFont="1" applyBorder="1" applyAlignment="1">
      <alignment horizontal="center"/>
    </xf>
    <xf numFmtId="0" fontId="11" fillId="0" borderId="43" xfId="20" applyBorder="1" applyAlignment="1">
      <alignment horizontal="left" vertical="top" wrapText="1"/>
    </xf>
    <xf numFmtId="0" fontId="11" fillId="0" borderId="8" xfId="20" applyBorder="1" applyAlignment="1">
      <alignment horizontal="left" vertical="top" wrapText="1"/>
    </xf>
    <xf numFmtId="0" fontId="11" fillId="0" borderId="44" xfId="20" applyBorder="1" applyAlignment="1">
      <alignment horizontal="left" vertical="top" wrapText="1"/>
    </xf>
    <xf numFmtId="0" fontId="11" fillId="0" borderId="45" xfId="20" applyBorder="1" applyAlignment="1">
      <alignment horizontal="left" vertical="top" wrapText="1"/>
    </xf>
    <xf numFmtId="0" fontId="11" fillId="0" borderId="48" xfId="20" applyBorder="1" applyAlignment="1">
      <alignment horizontal="left" vertical="top" wrapText="1"/>
    </xf>
    <xf numFmtId="0" fontId="11" fillId="0" borderId="46" xfId="20" applyBorder="1" applyAlignment="1">
      <alignment horizontal="left" vertical="top" wrapText="1"/>
    </xf>
    <xf numFmtId="0" fontId="12" fillId="43" borderId="57" xfId="20" applyFont="1" applyFill="1" applyBorder="1" applyAlignment="1">
      <alignment horizontal="left"/>
    </xf>
    <xf numFmtId="0" fontId="12" fillId="43" borderId="52" xfId="20" applyFont="1" applyFill="1" applyBorder="1" applyAlignment="1">
      <alignment horizontal="left"/>
    </xf>
    <xf numFmtId="0" fontId="12" fillId="43" borderId="53" xfId="20" applyFont="1" applyFill="1" applyBorder="1" applyAlignment="1">
      <alignment horizontal="left"/>
    </xf>
    <xf numFmtId="0" fontId="11" fillId="0" borderId="43" xfId="20" applyBorder="1" applyAlignment="1">
      <alignment horizontal="center"/>
    </xf>
    <xf numFmtId="0" fontId="11" fillId="0" borderId="8" xfId="20" applyBorder="1" applyAlignment="1">
      <alignment horizontal="center"/>
    </xf>
    <xf numFmtId="0" fontId="11" fillId="0" borderId="44" xfId="20" applyBorder="1" applyAlignment="1">
      <alignment horizontal="center"/>
    </xf>
    <xf numFmtId="0" fontId="11" fillId="0" borderId="45" xfId="20" applyBorder="1" applyAlignment="1">
      <alignment horizontal="center"/>
    </xf>
    <xf numFmtId="0" fontId="11" fillId="0" borderId="48" xfId="20" applyBorder="1" applyAlignment="1">
      <alignment horizontal="center"/>
    </xf>
    <xf numFmtId="0" fontId="11" fillId="0" borderId="46" xfId="20" applyBorder="1" applyAlignment="1">
      <alignment horizontal="center"/>
    </xf>
    <xf numFmtId="0" fontId="11" fillId="0" borderId="8" xfId="20" applyBorder="1" applyAlignment="1">
      <alignment horizontal="left" vertical="top"/>
    </xf>
    <xf numFmtId="0" fontId="11" fillId="0" borderId="44" xfId="20" applyBorder="1" applyAlignment="1">
      <alignment horizontal="left" vertical="top"/>
    </xf>
    <xf numFmtId="0" fontId="11" fillId="0" borderId="43" xfId="20" applyBorder="1" applyAlignment="1">
      <alignment horizontal="left" vertical="top"/>
    </xf>
    <xf numFmtId="0" fontId="11" fillId="0" borderId="45" xfId="20" applyBorder="1" applyAlignment="1">
      <alignment horizontal="left" vertical="top"/>
    </xf>
    <xf numFmtId="0" fontId="11" fillId="0" borderId="48" xfId="20" applyBorder="1" applyAlignment="1">
      <alignment horizontal="left" vertical="top"/>
    </xf>
    <xf numFmtId="0" fontId="11" fillId="0" borderId="46" xfId="20" applyBorder="1" applyAlignment="1">
      <alignment horizontal="left" vertical="top"/>
    </xf>
    <xf numFmtId="14" fontId="11" fillId="0" borderId="0" xfId="0" applyNumberFormat="1" applyFont="1" applyAlignment="1">
      <alignment horizontal="left" vertical="top" wrapText="1"/>
    </xf>
    <xf numFmtId="0" fontId="11" fillId="0" borderId="0" xfId="11" applyAlignment="1">
      <alignment horizontal="left" wrapText="1"/>
    </xf>
    <xf numFmtId="0" fontId="12" fillId="0" borderId="0" xfId="11" applyFont="1" applyAlignment="1">
      <alignment horizontal="left" wrapText="1"/>
    </xf>
    <xf numFmtId="0" fontId="12" fillId="0" borderId="0" xfId="0" applyFont="1" applyAlignment="1">
      <alignment horizontal="left" vertical="top" wrapText="1"/>
    </xf>
    <xf numFmtId="0" fontId="0" fillId="39" borderId="21" xfId="0" applyFill="1" applyBorder="1" applyAlignment="1">
      <alignment horizontal="center"/>
    </xf>
    <xf numFmtId="0" fontId="0" fillId="39" borderId="13" xfId="0" applyFill="1" applyBorder="1" applyAlignment="1">
      <alignment horizontal="center"/>
    </xf>
    <xf numFmtId="0" fontId="0" fillId="39" borderId="15" xfId="0" applyFill="1" applyBorder="1" applyAlignment="1">
      <alignment horizontal="center"/>
    </xf>
    <xf numFmtId="0" fontId="0" fillId="40" borderId="21" xfId="0" applyFill="1" applyBorder="1" applyAlignment="1">
      <alignment horizontal="center"/>
    </xf>
    <xf numFmtId="0" fontId="0" fillId="40" borderId="13" xfId="0" applyFill="1" applyBorder="1" applyAlignment="1">
      <alignment horizontal="center"/>
    </xf>
    <xf numFmtId="0" fontId="0" fillId="40" borderId="15" xfId="0" applyFill="1" applyBorder="1" applyAlignment="1">
      <alignment horizontal="center"/>
    </xf>
    <xf numFmtId="0" fontId="0" fillId="39" borderId="19" xfId="0" applyFill="1" applyBorder="1" applyAlignment="1">
      <alignment horizontal="center"/>
    </xf>
    <xf numFmtId="0" fontId="0" fillId="39" borderId="14" xfId="0" applyFill="1" applyBorder="1" applyAlignment="1">
      <alignment horizontal="center"/>
    </xf>
    <xf numFmtId="0" fontId="0" fillId="39" borderId="20" xfId="0" applyFill="1" applyBorder="1" applyAlignment="1">
      <alignment horizontal="center"/>
    </xf>
    <xf numFmtId="0" fontId="0" fillId="40" borderId="19" xfId="0" applyFill="1" applyBorder="1" applyAlignment="1">
      <alignment horizontal="center"/>
    </xf>
    <xf numFmtId="0" fontId="0" fillId="40" borderId="14" xfId="0" applyFill="1" applyBorder="1" applyAlignment="1">
      <alignment horizontal="center"/>
    </xf>
    <xf numFmtId="0" fontId="0" fillId="40" borderId="20" xfId="0" applyFill="1" applyBorder="1" applyAlignment="1">
      <alignment horizontal="center"/>
    </xf>
    <xf numFmtId="0" fontId="26" fillId="0" borderId="5" xfId="0" applyFont="1" applyBorder="1" applyAlignment="1">
      <alignment horizontal="center"/>
    </xf>
    <xf numFmtId="0" fontId="26" fillId="0" borderId="0" xfId="0" applyFont="1" applyAlignment="1">
      <alignment horizontal="center"/>
    </xf>
    <xf numFmtId="0" fontId="12" fillId="0" borderId="13" xfId="0" applyFont="1" applyBorder="1" applyAlignment="1">
      <alignment horizontal="center"/>
    </xf>
    <xf numFmtId="165" fontId="12" fillId="0" borderId="35" xfId="0" applyNumberFormat="1" applyFont="1" applyBorder="1" applyAlignment="1">
      <alignment horizontal="center"/>
    </xf>
    <xf numFmtId="165" fontId="11" fillId="0" borderId="0" xfId="0" applyNumberFormat="1" applyFont="1" applyAlignment="1">
      <alignment horizontal="center"/>
    </xf>
    <xf numFmtId="165" fontId="0" fillId="0" borderId="0" xfId="0" applyNumberFormat="1" applyAlignment="1">
      <alignment horizontal="center"/>
    </xf>
  </cellXfs>
  <cellStyles count="158">
    <cellStyle name="20% - Accent1" xfId="92" builtinId="30" customBuiltin="1"/>
    <cellStyle name="20% - Accent1 2" xfId="51" xr:uid="{00000000-0005-0000-0000-000001000000}"/>
    <cellStyle name="20% - Accent1 3" xfId="119" xr:uid="{00000000-0005-0000-0000-000002000000}"/>
    <cellStyle name="20% - Accent1 4" xfId="133" xr:uid="{00000000-0005-0000-0000-000003000000}"/>
    <cellStyle name="20% - Accent2" xfId="96" builtinId="34" customBuiltin="1"/>
    <cellStyle name="20% - Accent2 2" xfId="55" xr:uid="{00000000-0005-0000-0000-000005000000}"/>
    <cellStyle name="20% - Accent2 3" xfId="121" xr:uid="{00000000-0005-0000-0000-000006000000}"/>
    <cellStyle name="20% - Accent2 4" xfId="135" xr:uid="{00000000-0005-0000-0000-000007000000}"/>
    <cellStyle name="20% - Accent3" xfId="100" builtinId="38" customBuiltin="1"/>
    <cellStyle name="20% - Accent3 2" xfId="59" xr:uid="{00000000-0005-0000-0000-000009000000}"/>
    <cellStyle name="20% - Accent3 3" xfId="123" xr:uid="{00000000-0005-0000-0000-00000A000000}"/>
    <cellStyle name="20% - Accent3 4" xfId="137" xr:uid="{00000000-0005-0000-0000-00000B000000}"/>
    <cellStyle name="20% - Accent4" xfId="104" builtinId="42" customBuiltin="1"/>
    <cellStyle name="20% - Accent4 2" xfId="63" xr:uid="{00000000-0005-0000-0000-00000D000000}"/>
    <cellStyle name="20% - Accent4 3" xfId="125" xr:uid="{00000000-0005-0000-0000-00000E000000}"/>
    <cellStyle name="20% - Accent4 4" xfId="139" xr:uid="{00000000-0005-0000-0000-00000F000000}"/>
    <cellStyle name="20% - Accent5" xfId="108" builtinId="46" customBuiltin="1"/>
    <cellStyle name="20% - Accent5 2" xfId="67" xr:uid="{00000000-0005-0000-0000-000011000000}"/>
    <cellStyle name="20% - Accent5 3" xfId="127" xr:uid="{00000000-0005-0000-0000-000012000000}"/>
    <cellStyle name="20% - Accent5 4" xfId="141" xr:uid="{00000000-0005-0000-0000-000013000000}"/>
    <cellStyle name="20% - Accent6" xfId="112" builtinId="50" customBuiltin="1"/>
    <cellStyle name="20% - Accent6 2" xfId="71" xr:uid="{00000000-0005-0000-0000-000015000000}"/>
    <cellStyle name="20% - Accent6 3" xfId="129" xr:uid="{00000000-0005-0000-0000-000016000000}"/>
    <cellStyle name="20% - Accent6 4" xfId="143" xr:uid="{00000000-0005-0000-0000-000017000000}"/>
    <cellStyle name="40% - Accent1" xfId="93" builtinId="31" customBuiltin="1"/>
    <cellStyle name="40% - Accent1 2" xfId="52" xr:uid="{00000000-0005-0000-0000-000019000000}"/>
    <cellStyle name="40% - Accent1 3" xfId="120" xr:uid="{00000000-0005-0000-0000-00001A000000}"/>
    <cellStyle name="40% - Accent1 4" xfId="134" xr:uid="{00000000-0005-0000-0000-00001B000000}"/>
    <cellStyle name="40% - Accent2" xfId="97" builtinId="35" customBuiltin="1"/>
    <cellStyle name="40% - Accent2 2" xfId="56" xr:uid="{00000000-0005-0000-0000-00001D000000}"/>
    <cellStyle name="40% - Accent2 3" xfId="122" xr:uid="{00000000-0005-0000-0000-00001E000000}"/>
    <cellStyle name="40% - Accent2 4" xfId="136" xr:uid="{00000000-0005-0000-0000-00001F000000}"/>
    <cellStyle name="40% - Accent3" xfId="101" builtinId="39" customBuiltin="1"/>
    <cellStyle name="40% - Accent3 2" xfId="60" xr:uid="{00000000-0005-0000-0000-000021000000}"/>
    <cellStyle name="40% - Accent3 3" xfId="124" xr:uid="{00000000-0005-0000-0000-000022000000}"/>
    <cellStyle name="40% - Accent3 4" xfId="138" xr:uid="{00000000-0005-0000-0000-000023000000}"/>
    <cellStyle name="40% - Accent4" xfId="105" builtinId="43" customBuiltin="1"/>
    <cellStyle name="40% - Accent4 2" xfId="64" xr:uid="{00000000-0005-0000-0000-000025000000}"/>
    <cellStyle name="40% - Accent4 3" xfId="126" xr:uid="{00000000-0005-0000-0000-000026000000}"/>
    <cellStyle name="40% - Accent4 4" xfId="140" xr:uid="{00000000-0005-0000-0000-000027000000}"/>
    <cellStyle name="40% - Accent5" xfId="109" builtinId="47" customBuiltin="1"/>
    <cellStyle name="40% - Accent5 2" xfId="68" xr:uid="{00000000-0005-0000-0000-000029000000}"/>
    <cellStyle name="40% - Accent5 3" xfId="128" xr:uid="{00000000-0005-0000-0000-00002A000000}"/>
    <cellStyle name="40% - Accent5 4" xfId="142" xr:uid="{00000000-0005-0000-0000-00002B000000}"/>
    <cellStyle name="40% - Accent6" xfId="113" builtinId="51" customBuiltin="1"/>
    <cellStyle name="40% - Accent6 2" xfId="72" xr:uid="{00000000-0005-0000-0000-00002D000000}"/>
    <cellStyle name="40% - Accent6 3" xfId="130" xr:uid="{00000000-0005-0000-0000-00002E000000}"/>
    <cellStyle name="40% - Accent6 4" xfId="144" xr:uid="{00000000-0005-0000-0000-00002F000000}"/>
    <cellStyle name="60% - Accent1" xfId="94" builtinId="32" customBuiltin="1"/>
    <cellStyle name="60% - Accent1 2" xfId="53" xr:uid="{00000000-0005-0000-0000-000031000000}"/>
    <cellStyle name="60% - Accent2" xfId="98" builtinId="36" customBuiltin="1"/>
    <cellStyle name="60% - Accent2 2" xfId="57" xr:uid="{00000000-0005-0000-0000-000033000000}"/>
    <cellStyle name="60% - Accent3" xfId="102" builtinId="40" customBuiltin="1"/>
    <cellStyle name="60% - Accent3 2" xfId="61" xr:uid="{00000000-0005-0000-0000-000035000000}"/>
    <cellStyle name="60% - Accent4" xfId="106" builtinId="44" customBuiltin="1"/>
    <cellStyle name="60% - Accent4 2" xfId="65" xr:uid="{00000000-0005-0000-0000-000037000000}"/>
    <cellStyle name="60% - Accent5" xfId="110" builtinId="48" customBuiltin="1"/>
    <cellStyle name="60% - Accent5 2" xfId="69" xr:uid="{00000000-0005-0000-0000-000039000000}"/>
    <cellStyle name="60% - Accent6" xfId="114" builtinId="52" customBuiltin="1"/>
    <cellStyle name="60% - Accent6 2" xfId="73" xr:uid="{00000000-0005-0000-0000-00003B000000}"/>
    <cellStyle name="Accent1" xfId="91" builtinId="29" customBuiltin="1"/>
    <cellStyle name="Accent1 2" xfId="50" xr:uid="{00000000-0005-0000-0000-00003D000000}"/>
    <cellStyle name="Accent2" xfId="95" builtinId="33" customBuiltin="1"/>
    <cellStyle name="Accent2 2" xfId="54" xr:uid="{00000000-0005-0000-0000-00003F000000}"/>
    <cellStyle name="Accent3" xfId="99" builtinId="37" customBuiltin="1"/>
    <cellStyle name="Accent3 2" xfId="58" xr:uid="{00000000-0005-0000-0000-000041000000}"/>
    <cellStyle name="Accent4" xfId="103" builtinId="41" customBuiltin="1"/>
    <cellStyle name="Accent4 2" xfId="62" xr:uid="{00000000-0005-0000-0000-000043000000}"/>
    <cellStyle name="Accent5" xfId="107" builtinId="45" customBuiltin="1"/>
    <cellStyle name="Accent5 2" xfId="66" xr:uid="{00000000-0005-0000-0000-000045000000}"/>
    <cellStyle name="Accent6" xfId="111" builtinId="49" customBuiltin="1"/>
    <cellStyle name="Accent6 2" xfId="70" xr:uid="{00000000-0005-0000-0000-000047000000}"/>
    <cellStyle name="Bad" xfId="81" builtinId="27" customBuiltin="1"/>
    <cellStyle name="Bad 2" xfId="40" xr:uid="{00000000-0005-0000-0000-000049000000}"/>
    <cellStyle name="Calculation" xfId="85" builtinId="22" customBuiltin="1"/>
    <cellStyle name="Calculation 2" xfId="44" xr:uid="{00000000-0005-0000-0000-00004B000000}"/>
    <cellStyle name="Check Cell" xfId="87" builtinId="23" customBuiltin="1"/>
    <cellStyle name="Check Cell 2" xfId="46" xr:uid="{00000000-0005-0000-0000-00004D000000}"/>
    <cellStyle name="Comma 2" xfId="8" xr:uid="{00000000-0005-0000-0000-00004E000000}"/>
    <cellStyle name="Comma 3" xfId="7" xr:uid="{00000000-0005-0000-0000-00004F000000}"/>
    <cellStyle name="Currency 2" xfId="10" xr:uid="{00000000-0005-0000-0000-000050000000}"/>
    <cellStyle name="Explanatory Text" xfId="89" builtinId="53" customBuiltin="1"/>
    <cellStyle name="Explanatory Text 2" xfId="48" xr:uid="{00000000-0005-0000-0000-000052000000}"/>
    <cellStyle name="Good" xfId="80" builtinId="26" customBuiltin="1"/>
    <cellStyle name="Good 2" xfId="39" xr:uid="{00000000-0005-0000-0000-000054000000}"/>
    <cellStyle name="Heading 1" xfId="76" builtinId="16" customBuiltin="1"/>
    <cellStyle name="Heading 1 2" xfId="35" xr:uid="{00000000-0005-0000-0000-000056000000}"/>
    <cellStyle name="Heading 2" xfId="77" builtinId="17" customBuiltin="1"/>
    <cellStyle name="Heading 2 2" xfId="36" xr:uid="{00000000-0005-0000-0000-000058000000}"/>
    <cellStyle name="Heading 3" xfId="78" builtinId="18" customBuiltin="1"/>
    <cellStyle name="Heading 3 2" xfId="37" xr:uid="{00000000-0005-0000-0000-00005A000000}"/>
    <cellStyle name="Heading 4" xfId="79" builtinId="19" customBuiltin="1"/>
    <cellStyle name="Heading 4 2" xfId="38" xr:uid="{00000000-0005-0000-0000-00005C000000}"/>
    <cellStyle name="Input" xfId="83" builtinId="20" customBuiltin="1"/>
    <cellStyle name="Input 2" xfId="42" xr:uid="{00000000-0005-0000-0000-00005E000000}"/>
    <cellStyle name="Linked Cell" xfId="86" builtinId="24" customBuiltin="1"/>
    <cellStyle name="Linked Cell 2" xfId="45" xr:uid="{00000000-0005-0000-0000-000060000000}"/>
    <cellStyle name="Neutral" xfId="82" builtinId="28" customBuiltin="1"/>
    <cellStyle name="Neutral 2" xfId="41" xr:uid="{00000000-0005-0000-0000-000062000000}"/>
    <cellStyle name="Normal" xfId="0" builtinId="0"/>
    <cellStyle name="Normal 10" xfId="20" xr:uid="{00000000-0005-0000-0000-000064000000}"/>
    <cellStyle name="Normal 11" xfId="22" xr:uid="{00000000-0005-0000-0000-000065000000}"/>
    <cellStyle name="Normal 12" xfId="24" xr:uid="{00000000-0005-0000-0000-000066000000}"/>
    <cellStyle name="Normal 13" xfId="26" xr:uid="{00000000-0005-0000-0000-000067000000}"/>
    <cellStyle name="Normal 14" xfId="33" xr:uid="{00000000-0005-0000-0000-000068000000}"/>
    <cellStyle name="Normal 14 2" xfId="146" xr:uid="{00000000-0005-0000-0000-000069000000}"/>
    <cellStyle name="Normal 15" xfId="32" xr:uid="{00000000-0005-0000-0000-00006A000000}"/>
    <cellStyle name="Normal 16" xfId="115" xr:uid="{00000000-0005-0000-0000-00006B000000}"/>
    <cellStyle name="Normal 17" xfId="117" xr:uid="{00000000-0005-0000-0000-00006C000000}"/>
    <cellStyle name="Normal 18" xfId="131" xr:uid="{00000000-0005-0000-0000-00006D000000}"/>
    <cellStyle name="Normal 18 2" xfId="150" xr:uid="{4588D185-7498-46BD-8D9C-B3395192C932}"/>
    <cellStyle name="Normal 19" xfId="157" xr:uid="{2845A183-3701-433F-B196-E9C680DA42D1}"/>
    <cellStyle name="Normal 19 2" xfId="155" xr:uid="{85B371D8-3AE2-4090-ACBB-9E8DAD581CC9}"/>
    <cellStyle name="Normal 2" xfId="2" xr:uid="{00000000-0005-0000-0000-00006E000000}"/>
    <cellStyle name="Normal 2 2" xfId="11" xr:uid="{00000000-0005-0000-0000-00006F000000}"/>
    <cellStyle name="Normal 2 3" xfId="4" xr:uid="{00000000-0005-0000-0000-000070000000}"/>
    <cellStyle name="Normal 20" xfId="145" xr:uid="{00000000-0005-0000-0000-000071000000}"/>
    <cellStyle name="Normal 21" xfId="149" xr:uid="{AD15D900-2E72-4D5B-ABA2-60C1089309F8}"/>
    <cellStyle name="Normal 22" xfId="156" xr:uid="{92BD9D58-BA4E-42DA-88E4-04ACE051C4EA}"/>
    <cellStyle name="Normal 3" xfId="3" xr:uid="{00000000-0005-0000-0000-000072000000}"/>
    <cellStyle name="Normal 3 2" xfId="5" xr:uid="{00000000-0005-0000-0000-000073000000}"/>
    <cellStyle name="Normal 3 3" xfId="30" xr:uid="{00000000-0005-0000-0000-000074000000}"/>
    <cellStyle name="Normal 4" xfId="6" xr:uid="{00000000-0005-0000-0000-000075000000}"/>
    <cellStyle name="Normal 4 10" xfId="25" xr:uid="{00000000-0005-0000-0000-000076000000}"/>
    <cellStyle name="Normal 4 11" xfId="27" xr:uid="{00000000-0005-0000-0000-000077000000}"/>
    <cellStyle name="Normal 4 2" xfId="12" xr:uid="{00000000-0005-0000-0000-000078000000}"/>
    <cellStyle name="Normal 4 3" xfId="13" xr:uid="{00000000-0005-0000-0000-000079000000}"/>
    <cellStyle name="Normal 4 4" xfId="14" xr:uid="{00000000-0005-0000-0000-00007A000000}"/>
    <cellStyle name="Normal 4 5" xfId="15" xr:uid="{00000000-0005-0000-0000-00007B000000}"/>
    <cellStyle name="Normal 4 6" xfId="17" xr:uid="{00000000-0005-0000-0000-00007C000000}"/>
    <cellStyle name="Normal 4 7" xfId="19" xr:uid="{00000000-0005-0000-0000-00007D000000}"/>
    <cellStyle name="Normal 4 8" xfId="21" xr:uid="{00000000-0005-0000-0000-00007E000000}"/>
    <cellStyle name="Normal 4 9" xfId="23" xr:uid="{00000000-0005-0000-0000-00007F000000}"/>
    <cellStyle name="Normal 5" xfId="29" xr:uid="{00000000-0005-0000-0000-000080000000}"/>
    <cellStyle name="Normal 5 2" xfId="152" xr:uid="{698EA052-BA82-425A-9F07-F0C8CC229907}"/>
    <cellStyle name="Normal 5 2 2 2" xfId="147" xr:uid="{00000000-0005-0000-0000-000081000000}"/>
    <cellStyle name="Normal 5 2 2 2 3" xfId="148" xr:uid="{698F369A-DD6A-4DCA-891A-EF87CA7E81EE}"/>
    <cellStyle name="Normal 5 2 2 4" xfId="153" xr:uid="{28521A1A-02B9-413E-BA58-8B432E4792D8}"/>
    <cellStyle name="Normal 5 3 2" xfId="154" xr:uid="{E15219F8-A41C-48F5-82F1-DC82A41561DE}"/>
    <cellStyle name="Normal 6" xfId="28" xr:uid="{00000000-0005-0000-0000-000082000000}"/>
    <cellStyle name="Normal 7" xfId="74" xr:uid="{00000000-0005-0000-0000-000083000000}"/>
    <cellStyle name="Normal 7 10" xfId="151" xr:uid="{A178DD3D-B2AA-43FB-B632-F29D3009E1AF}"/>
    <cellStyle name="Normal 8" xfId="16" xr:uid="{00000000-0005-0000-0000-000084000000}"/>
    <cellStyle name="Normal 9" xfId="18" xr:uid="{00000000-0005-0000-0000-000085000000}"/>
    <cellStyle name="Note 2" xfId="75" xr:uid="{00000000-0005-0000-0000-000087000000}"/>
    <cellStyle name="Note 3" xfId="116" xr:uid="{00000000-0005-0000-0000-000088000000}"/>
    <cellStyle name="Note 4" xfId="118" xr:uid="{00000000-0005-0000-0000-000089000000}"/>
    <cellStyle name="Note 5" xfId="132" xr:uid="{00000000-0005-0000-0000-00008A000000}"/>
    <cellStyle name="Output" xfId="84" builtinId="21" customBuiltin="1"/>
    <cellStyle name="Output 2" xfId="43" xr:uid="{00000000-0005-0000-0000-00008C000000}"/>
    <cellStyle name="Percent" xfId="1" builtinId="5"/>
    <cellStyle name="Percent 2" xfId="34" xr:uid="{00000000-0005-0000-0000-00008E000000}"/>
    <cellStyle name="Style" xfId="9" xr:uid="{00000000-0005-0000-0000-00008F000000}"/>
    <cellStyle name="Title" xfId="31" builtinId="15" customBuiltin="1"/>
    <cellStyle name="Total" xfId="90" builtinId="25" customBuiltin="1"/>
    <cellStyle name="Total 2" xfId="49" xr:uid="{00000000-0005-0000-0000-000092000000}"/>
    <cellStyle name="Warning Text" xfId="88" builtinId="11" customBuiltin="1"/>
    <cellStyle name="Warning Text 2" xfId="47" xr:uid="{00000000-0005-0000-0000-000094000000}"/>
  </cellStyles>
  <dxfs count="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200025</xdr:colOff>
      <xdr:row>85</xdr:row>
      <xdr:rowOff>152400</xdr:rowOff>
    </xdr:from>
    <xdr:to>
      <xdr:col>10</xdr:col>
      <xdr:colOff>790363</xdr:colOff>
      <xdr:row>113</xdr:row>
      <xdr:rowOff>132701</xdr:rowOff>
    </xdr:to>
    <xdr:pic>
      <xdr:nvPicPr>
        <xdr:cNvPr id="2" name="Picture 1">
          <a:extLst>
            <a:ext uri="{FF2B5EF4-FFF2-40B4-BE49-F238E27FC236}">
              <a16:creationId xmlns:a16="http://schemas.microsoft.com/office/drawing/2014/main" id="{EC940030-C00C-4F11-B533-23AC4DAD8871}"/>
            </a:ext>
          </a:extLst>
        </xdr:cNvPr>
        <xdr:cNvPicPr>
          <a:picLocks noChangeAspect="1"/>
        </xdr:cNvPicPr>
      </xdr:nvPicPr>
      <xdr:blipFill>
        <a:blip xmlns:r="http://schemas.openxmlformats.org/officeDocument/2006/relationships" r:embed="rId1"/>
        <a:stretch>
          <a:fillRect/>
        </a:stretch>
      </xdr:blipFill>
      <xdr:spPr>
        <a:xfrm>
          <a:off x="9534525" y="13925550"/>
          <a:ext cx="1695238" cy="5190476"/>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87E8E-2338-47CC-A77E-976913E52124}">
  <sheetPr codeName="Sheet18">
    <tabColor rgb="FFFFFF00"/>
    <pageSetUpPr fitToPage="1"/>
  </sheetPr>
  <dimension ref="A1:N112"/>
  <sheetViews>
    <sheetView topLeftCell="A34" zoomScale="90" zoomScaleNormal="90" workbookViewId="0">
      <selection activeCell="H60" sqref="H60:J60"/>
    </sheetView>
  </sheetViews>
  <sheetFormatPr defaultColWidth="9.26953125" defaultRowHeight="13" x14ac:dyDescent="0.25"/>
  <cols>
    <col min="1" max="1" width="24.453125" customWidth="1"/>
    <col min="2" max="2" width="18.6328125" style="201" customWidth="1"/>
    <col min="3" max="3" width="25.453125" style="6" bestFit="1" customWidth="1"/>
    <col min="4" max="4" width="31.54296875" bestFit="1" customWidth="1"/>
    <col min="5" max="5" width="32.453125" bestFit="1" customWidth="1"/>
    <col min="6" max="6" width="13" bestFit="1" customWidth="1"/>
    <col min="7" max="7" width="25.453125" bestFit="1" customWidth="1"/>
    <col min="8" max="8" width="21.7265625" bestFit="1" customWidth="1"/>
    <col min="9" max="9" width="34.26953125" bestFit="1" customWidth="1"/>
    <col min="10" max="10" width="14" bestFit="1" customWidth="1"/>
    <col min="11" max="11" width="13.453125" customWidth="1"/>
    <col min="13" max="13" width="17.54296875" bestFit="1" customWidth="1"/>
    <col min="14" max="14" width="18.54296875" customWidth="1"/>
  </cols>
  <sheetData>
    <row r="1" spans="1:14" ht="13.5" thickBot="1" x14ac:dyDescent="0.3">
      <c r="A1" s="187" t="s">
        <v>0</v>
      </c>
      <c r="B1" s="326">
        <v>45608</v>
      </c>
      <c r="C1"/>
    </row>
    <row r="2" spans="1:14" ht="16" thickBot="1" x14ac:dyDescent="0.3">
      <c r="A2" s="188" t="s">
        <v>1</v>
      </c>
      <c r="B2" s="313"/>
      <c r="C2" s="15"/>
      <c r="D2" s="15"/>
      <c r="E2" s="15"/>
      <c r="F2" s="15"/>
      <c r="G2" s="15"/>
      <c r="H2" s="15"/>
      <c r="I2" s="15"/>
      <c r="J2" s="15"/>
      <c r="K2" s="189"/>
    </row>
    <row r="3" spans="1:14" x14ac:dyDescent="0.25">
      <c r="A3" s="190" t="s">
        <v>2</v>
      </c>
      <c r="B3" s="327" t="s">
        <v>3</v>
      </c>
      <c r="D3" s="190" t="s">
        <v>4</v>
      </c>
      <c r="E3" s="330">
        <v>125</v>
      </c>
      <c r="G3" s="192" t="s">
        <v>5</v>
      </c>
      <c r="H3" s="191" t="s">
        <v>6</v>
      </c>
      <c r="J3" s="192" t="s">
        <v>7</v>
      </c>
      <c r="K3" s="241" t="s">
        <v>8</v>
      </c>
    </row>
    <row r="4" spans="1:14" ht="15" thickBot="1" x14ac:dyDescent="0.4">
      <c r="A4" s="193" t="s">
        <v>9</v>
      </c>
      <c r="B4" s="328">
        <v>45627</v>
      </c>
      <c r="D4" s="195" t="s">
        <v>10</v>
      </c>
      <c r="E4" s="331"/>
      <c r="G4" s="195" t="s">
        <v>11</v>
      </c>
      <c r="H4" s="194" t="s">
        <v>12</v>
      </c>
      <c r="J4" s="196" t="s">
        <v>13</v>
      </c>
      <c r="K4" s="336"/>
    </row>
    <row r="5" spans="1:14" ht="15" thickBot="1" x14ac:dyDescent="0.4">
      <c r="A5" s="197" t="s">
        <v>14</v>
      </c>
      <c r="B5" s="329">
        <v>45658</v>
      </c>
      <c r="D5" s="198" t="s">
        <v>15</v>
      </c>
      <c r="E5" s="332"/>
      <c r="F5" s="13"/>
      <c r="G5" s="198" t="s">
        <v>16</v>
      </c>
      <c r="H5" s="199"/>
      <c r="I5" s="13"/>
      <c r="J5" s="13"/>
      <c r="K5" s="200"/>
    </row>
    <row r="6" spans="1:14" s="81" customFormat="1" ht="13.5" thickBot="1" x14ac:dyDescent="0.3">
      <c r="A6"/>
      <c r="B6" s="201"/>
      <c r="C6" s="51"/>
      <c r="D6"/>
      <c r="E6"/>
    </row>
    <row r="7" spans="1:14" ht="15.5" x14ac:dyDescent="0.3">
      <c r="A7" s="202" t="s">
        <v>17</v>
      </c>
      <c r="B7" s="333"/>
      <c r="C7" s="203" t="s">
        <v>18</v>
      </c>
      <c r="E7" s="204" t="s">
        <v>19</v>
      </c>
      <c r="F7" s="297"/>
      <c r="G7" s="298" t="s">
        <v>18</v>
      </c>
      <c r="I7" s="205" t="s">
        <v>20</v>
      </c>
      <c r="J7" s="302"/>
      <c r="K7" s="335" t="s">
        <v>21</v>
      </c>
    </row>
    <row r="8" spans="1:14" ht="15" thickBot="1" x14ac:dyDescent="0.4">
      <c r="A8" s="207" t="s">
        <v>22</v>
      </c>
      <c r="B8" s="176" t="s">
        <v>23</v>
      </c>
      <c r="C8" s="211"/>
      <c r="E8" s="207" t="s">
        <v>24</v>
      </c>
      <c r="F8" s="16"/>
      <c r="G8" s="299"/>
      <c r="H8" s="208"/>
      <c r="I8" s="207" t="s">
        <v>25</v>
      </c>
      <c r="J8" s="172">
        <v>12</v>
      </c>
      <c r="K8" s="211"/>
    </row>
    <row r="9" spans="1:14" ht="15" thickBot="1" x14ac:dyDescent="0.4">
      <c r="A9" s="207" t="s">
        <v>26</v>
      </c>
      <c r="B9" s="172" t="s">
        <v>27</v>
      </c>
      <c r="C9" s="334"/>
      <c r="E9" s="207" t="s">
        <v>28</v>
      </c>
      <c r="F9" s="175" t="s">
        <v>29</v>
      </c>
      <c r="G9" s="211" t="s">
        <v>30</v>
      </c>
      <c r="I9" s="209" t="s">
        <v>31</v>
      </c>
      <c r="J9" s="941"/>
      <c r="K9" s="283"/>
      <c r="M9" s="210" t="s">
        <v>32</v>
      </c>
      <c r="N9" s="184"/>
    </row>
    <row r="10" spans="1:14" ht="14.5" x14ac:dyDescent="0.35">
      <c r="A10" s="207" t="s">
        <v>33</v>
      </c>
      <c r="B10" s="176"/>
      <c r="C10" s="211"/>
      <c r="E10" s="207" t="s">
        <v>34</v>
      </c>
      <c r="F10" s="175" t="s">
        <v>29</v>
      </c>
      <c r="G10" s="211" t="s">
        <v>35</v>
      </c>
      <c r="I10" s="209" t="s">
        <v>36</v>
      </c>
      <c r="J10" s="941"/>
      <c r="K10" s="283"/>
    </row>
    <row r="11" spans="1:14" ht="14.5" x14ac:dyDescent="0.35">
      <c r="A11" s="207" t="s">
        <v>37</v>
      </c>
      <c r="B11" s="941"/>
      <c r="C11" s="942"/>
      <c r="E11" s="207" t="s">
        <v>38</v>
      </c>
      <c r="F11" s="175" t="s">
        <v>29</v>
      </c>
      <c r="G11" s="300">
        <v>42408</v>
      </c>
      <c r="I11" s="207" t="s">
        <v>39</v>
      </c>
      <c r="J11" s="943">
        <v>5</v>
      </c>
      <c r="K11" s="211"/>
    </row>
    <row r="12" spans="1:14" ht="14.5" x14ac:dyDescent="0.35">
      <c r="A12" s="207" t="s">
        <v>40</v>
      </c>
      <c r="B12" s="941"/>
      <c r="C12" s="942"/>
      <c r="E12" s="207" t="s">
        <v>41</v>
      </c>
      <c r="F12" s="175" t="s">
        <v>29</v>
      </c>
      <c r="G12" s="300">
        <v>42114</v>
      </c>
      <c r="I12" s="207" t="s">
        <v>42</v>
      </c>
      <c r="J12" s="943">
        <v>0</v>
      </c>
      <c r="K12" s="211"/>
    </row>
    <row r="13" spans="1:14" ht="26" x14ac:dyDescent="0.35">
      <c r="A13" s="207" t="s">
        <v>43</v>
      </c>
      <c r="B13" s="941"/>
      <c r="C13" s="942"/>
      <c r="E13" s="207" t="s">
        <v>44</v>
      </c>
      <c r="F13" s="175" t="s">
        <v>29</v>
      </c>
      <c r="G13" s="211" t="s">
        <v>30</v>
      </c>
      <c r="I13" s="207" t="s">
        <v>45</v>
      </c>
      <c r="J13" s="944" t="s">
        <v>46</v>
      </c>
      <c r="K13" s="582" t="s">
        <v>47</v>
      </c>
    </row>
    <row r="14" spans="1:14" ht="26" x14ac:dyDescent="0.35">
      <c r="A14" s="207" t="s">
        <v>48</v>
      </c>
      <c r="B14" s="941"/>
      <c r="C14" s="942"/>
      <c r="E14" s="207" t="s">
        <v>49</v>
      </c>
      <c r="F14" s="16"/>
      <c r="G14" s="299"/>
      <c r="I14" s="207" t="s">
        <v>50</v>
      </c>
      <c r="J14" s="945" t="s">
        <v>51</v>
      </c>
      <c r="K14" s="582" t="s">
        <v>47</v>
      </c>
    </row>
    <row r="15" spans="1:14" ht="14.5" x14ac:dyDescent="0.35">
      <c r="A15" s="207" t="s">
        <v>52</v>
      </c>
      <c r="B15" s="941" t="s">
        <v>29</v>
      </c>
      <c r="C15" s="211"/>
      <c r="E15" s="207" t="s">
        <v>53</v>
      </c>
      <c r="F15" s="16"/>
      <c r="G15" s="299"/>
      <c r="I15" s="207" t="s">
        <v>54</v>
      </c>
      <c r="J15" s="946">
        <v>20</v>
      </c>
      <c r="K15" s="211"/>
    </row>
    <row r="16" spans="1:14" ht="14.5" x14ac:dyDescent="0.35">
      <c r="A16" s="207" t="s">
        <v>55</v>
      </c>
      <c r="B16" s="941" t="s">
        <v>29</v>
      </c>
      <c r="C16" s="942" t="s">
        <v>56</v>
      </c>
      <c r="E16" s="207" t="s">
        <v>57</v>
      </c>
      <c r="F16" s="175" t="s">
        <v>29</v>
      </c>
      <c r="G16" s="211" t="s">
        <v>58</v>
      </c>
      <c r="I16" s="207" t="s">
        <v>59</v>
      </c>
      <c r="J16" s="941" t="s">
        <v>60</v>
      </c>
      <c r="K16" s="283"/>
    </row>
    <row r="17" spans="1:11" ht="14.5" x14ac:dyDescent="0.35">
      <c r="A17" s="207" t="s">
        <v>61</v>
      </c>
      <c r="B17" s="941" t="s">
        <v>29</v>
      </c>
      <c r="C17" s="211" t="s">
        <v>62</v>
      </c>
      <c r="E17" s="207" t="s">
        <v>63</v>
      </c>
      <c r="F17" s="175"/>
      <c r="G17" s="300"/>
      <c r="I17" s="207" t="s">
        <v>64</v>
      </c>
      <c r="J17" s="941"/>
      <c r="K17" s="283"/>
    </row>
    <row r="18" spans="1:11" ht="14.5" x14ac:dyDescent="0.35">
      <c r="A18" s="207" t="s">
        <v>65</v>
      </c>
      <c r="B18" s="941"/>
      <c r="C18" s="211"/>
      <c r="E18" s="207" t="s">
        <v>66</v>
      </c>
      <c r="F18" s="16" t="s">
        <v>29</v>
      </c>
      <c r="G18" s="299"/>
      <c r="I18" s="207" t="s">
        <v>67</v>
      </c>
      <c r="J18" s="941"/>
      <c r="K18" s="283"/>
    </row>
    <row r="19" spans="1:11" ht="14.5" x14ac:dyDescent="0.35">
      <c r="A19" s="207" t="s">
        <v>68</v>
      </c>
      <c r="B19" s="941" t="s">
        <v>29</v>
      </c>
      <c r="C19" s="942" t="s">
        <v>30</v>
      </c>
      <c r="E19" s="207" t="s">
        <v>69</v>
      </c>
      <c r="F19" s="16"/>
      <c r="G19" s="299"/>
      <c r="I19" s="207" t="s">
        <v>70</v>
      </c>
      <c r="J19" s="941"/>
      <c r="K19" s="283"/>
    </row>
    <row r="20" spans="1:11" ht="14.5" x14ac:dyDescent="0.35">
      <c r="A20" s="207" t="s">
        <v>71</v>
      </c>
      <c r="B20" s="947">
        <v>300</v>
      </c>
      <c r="C20" s="942" t="s">
        <v>30</v>
      </c>
      <c r="E20" s="207" t="s">
        <v>72</v>
      </c>
      <c r="F20" s="16"/>
      <c r="G20" s="299"/>
      <c r="I20" s="207" t="s">
        <v>73</v>
      </c>
      <c r="J20" s="941"/>
      <c r="K20" s="283"/>
    </row>
    <row r="21" spans="1:11" ht="15" thickBot="1" x14ac:dyDescent="0.4">
      <c r="A21" s="207" t="s">
        <v>74</v>
      </c>
      <c r="B21" s="941"/>
      <c r="C21" s="211"/>
      <c r="E21" s="207" t="s">
        <v>75</v>
      </c>
      <c r="F21" s="175" t="s">
        <v>29</v>
      </c>
      <c r="G21" s="211"/>
      <c r="I21" s="212" t="s">
        <v>76</v>
      </c>
      <c r="J21" s="284">
        <v>-1</v>
      </c>
      <c r="K21" s="303"/>
    </row>
    <row r="22" spans="1:11" ht="14.5" x14ac:dyDescent="0.35">
      <c r="A22" s="207" t="s">
        <v>77</v>
      </c>
      <c r="B22" s="941"/>
      <c r="C22" s="211"/>
      <c r="E22" s="207" t="s">
        <v>78</v>
      </c>
      <c r="F22" s="175" t="s">
        <v>29</v>
      </c>
      <c r="G22" s="211"/>
    </row>
    <row r="23" spans="1:11" ht="14.5" x14ac:dyDescent="0.35">
      <c r="A23" s="207" t="s">
        <v>79</v>
      </c>
      <c r="B23" s="941"/>
      <c r="C23" s="211"/>
      <c r="E23" s="207" t="s">
        <v>80</v>
      </c>
      <c r="F23" s="175"/>
      <c r="G23" s="300"/>
    </row>
    <row r="24" spans="1:11" ht="15" thickBot="1" x14ac:dyDescent="0.4">
      <c r="A24" s="212" t="s">
        <v>81</v>
      </c>
      <c r="B24" s="948"/>
      <c r="C24" s="303"/>
      <c r="E24" s="207" t="s">
        <v>82</v>
      </c>
      <c r="F24" s="16"/>
      <c r="G24" s="299"/>
    </row>
    <row r="25" spans="1:11" ht="15" thickBot="1" x14ac:dyDescent="0.4">
      <c r="A25" s="213"/>
      <c r="B25" s="214"/>
      <c r="C25" s="215"/>
      <c r="E25" s="212" t="s">
        <v>83</v>
      </c>
      <c r="F25" s="284" t="s">
        <v>29</v>
      </c>
      <c r="G25" s="301"/>
    </row>
    <row r="26" spans="1:11" ht="15.5" x14ac:dyDescent="0.35">
      <c r="A26" s="202" t="s">
        <v>84</v>
      </c>
      <c r="B26" s="216"/>
      <c r="C26" s="206" t="s">
        <v>18</v>
      </c>
      <c r="D26" s="217"/>
    </row>
    <row r="27" spans="1:11" ht="14.5" x14ac:dyDescent="0.35">
      <c r="A27" s="207" t="s">
        <v>85</v>
      </c>
      <c r="B27" s="941"/>
      <c r="C27" s="942"/>
    </row>
    <row r="28" spans="1:11" ht="14.5" x14ac:dyDescent="0.35">
      <c r="A28" s="207" t="s">
        <v>86</v>
      </c>
      <c r="B28" s="941" t="s">
        <v>29</v>
      </c>
      <c r="C28" s="211" t="s">
        <v>30</v>
      </c>
    </row>
    <row r="29" spans="1:11" ht="14.5" x14ac:dyDescent="0.35">
      <c r="A29" s="207" t="s">
        <v>87</v>
      </c>
      <c r="B29" s="941"/>
      <c r="C29" s="942"/>
    </row>
    <row r="30" spans="1:11" ht="15" thickBot="1" x14ac:dyDescent="0.4">
      <c r="A30" s="212" t="s">
        <v>88</v>
      </c>
      <c r="B30" s="949"/>
      <c r="C30" s="950"/>
    </row>
    <row r="31" spans="1:11" ht="15" thickBot="1" x14ac:dyDescent="0.4">
      <c r="A31" s="62"/>
      <c r="C31" s="217"/>
    </row>
    <row r="32" spans="1:11" ht="15.5" x14ac:dyDescent="0.35">
      <c r="A32" s="747" t="s">
        <v>89</v>
      </c>
      <c r="C32" s="217"/>
    </row>
    <row r="33" spans="1:7" ht="15" thickBot="1" x14ac:dyDescent="0.4">
      <c r="A33" s="940" t="s">
        <v>90</v>
      </c>
      <c r="C33" s="217"/>
    </row>
    <row r="34" spans="1:7" ht="15" thickBot="1" x14ac:dyDescent="0.4">
      <c r="A34" s="939" t="s">
        <v>91</v>
      </c>
      <c r="C34" s="217"/>
    </row>
    <row r="35" spans="1:7" ht="14.5" x14ac:dyDescent="0.35">
      <c r="A35" s="62"/>
      <c r="C35" s="217"/>
    </row>
    <row r="36" spans="1:7" ht="16" thickBot="1" x14ac:dyDescent="0.4">
      <c r="A36" s="188" t="s">
        <v>92</v>
      </c>
      <c r="D36" s="217"/>
    </row>
    <row r="37" spans="1:7" x14ac:dyDescent="0.3">
      <c r="A37" s="190" t="s">
        <v>93</v>
      </c>
      <c r="B37" s="337" t="s">
        <v>94</v>
      </c>
      <c r="C37" s="337" t="s">
        <v>95</v>
      </c>
      <c r="D37" s="343" t="s">
        <v>18</v>
      </c>
      <c r="E37" s="338" t="s">
        <v>96</v>
      </c>
    </row>
    <row r="38" spans="1:7" x14ac:dyDescent="0.25">
      <c r="A38" s="207" t="s">
        <v>97</v>
      </c>
      <c r="B38" s="308" t="s">
        <v>98</v>
      </c>
      <c r="C38" s="339" t="b">
        <v>1</v>
      </c>
      <c r="D38" s="174"/>
      <c r="E38" s="340"/>
      <c r="F38" s="29"/>
      <c r="G38" s="29"/>
    </row>
    <row r="39" spans="1:7" x14ac:dyDescent="0.25">
      <c r="A39" s="207" t="s">
        <v>99</v>
      </c>
      <c r="B39" s="308" t="s">
        <v>98</v>
      </c>
      <c r="C39" s="339" t="b">
        <v>1</v>
      </c>
      <c r="D39" s="174">
        <v>45200</v>
      </c>
      <c r="E39" s="340"/>
      <c r="F39" s="29"/>
      <c r="G39" s="29"/>
    </row>
    <row r="40" spans="1:7" x14ac:dyDescent="0.25">
      <c r="A40" s="207" t="s">
        <v>100</v>
      </c>
      <c r="B40" s="308" t="s">
        <v>98</v>
      </c>
      <c r="C40" s="339" t="b">
        <v>1</v>
      </c>
      <c r="D40" s="174">
        <v>45200</v>
      </c>
      <c r="E40" s="340"/>
      <c r="F40" s="29"/>
      <c r="G40" s="29"/>
    </row>
    <row r="41" spans="1:7" s="81" customFormat="1" x14ac:dyDescent="0.25">
      <c r="A41" s="344" t="s">
        <v>101</v>
      </c>
      <c r="B41" s="345" t="s">
        <v>98</v>
      </c>
      <c r="C41" s="345" t="b">
        <v>1</v>
      </c>
      <c r="D41" s="137">
        <v>45356</v>
      </c>
      <c r="E41" s="340"/>
      <c r="F41" s="134"/>
      <c r="G41" s="134"/>
    </row>
    <row r="42" spans="1:7" x14ac:dyDescent="0.25">
      <c r="A42" s="207" t="s">
        <v>102</v>
      </c>
      <c r="B42" s="308" t="s">
        <v>98</v>
      </c>
      <c r="C42" s="339" t="b">
        <v>1</v>
      </c>
      <c r="D42" s="174"/>
      <c r="E42" s="340"/>
      <c r="F42" s="29"/>
      <c r="G42" s="29"/>
    </row>
    <row r="43" spans="1:7" ht="25" x14ac:dyDescent="0.25">
      <c r="A43" s="805" t="s">
        <v>103</v>
      </c>
      <c r="B43" s="716" t="s">
        <v>98</v>
      </c>
      <c r="C43" s="717" t="b">
        <v>1</v>
      </c>
      <c r="D43" s="718" t="s">
        <v>47</v>
      </c>
      <c r="E43" s="719"/>
      <c r="F43" s="29"/>
      <c r="G43" s="29"/>
    </row>
    <row r="44" spans="1:7" ht="26" x14ac:dyDescent="0.25">
      <c r="A44" s="748" t="s">
        <v>104</v>
      </c>
      <c r="B44" s="716" t="s">
        <v>98</v>
      </c>
      <c r="C44" s="717" t="b">
        <v>1</v>
      </c>
      <c r="D44" s="718" t="s">
        <v>47</v>
      </c>
      <c r="E44" s="719"/>
      <c r="F44" s="29"/>
      <c r="G44" s="29"/>
    </row>
    <row r="45" spans="1:7" ht="39" x14ac:dyDescent="0.25">
      <c r="A45" s="748" t="s">
        <v>105</v>
      </c>
      <c r="B45" s="716" t="s">
        <v>98</v>
      </c>
      <c r="C45" s="717" t="b">
        <v>1</v>
      </c>
      <c r="D45" s="718" t="s">
        <v>47</v>
      </c>
      <c r="E45" s="719"/>
      <c r="F45" s="29"/>
      <c r="G45" s="29"/>
    </row>
    <row r="46" spans="1:7" ht="13.5" thickBot="1" x14ac:dyDescent="0.3">
      <c r="A46" s="212"/>
      <c r="B46" s="319"/>
      <c r="C46" s="346"/>
      <c r="D46" s="347"/>
      <c r="E46" s="341"/>
      <c r="F46" s="29"/>
      <c r="G46" s="29"/>
    </row>
    <row r="47" spans="1:7" ht="13.5" thickBot="1" x14ac:dyDescent="0.3">
      <c r="A47" s="201"/>
      <c r="B47" s="51"/>
      <c r="C47" s="162"/>
      <c r="F47" s="29"/>
      <c r="G47" s="29"/>
    </row>
    <row r="48" spans="1:7" s="67" customFormat="1" ht="13.5" thickBot="1" x14ac:dyDescent="0.35">
      <c r="A48" s="218" t="s">
        <v>106</v>
      </c>
      <c r="B48" s="219" t="s">
        <v>107</v>
      </c>
      <c r="C48" s="219" t="s">
        <v>108</v>
      </c>
      <c r="D48" s="219" t="s">
        <v>109</v>
      </c>
      <c r="E48" s="220" t="s">
        <v>110</v>
      </c>
    </row>
    <row r="49" spans="1:13" s="67" customFormat="1" x14ac:dyDescent="0.3">
      <c r="A49" s="221" t="s">
        <v>111</v>
      </c>
      <c r="B49" s="222">
        <v>10</v>
      </c>
      <c r="C49" s="223">
        <v>42737</v>
      </c>
      <c r="D49" s="223">
        <v>42787</v>
      </c>
      <c r="E49" s="224"/>
    </row>
    <row r="50" spans="1:13" s="81" customFormat="1" x14ac:dyDescent="0.3">
      <c r="A50" s="225" t="s">
        <v>112</v>
      </c>
      <c r="B50" s="226">
        <v>25</v>
      </c>
      <c r="C50" s="227">
        <v>42737</v>
      </c>
      <c r="D50" s="227">
        <v>42787</v>
      </c>
      <c r="E50" s="228"/>
    </row>
    <row r="51" spans="1:13" s="81" customFormat="1" ht="13.5" thickBot="1" x14ac:dyDescent="0.35">
      <c r="A51" s="229" t="s">
        <v>113</v>
      </c>
      <c r="B51" s="230">
        <v>10</v>
      </c>
      <c r="C51" s="231">
        <v>42737</v>
      </c>
      <c r="D51" s="231">
        <v>42787</v>
      </c>
      <c r="E51" s="232"/>
    </row>
    <row r="52" spans="1:13" s="81" customFormat="1" thickBot="1" x14ac:dyDescent="0.3">
      <c r="A52" s="125"/>
      <c r="B52" s="130"/>
      <c r="C52" s="130"/>
    </row>
    <row r="53" spans="1:13" s="29" customFormat="1" x14ac:dyDescent="0.3">
      <c r="A53" s="233" t="s">
        <v>114</v>
      </c>
      <c r="B53" s="996"/>
      <c r="C53" s="997"/>
      <c r="D53" s="998"/>
    </row>
    <row r="54" spans="1:13" s="29" customFormat="1" x14ac:dyDescent="0.25">
      <c r="A54" s="207" t="s">
        <v>26</v>
      </c>
      <c r="B54" s="999" t="s">
        <v>115</v>
      </c>
      <c r="C54" s="1000"/>
      <c r="D54" s="1001"/>
    </row>
    <row r="55" spans="1:13" s="29" customFormat="1" ht="13.5" thickBot="1" x14ac:dyDescent="0.3">
      <c r="A55" s="212" t="s">
        <v>116</v>
      </c>
      <c r="B55" s="1002" t="s">
        <v>117</v>
      </c>
      <c r="C55" s="1003"/>
      <c r="D55" s="1004"/>
    </row>
    <row r="56" spans="1:13" s="29" customFormat="1" ht="13.5" thickBot="1" x14ac:dyDescent="0.3">
      <c r="A56" s="201"/>
      <c r="B56" s="51"/>
    </row>
    <row r="57" spans="1:13" s="134" customFormat="1" ht="13.5" thickBot="1" x14ac:dyDescent="0.35">
      <c r="A57" s="305" t="s">
        <v>118</v>
      </c>
      <c r="B57" s="84"/>
      <c r="C57" s="84"/>
      <c r="D57" s="84"/>
      <c r="E57" s="84"/>
      <c r="F57" s="84"/>
      <c r="G57" s="84"/>
      <c r="H57" s="84"/>
      <c r="I57" s="84"/>
      <c r="J57" s="84"/>
      <c r="K57" s="81"/>
      <c r="L57" s="130"/>
      <c r="M57" s="130"/>
    </row>
    <row r="58" spans="1:13" s="134" customFormat="1" x14ac:dyDescent="0.3">
      <c r="A58" s="251" t="s">
        <v>119</v>
      </c>
      <c r="B58" s="252" t="s">
        <v>7</v>
      </c>
      <c r="C58" s="252" t="s">
        <v>120</v>
      </c>
      <c r="D58" s="252" t="s">
        <v>121</v>
      </c>
      <c r="E58" s="306" t="s">
        <v>122</v>
      </c>
      <c r="F58" s="306" t="s">
        <v>123</v>
      </c>
      <c r="G58" s="306" t="s">
        <v>124</v>
      </c>
      <c r="H58" s="975" t="s">
        <v>125</v>
      </c>
      <c r="I58" s="975"/>
      <c r="J58" s="976"/>
      <c r="K58" s="81"/>
      <c r="L58" s="130"/>
      <c r="M58" s="130"/>
    </row>
    <row r="59" spans="1:13" s="134" customFormat="1" ht="70.900000000000006" customHeight="1" thickBot="1" x14ac:dyDescent="0.3">
      <c r="A59" s="921">
        <v>36</v>
      </c>
      <c r="B59" s="922" t="s">
        <v>8</v>
      </c>
      <c r="C59" s="923">
        <v>1</v>
      </c>
      <c r="D59" s="924" t="s">
        <v>126</v>
      </c>
      <c r="E59" s="923">
        <v>0</v>
      </c>
      <c r="F59" s="925">
        <v>44291</v>
      </c>
      <c r="G59" s="925">
        <v>46082</v>
      </c>
      <c r="H59" s="987" t="s">
        <v>127</v>
      </c>
      <c r="I59" s="988"/>
      <c r="J59" s="989"/>
      <c r="K59" s="81"/>
      <c r="L59" s="130"/>
      <c r="M59" s="130"/>
    </row>
    <row r="60" spans="1:13" s="134" customFormat="1" ht="70.900000000000006" customHeight="1" thickBot="1" x14ac:dyDescent="0.3">
      <c r="A60" s="916">
        <v>36</v>
      </c>
      <c r="B60" s="917" t="s">
        <v>8</v>
      </c>
      <c r="C60" s="918">
        <v>1</v>
      </c>
      <c r="D60" s="919" t="s">
        <v>126</v>
      </c>
      <c r="E60" s="918">
        <v>0</v>
      </c>
      <c r="F60" s="920">
        <v>46082</v>
      </c>
      <c r="G60" s="920"/>
      <c r="H60" s="1009" t="s">
        <v>128</v>
      </c>
      <c r="I60" s="1010"/>
      <c r="J60" s="1011"/>
      <c r="K60" s="81"/>
      <c r="L60" s="130"/>
      <c r="M60" s="130"/>
    </row>
    <row r="61" spans="1:13" s="134" customFormat="1" x14ac:dyDescent="0.25">
      <c r="A61" s="253"/>
      <c r="B61" s="254"/>
      <c r="C61" s="82"/>
      <c r="D61" s="129"/>
      <c r="E61" s="81"/>
      <c r="F61" s="130"/>
      <c r="G61" s="130"/>
      <c r="H61" s="255"/>
      <c r="I61" s="129"/>
      <c r="J61" s="129"/>
      <c r="K61" s="81"/>
      <c r="L61" s="130"/>
      <c r="M61" s="130"/>
    </row>
    <row r="62" spans="1:13" s="29" customFormat="1" ht="13.5" thickBot="1" x14ac:dyDescent="0.3">
      <c r="A62" s="201"/>
      <c r="B62" s="51"/>
    </row>
    <row r="63" spans="1:13" s="29" customFormat="1" x14ac:dyDescent="0.25">
      <c r="A63" s="1005" t="s">
        <v>129</v>
      </c>
      <c r="B63" s="1006"/>
    </row>
    <row r="64" spans="1:13" s="29" customFormat="1" ht="12.5" x14ac:dyDescent="0.25">
      <c r="A64" s="983" t="s">
        <v>130</v>
      </c>
      <c r="B64" s="984"/>
      <c r="C64" s="51"/>
      <c r="D64"/>
      <c r="E64"/>
    </row>
    <row r="65" spans="1:4" s="29" customFormat="1" ht="12.5" x14ac:dyDescent="0.25">
      <c r="A65" s="983" t="s">
        <v>131</v>
      </c>
      <c r="B65" s="984"/>
      <c r="C65" s="6"/>
      <c r="D65"/>
    </row>
    <row r="66" spans="1:4" s="29" customFormat="1" ht="12.5" x14ac:dyDescent="0.25">
      <c r="A66" s="983" t="s">
        <v>132</v>
      </c>
      <c r="B66" s="984"/>
      <c r="C66" s="6"/>
      <c r="D66"/>
    </row>
    <row r="67" spans="1:4" s="29" customFormat="1" ht="12.5" x14ac:dyDescent="0.25">
      <c r="A67" s="992" t="s">
        <v>133</v>
      </c>
      <c r="B67" s="993"/>
      <c r="C67" s="6"/>
      <c r="D67"/>
    </row>
    <row r="68" spans="1:4" s="29" customFormat="1" ht="12.5" x14ac:dyDescent="0.25">
      <c r="A68" s="983" t="s">
        <v>134</v>
      </c>
      <c r="B68" s="984"/>
      <c r="C68" s="51"/>
      <c r="D68"/>
    </row>
    <row r="69" spans="1:4" s="29" customFormat="1" ht="12.5" x14ac:dyDescent="0.25">
      <c r="A69" s="1007" t="s">
        <v>135</v>
      </c>
      <c r="B69" s="1008"/>
      <c r="C69" s="51"/>
      <c r="D69"/>
    </row>
    <row r="70" spans="1:4" s="29" customFormat="1" ht="12.5" x14ac:dyDescent="0.25">
      <c r="A70" s="1014" t="s">
        <v>136</v>
      </c>
      <c r="B70" s="1015"/>
      <c r="C70" s="51"/>
      <c r="D70"/>
    </row>
    <row r="71" spans="1:4" s="29" customFormat="1" ht="12.5" x14ac:dyDescent="0.25">
      <c r="A71" s="983" t="s">
        <v>137</v>
      </c>
      <c r="B71" s="984"/>
    </row>
    <row r="72" spans="1:4" s="29" customFormat="1" ht="12.5" x14ac:dyDescent="0.25">
      <c r="A72" s="992" t="s">
        <v>138</v>
      </c>
      <c r="B72" s="993"/>
    </row>
    <row r="73" spans="1:4" s="29" customFormat="1" ht="12.5" x14ac:dyDescent="0.25">
      <c r="A73" s="983" t="s">
        <v>139</v>
      </c>
      <c r="B73" s="984"/>
    </row>
    <row r="74" spans="1:4" s="29" customFormat="1" ht="12.5" x14ac:dyDescent="0.25">
      <c r="A74" s="992" t="s">
        <v>140</v>
      </c>
      <c r="B74" s="993"/>
    </row>
    <row r="75" spans="1:4" s="29" customFormat="1" ht="12.5" x14ac:dyDescent="0.25">
      <c r="A75" s="981" t="s">
        <v>141</v>
      </c>
      <c r="B75" s="982"/>
    </row>
    <row r="76" spans="1:4" s="29" customFormat="1" ht="12.5" x14ac:dyDescent="0.25">
      <c r="A76" s="981" t="s">
        <v>142</v>
      </c>
      <c r="B76" s="982"/>
    </row>
    <row r="77" spans="1:4" s="29" customFormat="1" ht="12.5" x14ac:dyDescent="0.25">
      <c r="A77" s="977" t="s">
        <v>143</v>
      </c>
      <c r="B77" s="978"/>
    </row>
    <row r="78" spans="1:4" s="29" customFormat="1" ht="12.5" x14ac:dyDescent="0.25">
      <c r="A78" s="994" t="s">
        <v>144</v>
      </c>
      <c r="B78" s="995"/>
    </row>
    <row r="79" spans="1:4" s="29" customFormat="1" ht="12.5" x14ac:dyDescent="0.25">
      <c r="A79" s="983" t="s">
        <v>145</v>
      </c>
      <c r="B79" s="984"/>
    </row>
    <row r="80" spans="1:4" s="29" customFormat="1" ht="12.5" x14ac:dyDescent="0.25">
      <c r="A80" s="992" t="s">
        <v>146</v>
      </c>
      <c r="B80" s="993"/>
    </row>
    <row r="81" spans="1:7" s="29" customFormat="1" ht="12.5" x14ac:dyDescent="0.25">
      <c r="A81" s="981" t="s">
        <v>147</v>
      </c>
      <c r="B81" s="982"/>
    </row>
    <row r="82" spans="1:7" s="29" customFormat="1" ht="12.5" x14ac:dyDescent="0.25">
      <c r="A82" s="992" t="s">
        <v>148</v>
      </c>
      <c r="B82" s="993"/>
    </row>
    <row r="83" spans="1:7" s="29" customFormat="1" ht="12.5" x14ac:dyDescent="0.25">
      <c r="A83" s="992" t="s">
        <v>149</v>
      </c>
      <c r="B83" s="993"/>
    </row>
    <row r="84" spans="1:7" s="29" customFormat="1" ht="12.5" x14ac:dyDescent="0.25">
      <c r="A84" s="983" t="s">
        <v>150</v>
      </c>
      <c r="B84" s="984"/>
    </row>
    <row r="85" spans="1:7" s="29" customFormat="1" ht="12.5" x14ac:dyDescent="0.25">
      <c r="A85" s="977" t="s">
        <v>151</v>
      </c>
      <c r="B85" s="978"/>
    </row>
    <row r="86" spans="1:7" s="29" customFormat="1" thickBot="1" x14ac:dyDescent="0.3">
      <c r="A86" s="973" t="s">
        <v>152</v>
      </c>
      <c r="B86" s="974"/>
    </row>
    <row r="87" spans="1:7" s="29" customFormat="1" thickBot="1" x14ac:dyDescent="0.3">
      <c r="A87" s="990" t="s">
        <v>153</v>
      </c>
      <c r="B87" s="991"/>
    </row>
    <row r="88" spans="1:7" s="29" customFormat="1" thickBot="1" x14ac:dyDescent="0.3">
      <c r="A88" s="971" t="s">
        <v>154</v>
      </c>
      <c r="B88" s="972"/>
    </row>
    <row r="89" spans="1:7" s="29" customFormat="1" thickBot="1" x14ac:dyDescent="0.3">
      <c r="A89" s="1012" t="s">
        <v>155</v>
      </c>
      <c r="B89" s="1013"/>
    </row>
    <row r="90" spans="1:7" s="29" customFormat="1" ht="17.25" customHeight="1" thickBot="1" x14ac:dyDescent="0.3">
      <c r="B90" s="78"/>
      <c r="C90" s="67"/>
      <c r="F90"/>
      <c r="G90"/>
    </row>
    <row r="91" spans="1:7" s="67" customFormat="1" ht="24.75" customHeight="1" x14ac:dyDescent="0.25">
      <c r="A91" s="985" t="s">
        <v>156</v>
      </c>
      <c r="B91" s="986"/>
      <c r="C91" s="307" t="s">
        <v>157</v>
      </c>
      <c r="D91" s="298" t="s">
        <v>158</v>
      </c>
    </row>
    <row r="92" spans="1:7" s="67" customFormat="1" ht="12.75" customHeight="1" x14ac:dyDescent="0.25">
      <c r="A92" s="979" t="s">
        <v>159</v>
      </c>
      <c r="B92" s="980"/>
      <c r="C92" s="177" t="s">
        <v>160</v>
      </c>
      <c r="D92" s="317">
        <v>45462</v>
      </c>
    </row>
    <row r="93" spans="1:7" ht="12.5" x14ac:dyDescent="0.25">
      <c r="A93" s="979" t="s">
        <v>161</v>
      </c>
      <c r="B93" s="980"/>
      <c r="C93" s="175" t="s">
        <v>162</v>
      </c>
      <c r="D93" s="318">
        <v>45568</v>
      </c>
    </row>
    <row r="94" spans="1:7" ht="12.75" customHeight="1" x14ac:dyDescent="0.25">
      <c r="A94" s="1028" t="s">
        <v>163</v>
      </c>
      <c r="B94" s="1029"/>
      <c r="C94" s="308" t="s">
        <v>162</v>
      </c>
      <c r="D94" s="318">
        <v>45639</v>
      </c>
    </row>
    <row r="95" spans="1:7" ht="12.75" customHeight="1" x14ac:dyDescent="0.25">
      <c r="A95" s="994" t="s">
        <v>164</v>
      </c>
      <c r="B95" s="1020"/>
      <c r="C95" s="849" t="s">
        <v>160</v>
      </c>
      <c r="D95" s="850">
        <v>45672</v>
      </c>
    </row>
    <row r="96" spans="1:7" ht="25.9" customHeight="1" x14ac:dyDescent="0.25">
      <c r="A96" s="1021" t="s">
        <v>165</v>
      </c>
      <c r="B96" s="1022"/>
      <c r="C96" s="849" t="s">
        <v>162</v>
      </c>
      <c r="D96" s="852">
        <v>45855</v>
      </c>
    </row>
    <row r="97" spans="1:5" ht="12.75" customHeight="1" x14ac:dyDescent="0.25">
      <c r="A97" s="1023" t="s">
        <v>166</v>
      </c>
      <c r="B97" s="1024"/>
      <c r="C97" s="890" t="s">
        <v>167</v>
      </c>
      <c r="D97" s="891">
        <v>45939</v>
      </c>
    </row>
    <row r="98" spans="1:5" s="81" customFormat="1" ht="12.5" x14ac:dyDescent="0.25">
      <c r="A98" s="1018" t="s">
        <v>168</v>
      </c>
      <c r="B98" s="1019"/>
      <c r="C98" s="892" t="s">
        <v>169</v>
      </c>
      <c r="D98" s="893">
        <v>46001</v>
      </c>
      <c r="E98" s="67"/>
    </row>
    <row r="99" spans="1:5" ht="12.5" x14ac:dyDescent="0.25">
      <c r="A99" s="1014" t="s">
        <v>170</v>
      </c>
      <c r="B99" s="1025"/>
      <c r="C99" s="914" t="s">
        <v>169</v>
      </c>
      <c r="D99" s="915">
        <v>46006</v>
      </c>
    </row>
    <row r="100" spans="1:5" ht="12.5" x14ac:dyDescent="0.25">
      <c r="A100" s="1026" t="s">
        <v>171</v>
      </c>
      <c r="B100" s="1027"/>
      <c r="C100" s="937" t="s">
        <v>172</v>
      </c>
      <c r="D100" s="938">
        <v>46079</v>
      </c>
    </row>
    <row r="101" spans="1:5" ht="12.5" x14ac:dyDescent="0.25">
      <c r="A101" s="1028"/>
      <c r="B101" s="1029"/>
      <c r="C101" s="308"/>
      <c r="D101" s="318"/>
    </row>
    <row r="102" spans="1:5" thickBot="1" x14ac:dyDescent="0.3">
      <c r="A102" s="1016"/>
      <c r="B102" s="1017"/>
      <c r="C102" s="319"/>
      <c r="D102" s="320"/>
    </row>
    <row r="103" spans="1:5" x14ac:dyDescent="0.25">
      <c r="B103" s="234"/>
      <c r="C103" s="51"/>
      <c r="D103" s="48"/>
    </row>
    <row r="104" spans="1:5" x14ac:dyDescent="0.25">
      <c r="B104" s="8"/>
      <c r="D104" s="48"/>
    </row>
    <row r="105" spans="1:5" x14ac:dyDescent="0.25">
      <c r="B105" s="8"/>
      <c r="D105" s="48"/>
    </row>
    <row r="106" spans="1:5" x14ac:dyDescent="0.25">
      <c r="B106" s="8"/>
      <c r="D106" s="48"/>
    </row>
    <row r="107" spans="1:5" x14ac:dyDescent="0.25">
      <c r="B107" s="8"/>
      <c r="D107" s="48"/>
    </row>
    <row r="108" spans="1:5" x14ac:dyDescent="0.25">
      <c r="B108" s="8"/>
      <c r="D108" s="48"/>
    </row>
    <row r="109" spans="1:5" x14ac:dyDescent="0.25">
      <c r="B109" s="8"/>
      <c r="D109" s="48"/>
    </row>
    <row r="110" spans="1:5" x14ac:dyDescent="0.25">
      <c r="B110" s="8"/>
      <c r="D110" s="48"/>
    </row>
    <row r="111" spans="1:5" x14ac:dyDescent="0.25">
      <c r="B111" s="8"/>
      <c r="D111" s="48"/>
    </row>
    <row r="112" spans="1:5" x14ac:dyDescent="0.25">
      <c r="D112" s="48"/>
    </row>
  </sheetData>
  <mergeCells count="45">
    <mergeCell ref="H60:J60"/>
    <mergeCell ref="A89:B89"/>
    <mergeCell ref="A70:B70"/>
    <mergeCell ref="A102:B102"/>
    <mergeCell ref="A98:B98"/>
    <mergeCell ref="A95:B95"/>
    <mergeCell ref="A96:B96"/>
    <mergeCell ref="A97:B97"/>
    <mergeCell ref="A99:B99"/>
    <mergeCell ref="A100:B100"/>
    <mergeCell ref="A101:B101"/>
    <mergeCell ref="A94:B94"/>
    <mergeCell ref="A73:B73"/>
    <mergeCell ref="A71:B71"/>
    <mergeCell ref="A75:B75"/>
    <mergeCell ref="A66:B66"/>
    <mergeCell ref="A83:B83"/>
    <mergeCell ref="A85:B85"/>
    <mergeCell ref="A78:B78"/>
    <mergeCell ref="B53:D53"/>
    <mergeCell ref="B54:D54"/>
    <mergeCell ref="B55:D55"/>
    <mergeCell ref="A63:B63"/>
    <mergeCell ref="A67:B67"/>
    <mergeCell ref="A69:B69"/>
    <mergeCell ref="A72:B72"/>
    <mergeCell ref="A74:B74"/>
    <mergeCell ref="A84:B84"/>
    <mergeCell ref="A82:B82"/>
    <mergeCell ref="A88:B88"/>
    <mergeCell ref="A86:B86"/>
    <mergeCell ref="H58:J58"/>
    <mergeCell ref="A77:B77"/>
    <mergeCell ref="A93:B93"/>
    <mergeCell ref="A76:B76"/>
    <mergeCell ref="A79:B79"/>
    <mergeCell ref="A92:B92"/>
    <mergeCell ref="A91:B91"/>
    <mergeCell ref="H59:J59"/>
    <mergeCell ref="A64:B64"/>
    <mergeCell ref="A65:B65"/>
    <mergeCell ref="A68:B68"/>
    <mergeCell ref="A87:B87"/>
    <mergeCell ref="A81:B81"/>
    <mergeCell ref="A80:B80"/>
  </mergeCells>
  <phoneticPr fontId="13" type="noConversion"/>
  <pageMargins left="0.75" right="0.75" top="0.53" bottom="1" header="0.5" footer="0.34"/>
  <pageSetup scale="26" orientation="portrait" r:id="rId1"/>
  <headerFooter alignWithMargins="0">
    <oddFooter>&amp;F</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A641E-967C-4BB6-9C4A-1E5F0AA18330}">
  <sheetPr>
    <tabColor rgb="FFFFFF00"/>
  </sheetPr>
  <dimension ref="A1:P440"/>
  <sheetViews>
    <sheetView topLeftCell="A321" zoomScale="90" zoomScaleNormal="90" workbookViewId="0">
      <selection activeCell="G340" sqref="G340"/>
    </sheetView>
  </sheetViews>
  <sheetFormatPr defaultColWidth="9.1796875" defaultRowHeight="12.5" x14ac:dyDescent="0.25"/>
  <cols>
    <col min="1" max="1" width="24.26953125" style="81" bestFit="1" customWidth="1"/>
    <col min="2" max="2" width="24.81640625" style="81" bestFit="1" customWidth="1"/>
    <col min="3" max="3" width="19.26953125" style="81" bestFit="1" customWidth="1"/>
    <col min="4" max="4" width="9.54296875" style="81" bestFit="1" customWidth="1"/>
    <col min="5" max="5" width="18.54296875" style="81" bestFit="1" customWidth="1"/>
    <col min="6" max="6" width="8.81640625" style="81" bestFit="1" customWidth="1"/>
    <col min="7" max="7" width="7.81640625" style="81" customWidth="1"/>
    <col min="8" max="8" width="8.453125" style="81" bestFit="1" customWidth="1"/>
    <col min="9" max="9" width="9.26953125" style="81" customWidth="1"/>
    <col min="10" max="10" width="9.7265625" style="81" customWidth="1"/>
    <col min="11" max="11" width="44.36328125" style="81" customWidth="1"/>
    <col min="12" max="12" width="6.7265625" style="81" customWidth="1"/>
    <col min="13" max="13" width="6.81640625" style="81" customWidth="1"/>
    <col min="14" max="14" width="7.26953125" style="81" bestFit="1" customWidth="1"/>
    <col min="15" max="16384" width="9.1796875" style="81"/>
  </cols>
  <sheetData>
    <row r="1" spans="1:16" s="24" customFormat="1" ht="16" thickBot="1" x14ac:dyDescent="0.3">
      <c r="A1" s="508" t="s">
        <v>173</v>
      </c>
      <c r="B1" s="1039" t="s">
        <v>174</v>
      </c>
      <c r="C1" s="1039"/>
      <c r="D1" s="1039"/>
      <c r="E1" s="1039"/>
      <c r="F1" s="1039"/>
      <c r="G1" s="1039"/>
      <c r="H1" s="1039"/>
      <c r="I1" s="1039"/>
      <c r="J1" s="1039"/>
      <c r="K1" s="1039"/>
      <c r="L1" s="1039"/>
      <c r="M1" s="1039"/>
      <c r="N1" s="1039"/>
    </row>
    <row r="2" spans="1:16" customFormat="1" ht="13.5" thickBot="1" x14ac:dyDescent="0.35">
      <c r="A2" s="35" t="s">
        <v>175</v>
      </c>
      <c r="B2" s="1040" t="s">
        <v>176</v>
      </c>
      <c r="C2" s="1040"/>
      <c r="D2" s="1040"/>
      <c r="E2" s="1040"/>
      <c r="F2" s="1040"/>
      <c r="G2" s="1040"/>
      <c r="H2" s="7"/>
      <c r="K2" s="518" t="s">
        <v>177</v>
      </c>
      <c r="L2" s="519" t="s">
        <v>29</v>
      </c>
      <c r="M2" s="520"/>
    </row>
    <row r="3" spans="1:16" customFormat="1" ht="13.5" thickBot="1" x14ac:dyDescent="0.35">
      <c r="A3" s="509" t="s">
        <v>178</v>
      </c>
      <c r="B3" s="510">
        <v>33.958599999999997</v>
      </c>
      <c r="C3" s="3"/>
      <c r="D3" s="3"/>
      <c r="E3" s="3"/>
      <c r="F3" s="3"/>
      <c r="G3" s="3"/>
      <c r="H3" s="7"/>
      <c r="I3" s="3"/>
      <c r="K3" s="344" t="s">
        <v>179</v>
      </c>
      <c r="L3" s="136" t="s">
        <v>29</v>
      </c>
      <c r="M3" s="522"/>
    </row>
    <row r="4" spans="1:16" customFormat="1" ht="13" x14ac:dyDescent="0.3">
      <c r="A4" s="35" t="s">
        <v>180</v>
      </c>
      <c r="B4" s="39">
        <v>0</v>
      </c>
      <c r="C4" s="3"/>
      <c r="D4" s="3"/>
      <c r="E4" s="3"/>
      <c r="F4" s="3"/>
      <c r="G4" s="3"/>
      <c r="H4" s="7"/>
      <c r="I4" s="3"/>
      <c r="K4" s="344" t="s">
        <v>181</v>
      </c>
      <c r="L4" s="137"/>
      <c r="M4" s="340"/>
    </row>
    <row r="5" spans="1:16" customFormat="1" ht="13" x14ac:dyDescent="0.3">
      <c r="A5" s="35"/>
      <c r="B5" s="39"/>
      <c r="C5" s="3"/>
      <c r="D5" s="3"/>
      <c r="E5" s="3"/>
      <c r="F5" s="3"/>
      <c r="G5" s="3"/>
      <c r="H5" s="7"/>
      <c r="I5" s="3"/>
      <c r="K5" s="344" t="s">
        <v>182</v>
      </c>
      <c r="L5" s="524" t="s">
        <v>29</v>
      </c>
      <c r="M5" s="525"/>
    </row>
    <row r="6" spans="1:16" customFormat="1" ht="13" x14ac:dyDescent="0.3">
      <c r="A6" s="35"/>
      <c r="B6" s="39"/>
      <c r="C6" s="3"/>
      <c r="D6" s="3"/>
      <c r="E6" s="3"/>
      <c r="F6" s="3"/>
      <c r="G6" s="3"/>
      <c r="H6" s="7"/>
      <c r="I6" s="3"/>
      <c r="K6" s="344" t="s">
        <v>183</v>
      </c>
      <c r="L6" s="524"/>
      <c r="M6" s="525"/>
    </row>
    <row r="7" spans="1:16" customFormat="1" ht="13" x14ac:dyDescent="0.3">
      <c r="A7" s="35"/>
      <c r="B7" s="39"/>
      <c r="C7" s="3"/>
      <c r="D7" s="3"/>
      <c r="E7" s="3"/>
      <c r="F7" s="3"/>
      <c r="G7" s="3"/>
      <c r="H7" s="7"/>
      <c r="I7" s="3"/>
      <c r="K7" s="344" t="s">
        <v>184</v>
      </c>
      <c r="L7" s="526">
        <v>6</v>
      </c>
      <c r="M7" s="525"/>
    </row>
    <row r="8" spans="1:16" customFormat="1" ht="13" x14ac:dyDescent="0.3">
      <c r="A8" s="35"/>
      <c r="B8" s="39"/>
      <c r="C8" s="3"/>
      <c r="D8" s="3"/>
      <c r="E8" s="3"/>
      <c r="F8" s="3"/>
      <c r="G8" s="3"/>
      <c r="H8" s="7"/>
      <c r="I8" s="3"/>
      <c r="K8" s="344" t="s">
        <v>185</v>
      </c>
      <c r="L8" s="526">
        <v>1</v>
      </c>
      <c r="M8" s="525"/>
    </row>
    <row r="9" spans="1:16" customFormat="1" ht="13" x14ac:dyDescent="0.3">
      <c r="A9" s="35"/>
      <c r="B9" s="39"/>
      <c r="C9" s="3"/>
      <c r="D9" s="3"/>
      <c r="E9" s="3"/>
      <c r="F9" s="3"/>
      <c r="G9" s="3"/>
      <c r="H9" s="7"/>
      <c r="I9" s="3"/>
      <c r="K9" s="344" t="s">
        <v>186</v>
      </c>
      <c r="L9" s="561"/>
      <c r="M9" s="525"/>
    </row>
    <row r="10" spans="1:16" customFormat="1" ht="13" x14ac:dyDescent="0.3">
      <c r="A10" s="35"/>
      <c r="B10" s="39"/>
      <c r="C10" s="3"/>
      <c r="D10" s="3"/>
      <c r="E10" s="3"/>
      <c r="F10" s="3"/>
      <c r="G10" s="3"/>
      <c r="H10" s="7"/>
      <c r="I10" s="3"/>
      <c r="K10" s="344" t="s">
        <v>187</v>
      </c>
      <c r="L10" s="524"/>
      <c r="M10" s="525"/>
    </row>
    <row r="11" spans="1:16" customFormat="1" ht="13" x14ac:dyDescent="0.3">
      <c r="A11" s="35"/>
      <c r="B11" s="39"/>
      <c r="C11" s="3"/>
      <c r="D11" s="3"/>
      <c r="E11" s="3"/>
      <c r="F11" s="3"/>
      <c r="G11" s="3"/>
      <c r="H11" s="7"/>
      <c r="I11" s="3"/>
      <c r="K11" s="796" t="s">
        <v>188</v>
      </c>
      <c r="L11" s="797" t="s">
        <v>29</v>
      </c>
      <c r="M11" s="798"/>
    </row>
    <row r="12" spans="1:16" customFormat="1" ht="13" x14ac:dyDescent="0.3">
      <c r="A12" s="35"/>
      <c r="B12" s="39"/>
      <c r="C12" s="3"/>
      <c r="D12" s="3"/>
      <c r="E12" s="3"/>
      <c r="F12" s="3"/>
      <c r="G12" s="3"/>
      <c r="H12" s="7"/>
      <c r="I12" s="3"/>
      <c r="K12" s="395"/>
      <c r="L12" s="799"/>
      <c r="M12" s="537"/>
    </row>
    <row r="13" spans="1:16" customFormat="1" ht="13.5" thickBot="1" x14ac:dyDescent="0.35">
      <c r="A13" s="35"/>
      <c r="B13" s="39"/>
      <c r="C13" s="3"/>
      <c r="D13" s="3"/>
      <c r="E13" s="3"/>
      <c r="F13" s="3"/>
      <c r="G13" s="3"/>
      <c r="H13" s="7"/>
      <c r="I13" s="3"/>
      <c r="K13" s="81"/>
      <c r="L13" s="81"/>
      <c r="M13" s="81"/>
    </row>
    <row r="14" spans="1:16" customFormat="1" ht="14" x14ac:dyDescent="0.3">
      <c r="A14" s="35" t="s">
        <v>189</v>
      </c>
      <c r="B14" s="1048" t="s">
        <v>190</v>
      </c>
      <c r="C14" s="1049"/>
      <c r="D14" s="1049"/>
      <c r="E14" s="1049"/>
      <c r="F14" s="1049"/>
      <c r="G14" s="1050"/>
      <c r="H14" s="7"/>
      <c r="I14" s="3"/>
      <c r="K14" s="81"/>
      <c r="L14" s="81"/>
      <c r="M14" s="81"/>
    </row>
    <row r="15" spans="1:16" customFormat="1" ht="13.5" thickBot="1" x14ac:dyDescent="0.35">
      <c r="A15" s="35"/>
      <c r="B15" s="780" t="s">
        <v>191</v>
      </c>
      <c r="C15" s="781"/>
      <c r="D15" s="782" t="s">
        <v>192</v>
      </c>
      <c r="E15" s="783"/>
      <c r="F15" s="782" t="s">
        <v>193</v>
      </c>
      <c r="G15" s="784"/>
      <c r="H15" s="7"/>
      <c r="I15" s="3"/>
      <c r="K15" s="81"/>
      <c r="L15" s="81"/>
      <c r="M15" s="81"/>
    </row>
    <row r="16" spans="1:16" customFormat="1" ht="13" x14ac:dyDescent="0.3">
      <c r="A16" s="35"/>
      <c r="B16" s="785" t="s">
        <v>194</v>
      </c>
      <c r="C16" s="786"/>
      <c r="D16" s="787">
        <v>0.36559999999999998</v>
      </c>
      <c r="E16" s="787"/>
      <c r="F16" s="788">
        <v>0.34399999999999997</v>
      </c>
      <c r="G16" s="789"/>
      <c r="H16" s="778" t="s">
        <v>195</v>
      </c>
      <c r="I16" s="778"/>
      <c r="J16" s="778"/>
      <c r="K16" s="778"/>
      <c r="L16" s="778"/>
      <c r="M16" s="778"/>
      <c r="N16" s="778"/>
      <c r="O16" s="778"/>
      <c r="P16" s="778"/>
    </row>
    <row r="17" spans="1:16" customFormat="1" ht="13" x14ac:dyDescent="0.3">
      <c r="A17" s="35"/>
      <c r="B17" s="751" t="s">
        <v>196</v>
      </c>
      <c r="C17" s="752"/>
      <c r="D17" s="753">
        <v>0.5806</v>
      </c>
      <c r="E17" s="753"/>
      <c r="F17" s="754">
        <v>0.55920000000000003</v>
      </c>
      <c r="G17" s="755"/>
      <c r="H17" s="778" t="s">
        <v>195</v>
      </c>
      <c r="I17" s="778"/>
      <c r="J17" s="778"/>
      <c r="K17" s="778"/>
      <c r="L17" s="778"/>
      <c r="M17" s="778"/>
      <c r="N17" s="778"/>
      <c r="O17" s="778"/>
      <c r="P17" s="778"/>
    </row>
    <row r="18" spans="1:16" customFormat="1" ht="13.5" thickBot="1" x14ac:dyDescent="0.35">
      <c r="A18" s="35"/>
      <c r="B18" s="756" t="s">
        <v>197</v>
      </c>
      <c r="C18" s="757"/>
      <c r="D18" s="758">
        <v>0.6452</v>
      </c>
      <c r="E18" s="758"/>
      <c r="F18" s="759">
        <v>0.6452</v>
      </c>
      <c r="G18" s="760"/>
      <c r="H18" s="1047" t="s">
        <v>195</v>
      </c>
      <c r="I18" s="1047"/>
      <c r="J18" s="1047"/>
      <c r="K18" s="1047"/>
      <c r="L18" s="1047"/>
      <c r="M18" s="1047"/>
      <c r="N18" s="1047"/>
      <c r="O18" s="1047"/>
      <c r="P18" s="1047"/>
    </row>
    <row r="19" spans="1:16" customFormat="1" ht="13" x14ac:dyDescent="0.3">
      <c r="A19" s="35"/>
      <c r="B19" s="511" t="s">
        <v>198</v>
      </c>
      <c r="C19" s="77"/>
      <c r="D19" s="321"/>
      <c r="E19" s="321"/>
      <c r="F19" s="322"/>
      <c r="G19" s="322"/>
    </row>
    <row r="20" spans="1:16" customFormat="1" ht="13.5" thickBot="1" x14ac:dyDescent="0.35">
      <c r="A20" s="35"/>
      <c r="B20" s="1043"/>
      <c r="C20" s="1043"/>
      <c r="D20" s="1044"/>
      <c r="E20" s="1044"/>
      <c r="F20" s="1045"/>
      <c r="G20" s="1045"/>
      <c r="H20" s="44"/>
      <c r="I20" s="43"/>
    </row>
    <row r="21" spans="1:16" customFormat="1" ht="16" thickBot="1" x14ac:dyDescent="0.35">
      <c r="A21" s="512" t="s">
        <v>173</v>
      </c>
      <c r="B21" s="1039" t="s">
        <v>199</v>
      </c>
      <c r="C21" s="1039"/>
      <c r="D21" s="1039"/>
      <c r="E21" s="1039"/>
      <c r="F21" s="1039"/>
      <c r="G21" s="1039"/>
      <c r="H21" s="1039"/>
      <c r="I21" s="1039"/>
      <c r="J21" s="1039"/>
      <c r="K21" s="1039"/>
      <c r="L21" s="1039"/>
      <c r="M21" s="1039"/>
      <c r="N21" s="1046"/>
    </row>
    <row r="22" spans="1:16" customFormat="1" ht="13.5" thickBot="1" x14ac:dyDescent="0.35">
      <c r="A22" s="35" t="s">
        <v>175</v>
      </c>
      <c r="B22" s="1040" t="s">
        <v>200</v>
      </c>
      <c r="C22" s="1040"/>
      <c r="D22" s="1040"/>
      <c r="E22" s="1040"/>
      <c r="F22" s="1040"/>
      <c r="G22" s="1040"/>
      <c r="K22" s="518" t="s">
        <v>177</v>
      </c>
      <c r="L22" s="519" t="s">
        <v>29</v>
      </c>
      <c r="M22" s="520"/>
      <c r="N22" s="774"/>
    </row>
    <row r="23" spans="1:16" customFormat="1" ht="13.5" thickBot="1" x14ac:dyDescent="0.35">
      <c r="A23" s="509" t="s">
        <v>178</v>
      </c>
      <c r="B23" s="513">
        <v>30.5349</v>
      </c>
      <c r="C23" s="514"/>
      <c r="D23" s="514"/>
      <c r="E23" s="514"/>
      <c r="F23" s="514"/>
      <c r="G23" s="514"/>
      <c r="H23" s="44"/>
      <c r="I23" s="514"/>
      <c r="K23" s="344" t="s">
        <v>179</v>
      </c>
      <c r="L23" s="136" t="s">
        <v>29</v>
      </c>
      <c r="M23" s="522"/>
      <c r="N23" s="774"/>
    </row>
    <row r="24" spans="1:16" customFormat="1" ht="13" x14ac:dyDescent="0.3">
      <c r="A24" s="35"/>
      <c r="B24" s="773"/>
      <c r="C24" s="514"/>
      <c r="D24" s="514"/>
      <c r="E24" s="514"/>
      <c r="F24" s="514"/>
      <c r="G24" s="514"/>
      <c r="H24" s="44"/>
      <c r="I24" s="514"/>
      <c r="K24" s="344" t="s">
        <v>181</v>
      </c>
      <c r="L24" s="137"/>
      <c r="M24" s="340"/>
      <c r="N24" s="774"/>
    </row>
    <row r="25" spans="1:16" customFormat="1" ht="13" x14ac:dyDescent="0.3">
      <c r="A25" s="35"/>
      <c r="B25" s="773"/>
      <c r="C25" s="514"/>
      <c r="D25" s="514"/>
      <c r="E25" s="514"/>
      <c r="F25" s="514"/>
      <c r="G25" s="514"/>
      <c r="H25" s="44"/>
      <c r="I25" s="514"/>
      <c r="K25" s="344" t="s">
        <v>182</v>
      </c>
      <c r="L25" s="524" t="s">
        <v>29</v>
      </c>
      <c r="M25" s="525"/>
      <c r="N25" s="774"/>
    </row>
    <row r="26" spans="1:16" customFormat="1" ht="13" x14ac:dyDescent="0.3">
      <c r="A26" s="35"/>
      <c r="B26" s="773"/>
      <c r="C26" s="514"/>
      <c r="D26" s="514"/>
      <c r="E26" s="514"/>
      <c r="F26" s="514"/>
      <c r="G26" s="514"/>
      <c r="H26" s="44"/>
      <c r="I26" s="514"/>
      <c r="K26" s="344" t="s">
        <v>183</v>
      </c>
      <c r="L26" s="524"/>
      <c r="M26" s="525"/>
      <c r="N26" s="774"/>
    </row>
    <row r="27" spans="1:16" customFormat="1" ht="13" x14ac:dyDescent="0.3">
      <c r="A27" s="35"/>
      <c r="B27" s="773"/>
      <c r="C27" s="514"/>
      <c r="D27" s="514"/>
      <c r="E27" s="514"/>
      <c r="F27" s="514"/>
      <c r="G27" s="514"/>
      <c r="H27" s="44"/>
      <c r="I27" s="514"/>
      <c r="K27" s="344" t="s">
        <v>184</v>
      </c>
      <c r="L27" s="526">
        <v>7</v>
      </c>
      <c r="M27" s="525"/>
      <c r="N27" s="774"/>
    </row>
    <row r="28" spans="1:16" customFormat="1" ht="13" x14ac:dyDescent="0.3">
      <c r="A28" s="35"/>
      <c r="B28" s="773"/>
      <c r="C28" s="514"/>
      <c r="D28" s="514"/>
      <c r="E28" s="514"/>
      <c r="F28" s="514"/>
      <c r="G28" s="514"/>
      <c r="H28" s="44"/>
      <c r="I28" s="514"/>
      <c r="K28" s="344" t="s">
        <v>185</v>
      </c>
      <c r="L28" s="526">
        <v>1</v>
      </c>
      <c r="M28" s="525"/>
      <c r="N28" s="774"/>
    </row>
    <row r="29" spans="1:16" customFormat="1" ht="13" x14ac:dyDescent="0.3">
      <c r="A29" s="35"/>
      <c r="B29" s="773"/>
      <c r="C29" s="514"/>
      <c r="D29" s="514"/>
      <c r="E29" s="514"/>
      <c r="F29" s="514"/>
      <c r="G29" s="514"/>
      <c r="H29" s="44"/>
      <c r="I29" s="514"/>
      <c r="K29" s="344" t="s">
        <v>186</v>
      </c>
      <c r="L29" s="561"/>
      <c r="M29" s="525"/>
      <c r="N29" s="774"/>
    </row>
    <row r="30" spans="1:16" customFormat="1" ht="13" x14ac:dyDescent="0.3">
      <c r="A30" s="35"/>
      <c r="B30" s="773"/>
      <c r="C30" s="514"/>
      <c r="D30" s="514"/>
      <c r="E30" s="514"/>
      <c r="F30" s="514"/>
      <c r="G30" s="514"/>
      <c r="H30" s="44"/>
      <c r="I30" s="514"/>
      <c r="K30" s="344" t="s">
        <v>187</v>
      </c>
      <c r="L30" s="524"/>
      <c r="M30" s="525"/>
      <c r="N30" s="774"/>
    </row>
    <row r="31" spans="1:16" customFormat="1" ht="13.5" thickBot="1" x14ac:dyDescent="0.35">
      <c r="A31" s="779"/>
      <c r="B31" s="775"/>
      <c r="C31" s="41"/>
      <c r="D31" s="41"/>
      <c r="E31" s="41"/>
      <c r="F31" s="41"/>
      <c r="G31" s="41"/>
      <c r="H31" s="40"/>
      <c r="I31" s="41"/>
      <c r="J31" s="776"/>
      <c r="K31" s="533" t="s">
        <v>188</v>
      </c>
      <c r="L31" s="534" t="s">
        <v>29</v>
      </c>
      <c r="M31" s="535"/>
      <c r="N31" s="777"/>
    </row>
    <row r="32" spans="1:16" customFormat="1" ht="13" x14ac:dyDescent="0.3">
      <c r="A32" s="35"/>
      <c r="B32" s="773"/>
      <c r="C32" s="514"/>
      <c r="D32" s="514"/>
      <c r="E32" s="514"/>
      <c r="F32" s="514"/>
      <c r="G32" s="514"/>
      <c r="H32" s="44"/>
      <c r="I32" s="514"/>
    </row>
    <row r="33" spans="1:15" customFormat="1" ht="13.5" thickBot="1" x14ac:dyDescent="0.35">
      <c r="A33" s="35"/>
      <c r="B33" s="42"/>
      <c r="C33" s="514"/>
      <c r="D33" s="514"/>
      <c r="E33" s="514"/>
      <c r="F33" s="514"/>
      <c r="G33" s="514"/>
      <c r="H33" s="44"/>
      <c r="I33" s="514"/>
    </row>
    <row r="34" spans="1:15" ht="21.75" customHeight="1" thickBot="1" x14ac:dyDescent="0.3">
      <c r="A34" s="515" t="s">
        <v>173</v>
      </c>
      <c r="B34" s="1041" t="s">
        <v>201</v>
      </c>
      <c r="C34" s="1041"/>
      <c r="D34" s="1041"/>
      <c r="E34" s="1041"/>
      <c r="F34" s="1041"/>
      <c r="G34" s="1041"/>
      <c r="H34" s="1041"/>
      <c r="I34" s="1041"/>
      <c r="J34" s="1041"/>
      <c r="K34" s="1041"/>
      <c r="L34" s="1041"/>
      <c r="M34" s="1041"/>
      <c r="N34" s="1042"/>
    </row>
    <row r="35" spans="1:15" ht="12" customHeight="1" x14ac:dyDescent="0.25">
      <c r="A35" s="516" t="s">
        <v>202</v>
      </c>
      <c r="B35" s="82" t="s">
        <v>200</v>
      </c>
      <c r="C35" s="517"/>
      <c r="D35" s="517"/>
      <c r="E35" s="517"/>
      <c r="F35" s="517"/>
      <c r="G35" s="517"/>
      <c r="H35" s="517"/>
      <c r="I35" s="517"/>
      <c r="J35" s="517"/>
      <c r="K35" s="518" t="s">
        <v>177</v>
      </c>
      <c r="L35" s="519" t="s">
        <v>29</v>
      </c>
      <c r="M35" s="520"/>
      <c r="N35" s="521"/>
    </row>
    <row r="36" spans="1:15" ht="12" customHeight="1" x14ac:dyDescent="0.25">
      <c r="A36" s="516" t="s">
        <v>203</v>
      </c>
      <c r="B36" s="82" t="s">
        <v>204</v>
      </c>
      <c r="C36" s="517"/>
      <c r="D36" s="517"/>
      <c r="E36" s="517"/>
      <c r="F36" s="517"/>
      <c r="G36" s="517"/>
      <c r="H36" s="517"/>
      <c r="I36" s="517"/>
      <c r="J36" s="517"/>
      <c r="K36" s="344" t="s">
        <v>179</v>
      </c>
      <c r="L36" s="136" t="s">
        <v>29</v>
      </c>
      <c r="M36" s="522"/>
      <c r="N36" s="521"/>
    </row>
    <row r="37" spans="1:15" ht="12" customHeight="1" x14ac:dyDescent="0.25">
      <c r="A37" s="516" t="s">
        <v>205</v>
      </c>
      <c r="B37" s="82" t="s">
        <v>206</v>
      </c>
      <c r="C37" s="517"/>
      <c r="D37" s="517"/>
      <c r="E37" s="517"/>
      <c r="F37" s="517"/>
      <c r="G37" s="517"/>
      <c r="H37" s="517"/>
      <c r="I37" s="517"/>
      <c r="J37" s="517"/>
      <c r="K37" s="344" t="s">
        <v>181</v>
      </c>
      <c r="L37" s="137"/>
      <c r="M37" s="340"/>
      <c r="N37" s="521"/>
    </row>
    <row r="38" spans="1:15" ht="12" customHeight="1" x14ac:dyDescent="0.3">
      <c r="A38" s="516" t="s">
        <v>207</v>
      </c>
      <c r="B38" s="523" t="s">
        <v>208</v>
      </c>
      <c r="C38" s="517"/>
      <c r="D38" s="517"/>
      <c r="E38" s="517"/>
      <c r="F38" s="517"/>
      <c r="G38" s="517"/>
      <c r="H38" s="517"/>
      <c r="I38" s="517"/>
      <c r="J38" s="517"/>
      <c r="K38" s="344" t="s">
        <v>182</v>
      </c>
      <c r="L38" s="524" t="s">
        <v>29</v>
      </c>
      <c r="M38" s="525"/>
      <c r="N38" s="521"/>
    </row>
    <row r="39" spans="1:15" ht="12" customHeight="1" x14ac:dyDescent="0.3">
      <c r="A39" s="516" t="s">
        <v>187</v>
      </c>
      <c r="B39" s="82" t="s">
        <v>209</v>
      </c>
      <c r="C39" s="517"/>
      <c r="D39" s="517"/>
      <c r="E39" s="517"/>
      <c r="F39" s="517"/>
      <c r="G39" s="517"/>
      <c r="H39" s="517"/>
      <c r="I39" s="517"/>
      <c r="J39" s="349"/>
      <c r="K39" s="344" t="s">
        <v>183</v>
      </c>
      <c r="L39" s="524"/>
      <c r="M39" s="525"/>
      <c r="N39" s="521"/>
    </row>
    <row r="40" spans="1:15" ht="13" x14ac:dyDescent="0.3">
      <c r="A40" s="516" t="s">
        <v>210</v>
      </c>
      <c r="B40" s="81" t="s">
        <v>211</v>
      </c>
      <c r="K40" s="344" t="s">
        <v>184</v>
      </c>
      <c r="L40" s="526">
        <v>1</v>
      </c>
      <c r="M40" s="525"/>
      <c r="N40" s="521"/>
    </row>
    <row r="41" spans="1:15" ht="13.15" customHeight="1" x14ac:dyDescent="0.3">
      <c r="A41" s="516"/>
      <c r="B41" s="1051"/>
      <c r="C41" s="1051"/>
      <c r="D41" s="1051"/>
      <c r="E41" s="1051"/>
      <c r="F41" s="1051"/>
      <c r="G41" s="1051"/>
      <c r="H41" s="1051"/>
      <c r="I41" s="1051"/>
      <c r="J41" s="1052"/>
      <c r="K41" s="344" t="s">
        <v>185</v>
      </c>
      <c r="L41" s="526">
        <v>1</v>
      </c>
      <c r="M41" s="525"/>
      <c r="N41" s="521"/>
    </row>
    <row r="42" spans="1:15" ht="13.5" thickBot="1" x14ac:dyDescent="0.35">
      <c r="A42" s="516"/>
      <c r="B42" s="119"/>
      <c r="C42" s="119"/>
      <c r="D42" s="119"/>
      <c r="E42" s="119"/>
      <c r="F42" s="119"/>
      <c r="G42" s="119"/>
      <c r="H42" s="119"/>
      <c r="I42" s="119"/>
      <c r="J42" s="119"/>
      <c r="K42" s="344" t="s">
        <v>186</v>
      </c>
      <c r="L42" s="561"/>
      <c r="M42" s="525"/>
      <c r="N42" s="521"/>
    </row>
    <row r="43" spans="1:15" s="84" customFormat="1" ht="13.5" customHeight="1" thickBot="1" x14ac:dyDescent="0.35">
      <c r="A43" s="527" t="s">
        <v>212</v>
      </c>
      <c r="B43" s="528">
        <v>39.006900000000002</v>
      </c>
      <c r="C43" s="529"/>
      <c r="D43" s="529"/>
      <c r="E43" s="530"/>
      <c r="F43" s="530"/>
      <c r="G43" s="530"/>
      <c r="H43" s="530"/>
      <c r="I43" s="530"/>
      <c r="J43" s="530"/>
      <c r="K43" s="344" t="s">
        <v>187</v>
      </c>
      <c r="L43" s="524"/>
      <c r="M43" s="525"/>
      <c r="N43" s="531"/>
    </row>
    <row r="44" spans="1:15" ht="13.5" thickBot="1" x14ac:dyDescent="0.35">
      <c r="A44" s="516"/>
      <c r="B44" s="349"/>
      <c r="C44" s="532"/>
      <c r="D44" s="532"/>
      <c r="E44" s="349"/>
      <c r="F44" s="349"/>
      <c r="G44" s="349"/>
      <c r="H44" s="349"/>
      <c r="I44" s="349"/>
      <c r="J44" s="349"/>
      <c r="K44" s="533" t="s">
        <v>188</v>
      </c>
      <c r="L44" s="581" t="s">
        <v>29</v>
      </c>
      <c r="M44" s="535"/>
      <c r="N44" s="521"/>
    </row>
    <row r="45" spans="1:15" ht="13.5" thickBot="1" x14ac:dyDescent="0.35">
      <c r="A45" s="516"/>
      <c r="B45" s="349"/>
      <c r="C45" s="532"/>
      <c r="D45" s="532"/>
      <c r="E45" s="349"/>
      <c r="F45" s="349"/>
      <c r="G45" s="349"/>
      <c r="H45" s="349"/>
      <c r="I45" s="349"/>
      <c r="J45" s="349"/>
      <c r="K45" s="395"/>
      <c r="L45" s="536"/>
      <c r="M45" s="537"/>
      <c r="N45" s="521"/>
    </row>
    <row r="46" spans="1:15" s="84" customFormat="1" ht="32.25" customHeight="1" thickBot="1" x14ac:dyDescent="0.4">
      <c r="A46" s="538" t="s">
        <v>213</v>
      </c>
      <c r="B46" s="539" t="s">
        <v>214</v>
      </c>
      <c r="C46" s="540" t="s">
        <v>215</v>
      </c>
      <c r="D46" s="540" t="s">
        <v>216</v>
      </c>
      <c r="E46" s="540" t="s">
        <v>217</v>
      </c>
      <c r="F46" s="540" t="s">
        <v>218</v>
      </c>
      <c r="G46" s="539" t="s">
        <v>219</v>
      </c>
      <c r="H46" s="539" t="s">
        <v>220</v>
      </c>
      <c r="I46" s="539" t="s">
        <v>221</v>
      </c>
      <c r="J46" s="539" t="s">
        <v>222</v>
      </c>
      <c r="K46" s="539" t="s">
        <v>223</v>
      </c>
      <c r="L46" s="539" t="s">
        <v>179</v>
      </c>
      <c r="M46" s="539" t="s">
        <v>177</v>
      </c>
      <c r="N46" s="541" t="s">
        <v>224</v>
      </c>
      <c r="O46" s="542"/>
    </row>
    <row r="47" spans="1:15" ht="14.5" x14ac:dyDescent="0.35">
      <c r="A47" s="543"/>
      <c r="B47" s="544"/>
      <c r="C47" s="545"/>
      <c r="D47" s="544">
        <v>0</v>
      </c>
      <c r="E47" s="544">
        <v>-1</v>
      </c>
      <c r="F47" s="545"/>
      <c r="G47" s="544"/>
      <c r="H47" s="544" t="s">
        <v>200</v>
      </c>
      <c r="I47" s="544">
        <v>0</v>
      </c>
      <c r="J47" s="544"/>
      <c r="K47" s="546">
        <v>0</v>
      </c>
      <c r="L47" s="544" t="s">
        <v>29</v>
      </c>
      <c r="M47" s="544" t="s">
        <v>29</v>
      </c>
      <c r="N47" s="951"/>
      <c r="O47" s="952"/>
    </row>
    <row r="48" spans="1:15" ht="14.5" x14ac:dyDescent="0.35">
      <c r="A48" s="583">
        <v>25000</v>
      </c>
      <c r="B48" s="584">
        <v>50000</v>
      </c>
      <c r="C48" s="585"/>
      <c r="D48" s="586">
        <v>1</v>
      </c>
      <c r="E48" s="587"/>
      <c r="F48" s="585"/>
      <c r="G48" s="586"/>
      <c r="H48" s="586" t="s">
        <v>200</v>
      </c>
      <c r="I48" s="586">
        <v>1</v>
      </c>
      <c r="J48" s="586"/>
      <c r="K48" s="587">
        <v>0</v>
      </c>
      <c r="L48" s="586" t="s">
        <v>29</v>
      </c>
      <c r="M48" s="586" t="s">
        <v>29</v>
      </c>
      <c r="N48" s="953"/>
      <c r="O48" s="952"/>
    </row>
    <row r="49" spans="1:15" ht="14.5" x14ac:dyDescent="0.35">
      <c r="A49" s="583">
        <v>30000</v>
      </c>
      <c r="B49" s="584">
        <v>60000</v>
      </c>
      <c r="C49" s="585"/>
      <c r="D49" s="586">
        <v>2</v>
      </c>
      <c r="E49" s="587"/>
      <c r="F49" s="585"/>
      <c r="G49" s="586"/>
      <c r="H49" s="586" t="s">
        <v>200</v>
      </c>
      <c r="I49" s="586">
        <v>1</v>
      </c>
      <c r="J49" s="586"/>
      <c r="K49" s="587">
        <v>0</v>
      </c>
      <c r="L49" s="586" t="s">
        <v>29</v>
      </c>
      <c r="M49" s="586" t="s">
        <v>29</v>
      </c>
      <c r="N49" s="953"/>
      <c r="O49" s="952"/>
    </row>
    <row r="50" spans="1:15" ht="15" thickBot="1" x14ac:dyDescent="0.4">
      <c r="A50" s="583">
        <v>50000</v>
      </c>
      <c r="B50" s="584">
        <v>100000</v>
      </c>
      <c r="C50" s="585"/>
      <c r="D50" s="586">
        <v>3</v>
      </c>
      <c r="E50" s="587"/>
      <c r="F50" s="588"/>
      <c r="G50" s="588"/>
      <c r="H50" s="586" t="s">
        <v>200</v>
      </c>
      <c r="I50" s="586">
        <v>1</v>
      </c>
      <c r="J50" s="586"/>
      <c r="K50" s="587">
        <v>0</v>
      </c>
      <c r="L50" s="586" t="s">
        <v>29</v>
      </c>
      <c r="M50" s="586" t="s">
        <v>29</v>
      </c>
      <c r="N50" s="953"/>
      <c r="O50" s="952"/>
    </row>
    <row r="51" spans="1:15" ht="14.5" x14ac:dyDescent="0.35">
      <c r="A51" s="583">
        <v>100000</v>
      </c>
      <c r="B51" s="584">
        <v>300000</v>
      </c>
      <c r="C51" s="585"/>
      <c r="D51" s="586">
        <v>4</v>
      </c>
      <c r="E51" s="587"/>
      <c r="F51" s="585" t="s">
        <v>29</v>
      </c>
      <c r="G51" s="586" t="s">
        <v>29</v>
      </c>
      <c r="H51" s="586" t="s">
        <v>200</v>
      </c>
      <c r="I51" s="586">
        <v>1</v>
      </c>
      <c r="J51" s="586"/>
      <c r="K51" s="587">
        <v>0</v>
      </c>
      <c r="L51" s="586" t="s">
        <v>29</v>
      </c>
      <c r="M51" s="586" t="s">
        <v>29</v>
      </c>
      <c r="N51" s="953"/>
      <c r="O51" s="952"/>
    </row>
    <row r="52" spans="1:15" ht="15" thickBot="1" x14ac:dyDescent="0.4">
      <c r="A52" s="583">
        <v>250000</v>
      </c>
      <c r="B52" s="584">
        <v>500000</v>
      </c>
      <c r="C52" s="585"/>
      <c r="D52" s="586">
        <v>5</v>
      </c>
      <c r="E52" s="587"/>
      <c r="F52" s="585"/>
      <c r="G52" s="586"/>
      <c r="H52" s="586" t="s">
        <v>200</v>
      </c>
      <c r="I52" s="586">
        <v>1</v>
      </c>
      <c r="J52" s="586"/>
      <c r="K52" s="587">
        <v>0</v>
      </c>
      <c r="L52" s="586" t="s">
        <v>29</v>
      </c>
      <c r="M52" s="586" t="s">
        <v>29</v>
      </c>
      <c r="N52" s="953"/>
      <c r="O52" s="952"/>
    </row>
    <row r="53" spans="1:15" ht="14.5" x14ac:dyDescent="0.35">
      <c r="A53" s="583">
        <v>300000</v>
      </c>
      <c r="B53" s="584">
        <v>300000</v>
      </c>
      <c r="C53" s="585"/>
      <c r="D53" s="586">
        <v>6</v>
      </c>
      <c r="E53" s="587"/>
      <c r="F53" s="585"/>
      <c r="G53" s="586"/>
      <c r="H53" s="586" t="s">
        <v>200</v>
      </c>
      <c r="I53" s="586">
        <v>1</v>
      </c>
      <c r="J53" s="586"/>
      <c r="K53" s="587">
        <v>0</v>
      </c>
      <c r="L53" s="586" t="s">
        <v>29</v>
      </c>
      <c r="M53" s="586" t="s">
        <v>29</v>
      </c>
      <c r="N53" s="953"/>
      <c r="O53" s="952"/>
    </row>
    <row r="54" spans="1:15" ht="14.5" x14ac:dyDescent="0.35">
      <c r="A54" s="583">
        <v>500000</v>
      </c>
      <c r="B54" s="584">
        <v>500000</v>
      </c>
      <c r="C54" s="585"/>
      <c r="D54" s="586">
        <v>7</v>
      </c>
      <c r="E54" s="587"/>
      <c r="F54" s="585"/>
      <c r="G54" s="586"/>
      <c r="H54" s="586" t="s">
        <v>200</v>
      </c>
      <c r="I54" s="586">
        <v>1</v>
      </c>
      <c r="J54" s="586"/>
      <c r="K54" s="587">
        <v>0</v>
      </c>
      <c r="L54" s="586" t="s">
        <v>29</v>
      </c>
      <c r="M54" s="586" t="s">
        <v>29</v>
      </c>
      <c r="N54" s="953"/>
      <c r="O54" s="952"/>
    </row>
    <row r="55" spans="1:15" ht="15" thickBot="1" x14ac:dyDescent="0.4">
      <c r="A55" s="589">
        <v>500000</v>
      </c>
      <c r="B55" s="590">
        <v>1000000</v>
      </c>
      <c r="C55" s="591"/>
      <c r="D55" s="592">
        <v>8</v>
      </c>
      <c r="E55" s="593"/>
      <c r="F55" s="591"/>
      <c r="G55" s="592"/>
      <c r="H55" s="592" t="s">
        <v>200</v>
      </c>
      <c r="I55" s="592">
        <v>1</v>
      </c>
      <c r="J55" s="592"/>
      <c r="K55" s="593">
        <v>0</v>
      </c>
      <c r="L55" s="592"/>
      <c r="M55" s="592"/>
      <c r="N55" s="954"/>
      <c r="O55" s="952"/>
    </row>
    <row r="56" spans="1:15" ht="13" x14ac:dyDescent="0.3">
      <c r="A56" s="258"/>
      <c r="B56" s="349"/>
      <c r="C56" s="532"/>
      <c r="D56" s="532"/>
      <c r="E56" s="349"/>
      <c r="F56" s="349"/>
      <c r="G56" s="349"/>
      <c r="H56" s="349"/>
      <c r="I56" s="349"/>
      <c r="J56" s="349"/>
      <c r="K56" s="395"/>
      <c r="L56" s="536"/>
      <c r="M56" s="537"/>
    </row>
    <row r="57" spans="1:15" ht="13" x14ac:dyDescent="0.3">
      <c r="A57" s="258"/>
      <c r="B57" s="349"/>
      <c r="C57" s="532"/>
      <c r="D57" s="532"/>
      <c r="E57" s="349"/>
      <c r="F57" s="349"/>
      <c r="G57" s="349"/>
      <c r="H57" s="349"/>
      <c r="I57" s="349"/>
      <c r="J57" s="349"/>
      <c r="K57" s="395"/>
      <c r="L57" s="536"/>
      <c r="M57" s="537"/>
    </row>
    <row r="58" spans="1:15" ht="13.5" thickBot="1" x14ac:dyDescent="0.35">
      <c r="A58" s="258"/>
      <c r="B58" s="349"/>
      <c r="C58" s="532"/>
      <c r="D58" s="532"/>
      <c r="E58" s="349"/>
      <c r="F58" s="349"/>
      <c r="G58" s="349"/>
      <c r="H58" s="349"/>
      <c r="I58" s="349"/>
      <c r="J58" s="349"/>
      <c r="K58" s="395"/>
      <c r="L58" s="536"/>
      <c r="M58" s="537"/>
    </row>
    <row r="59" spans="1:15" ht="21.75" customHeight="1" thickBot="1" x14ac:dyDescent="0.3">
      <c r="A59" s="515" t="s">
        <v>173</v>
      </c>
      <c r="B59" s="1041" t="s">
        <v>225</v>
      </c>
      <c r="C59" s="1041"/>
      <c r="D59" s="1041"/>
      <c r="E59" s="1041"/>
      <c r="F59" s="1041"/>
      <c r="G59" s="1041"/>
      <c r="H59" s="1041"/>
      <c r="I59" s="1041"/>
      <c r="J59" s="1041"/>
      <c r="K59" s="1041"/>
      <c r="L59" s="1041"/>
      <c r="M59" s="1041"/>
      <c r="N59" s="1042"/>
    </row>
    <row r="60" spans="1:15" ht="12" customHeight="1" x14ac:dyDescent="0.25">
      <c r="A60" s="516" t="s">
        <v>202</v>
      </c>
      <c r="B60" s="82" t="s">
        <v>200</v>
      </c>
      <c r="C60" s="517"/>
      <c r="D60" s="517"/>
      <c r="E60" s="517"/>
      <c r="F60" s="517"/>
      <c r="G60" s="517"/>
      <c r="H60" s="517"/>
      <c r="I60" s="517"/>
      <c r="J60" s="517"/>
      <c r="K60" s="518" t="s">
        <v>177</v>
      </c>
      <c r="L60" s="519" t="s">
        <v>29</v>
      </c>
      <c r="M60" s="520"/>
      <c r="N60" s="521"/>
    </row>
    <row r="61" spans="1:15" ht="12" customHeight="1" x14ac:dyDescent="0.25">
      <c r="A61" s="516" t="s">
        <v>203</v>
      </c>
      <c r="B61" s="82" t="s">
        <v>204</v>
      </c>
      <c r="C61" s="517"/>
      <c r="D61" s="517"/>
      <c r="E61" s="517"/>
      <c r="F61" s="517"/>
      <c r="G61" s="517"/>
      <c r="H61" s="517"/>
      <c r="I61" s="517"/>
      <c r="J61" s="517"/>
      <c r="K61" s="344" t="s">
        <v>179</v>
      </c>
      <c r="L61" s="136" t="s">
        <v>29</v>
      </c>
      <c r="M61" s="522"/>
      <c r="N61" s="521"/>
    </row>
    <row r="62" spans="1:15" ht="12" customHeight="1" x14ac:dyDescent="0.25">
      <c r="A62" s="516" t="s">
        <v>205</v>
      </c>
      <c r="B62" s="82" t="s">
        <v>206</v>
      </c>
      <c r="C62" s="517"/>
      <c r="D62" s="517"/>
      <c r="E62" s="517"/>
      <c r="F62" s="517"/>
      <c r="G62" s="517"/>
      <c r="H62" s="517"/>
      <c r="I62" s="517"/>
      <c r="J62" s="517"/>
      <c r="K62" s="344" t="s">
        <v>181</v>
      </c>
      <c r="L62" s="137"/>
      <c r="M62" s="340"/>
      <c r="N62" s="521"/>
    </row>
    <row r="63" spans="1:15" ht="12" customHeight="1" x14ac:dyDescent="0.3">
      <c r="A63" s="516" t="s">
        <v>207</v>
      </c>
      <c r="B63" s="523" t="s">
        <v>208</v>
      </c>
      <c r="C63" s="517"/>
      <c r="D63" s="517"/>
      <c r="E63" s="517"/>
      <c r="F63" s="517"/>
      <c r="G63" s="517"/>
      <c r="H63" s="517"/>
      <c r="I63" s="517"/>
      <c r="J63" s="517"/>
      <c r="K63" s="344" t="s">
        <v>182</v>
      </c>
      <c r="L63" s="524"/>
      <c r="M63" s="525"/>
      <c r="N63" s="521"/>
    </row>
    <row r="64" spans="1:15" ht="12" customHeight="1" x14ac:dyDescent="0.3">
      <c r="A64" s="516" t="s">
        <v>187</v>
      </c>
      <c r="B64" s="82" t="s">
        <v>209</v>
      </c>
      <c r="C64" s="517"/>
      <c r="D64" s="517"/>
      <c r="E64" s="517"/>
      <c r="F64" s="517"/>
      <c r="G64" s="517"/>
      <c r="H64" s="517"/>
      <c r="I64" s="517"/>
      <c r="J64" s="349"/>
      <c r="K64" s="344" t="s">
        <v>183</v>
      </c>
      <c r="L64" s="524"/>
      <c r="M64" s="525"/>
      <c r="N64" s="521"/>
    </row>
    <row r="65" spans="1:15" ht="13" x14ac:dyDescent="0.3">
      <c r="A65" s="516" t="s">
        <v>210</v>
      </c>
      <c r="B65" s="81" t="s">
        <v>211</v>
      </c>
      <c r="K65" s="344" t="s">
        <v>184</v>
      </c>
      <c r="L65" s="526">
        <v>1</v>
      </c>
      <c r="M65" s="525"/>
      <c r="N65" s="521"/>
    </row>
    <row r="66" spans="1:15" ht="13" x14ac:dyDescent="0.3">
      <c r="A66" s="516"/>
      <c r="B66" s="1051"/>
      <c r="C66" s="1051"/>
      <c r="D66" s="1051"/>
      <c r="E66" s="1051"/>
      <c r="F66" s="1051"/>
      <c r="G66" s="1051"/>
      <c r="H66" s="1051"/>
      <c r="I66" s="1051"/>
      <c r="J66" s="1051"/>
      <c r="K66" s="344" t="s">
        <v>185</v>
      </c>
      <c r="L66" s="526">
        <v>2</v>
      </c>
      <c r="M66" s="525"/>
      <c r="N66" s="521"/>
    </row>
    <row r="67" spans="1:15" ht="13.5" thickBot="1" x14ac:dyDescent="0.35">
      <c r="A67" s="516"/>
      <c r="B67" s="119"/>
      <c r="C67" s="119"/>
      <c r="D67" s="119"/>
      <c r="E67" s="119"/>
      <c r="F67" s="119"/>
      <c r="G67" s="119"/>
      <c r="H67" s="119"/>
      <c r="I67" s="119"/>
      <c r="J67" s="119"/>
      <c r="K67" s="344" t="s">
        <v>186</v>
      </c>
      <c r="L67" s="561"/>
      <c r="M67" s="525"/>
      <c r="N67" s="521"/>
    </row>
    <row r="68" spans="1:15" s="84" customFormat="1" ht="13.5" customHeight="1" thickBot="1" x14ac:dyDescent="0.35">
      <c r="A68" s="527" t="s">
        <v>212</v>
      </c>
      <c r="B68" s="528">
        <v>38.405299999999997</v>
      </c>
      <c r="C68" s="529"/>
      <c r="D68" s="529"/>
      <c r="E68" s="530"/>
      <c r="F68" s="530"/>
      <c r="G68" s="530"/>
      <c r="H68" s="530"/>
      <c r="I68" s="530"/>
      <c r="J68" s="530"/>
      <c r="K68" s="344" t="s">
        <v>187</v>
      </c>
      <c r="L68" s="524"/>
      <c r="M68" s="525"/>
      <c r="N68" s="531"/>
    </row>
    <row r="69" spans="1:15" ht="13.5" thickBot="1" x14ac:dyDescent="0.35">
      <c r="A69" s="516"/>
      <c r="B69" s="349"/>
      <c r="C69" s="532"/>
      <c r="D69" s="532"/>
      <c r="E69" s="349"/>
      <c r="F69" s="349"/>
      <c r="G69" s="349"/>
      <c r="H69" s="349"/>
      <c r="I69" s="349"/>
      <c r="J69" s="349"/>
      <c r="K69" s="533" t="s">
        <v>188</v>
      </c>
      <c r="L69" s="581" t="s">
        <v>29</v>
      </c>
      <c r="M69" s="535"/>
      <c r="N69" s="521"/>
    </row>
    <row r="70" spans="1:15" ht="13.5" thickBot="1" x14ac:dyDescent="0.35">
      <c r="A70" s="516"/>
      <c r="B70" s="349"/>
      <c r="C70" s="532"/>
      <c r="D70" s="532"/>
      <c r="E70" s="349"/>
      <c r="F70" s="349"/>
      <c r="G70" s="349"/>
      <c r="H70" s="349"/>
      <c r="I70" s="349"/>
      <c r="J70" s="349"/>
      <c r="K70" s="395"/>
      <c r="L70" s="536"/>
      <c r="M70" s="537"/>
      <c r="N70" s="521"/>
    </row>
    <row r="71" spans="1:15" s="84" customFormat="1" ht="32.25" customHeight="1" thickBot="1" x14ac:dyDescent="0.4">
      <c r="A71" s="538" t="s">
        <v>213</v>
      </c>
      <c r="B71" s="539" t="s">
        <v>214</v>
      </c>
      <c r="C71" s="540" t="s">
        <v>215</v>
      </c>
      <c r="D71" s="540" t="s">
        <v>216</v>
      </c>
      <c r="E71" s="540" t="s">
        <v>217</v>
      </c>
      <c r="F71" s="540" t="s">
        <v>218</v>
      </c>
      <c r="G71" s="539" t="s">
        <v>219</v>
      </c>
      <c r="H71" s="539" t="s">
        <v>220</v>
      </c>
      <c r="I71" s="539" t="s">
        <v>221</v>
      </c>
      <c r="J71" s="539" t="s">
        <v>222</v>
      </c>
      <c r="K71" s="539" t="s">
        <v>223</v>
      </c>
      <c r="L71" s="539" t="s">
        <v>179</v>
      </c>
      <c r="M71" s="539" t="s">
        <v>177</v>
      </c>
      <c r="N71" s="541" t="s">
        <v>224</v>
      </c>
      <c r="O71" s="542"/>
    </row>
    <row r="72" spans="1:15" ht="14.5" x14ac:dyDescent="0.35">
      <c r="A72" s="583">
        <v>65000</v>
      </c>
      <c r="B72" s="584"/>
      <c r="C72" s="585"/>
      <c r="D72" s="586">
        <v>1</v>
      </c>
      <c r="E72" s="587"/>
      <c r="F72" s="585"/>
      <c r="G72" s="586"/>
      <c r="H72" s="586" t="s">
        <v>200</v>
      </c>
      <c r="I72" s="586">
        <v>1</v>
      </c>
      <c r="J72" s="586"/>
      <c r="K72" s="587">
        <v>0</v>
      </c>
      <c r="L72" s="586" t="s">
        <v>29</v>
      </c>
      <c r="M72" s="586" t="s">
        <v>29</v>
      </c>
      <c r="N72" s="953"/>
      <c r="O72" s="952"/>
    </row>
    <row r="73" spans="1:15" ht="14.5" x14ac:dyDescent="0.35">
      <c r="A73" s="583">
        <v>75000</v>
      </c>
      <c r="B73" s="584"/>
      <c r="C73" s="585"/>
      <c r="D73" s="586">
        <v>2</v>
      </c>
      <c r="E73" s="587"/>
      <c r="F73" s="594"/>
      <c r="G73" s="594" t="s">
        <v>29</v>
      </c>
      <c r="H73" s="586" t="s">
        <v>200</v>
      </c>
      <c r="I73" s="586">
        <v>1</v>
      </c>
      <c r="J73" s="586"/>
      <c r="K73" s="587">
        <v>0</v>
      </c>
      <c r="L73" s="586" t="s">
        <v>29</v>
      </c>
      <c r="M73" s="586" t="s">
        <v>29</v>
      </c>
      <c r="N73" s="953"/>
      <c r="O73" s="952"/>
    </row>
    <row r="74" spans="1:15" ht="14.5" x14ac:dyDescent="0.35">
      <c r="A74" s="583">
        <v>100000</v>
      </c>
      <c r="B74" s="584"/>
      <c r="C74" s="585"/>
      <c r="D74" s="586">
        <v>3</v>
      </c>
      <c r="E74" s="587"/>
      <c r="F74" s="594"/>
      <c r="G74" s="594" t="s">
        <v>29</v>
      </c>
      <c r="H74" s="586" t="s">
        <v>200</v>
      </c>
      <c r="I74" s="586">
        <v>1</v>
      </c>
      <c r="J74" s="586"/>
      <c r="K74" s="587">
        <v>0</v>
      </c>
      <c r="L74" s="586" t="s">
        <v>29</v>
      </c>
      <c r="M74" s="586" t="s">
        <v>29</v>
      </c>
      <c r="N74" s="953"/>
      <c r="O74" s="952"/>
    </row>
    <row r="75" spans="1:15" ht="14.5" x14ac:dyDescent="0.35">
      <c r="A75" s="583">
        <v>300000</v>
      </c>
      <c r="B75" s="584"/>
      <c r="C75" s="585"/>
      <c r="D75" s="586">
        <v>4</v>
      </c>
      <c r="E75" s="587"/>
      <c r="F75" s="585"/>
      <c r="G75" s="586"/>
      <c r="H75" s="586" t="s">
        <v>200</v>
      </c>
      <c r="I75" s="586">
        <v>1</v>
      </c>
      <c r="J75" s="586"/>
      <c r="K75" s="587">
        <v>0</v>
      </c>
      <c r="L75" s="586" t="s">
        <v>29</v>
      </c>
      <c r="M75" s="586" t="s">
        <v>29</v>
      </c>
      <c r="N75" s="953"/>
      <c r="O75" s="952"/>
    </row>
    <row r="76" spans="1:15" ht="14.5" x14ac:dyDescent="0.35">
      <c r="A76" s="583">
        <v>500000</v>
      </c>
      <c r="B76" s="584"/>
      <c r="C76" s="585"/>
      <c r="D76" s="586">
        <v>5</v>
      </c>
      <c r="E76" s="587"/>
      <c r="F76" s="585"/>
      <c r="G76" s="586"/>
      <c r="H76" s="586" t="s">
        <v>200</v>
      </c>
      <c r="I76" s="586">
        <v>1</v>
      </c>
      <c r="J76" s="586"/>
      <c r="K76" s="587">
        <v>0</v>
      </c>
      <c r="L76" s="586" t="s">
        <v>29</v>
      </c>
      <c r="M76" s="586" t="s">
        <v>29</v>
      </c>
      <c r="N76" s="953"/>
      <c r="O76" s="952"/>
    </row>
    <row r="77" spans="1:15" ht="15" thickBot="1" x14ac:dyDescent="0.4">
      <c r="A77" s="589">
        <v>1000000</v>
      </c>
      <c r="B77" s="590"/>
      <c r="C77" s="591"/>
      <c r="D77" s="592">
        <v>6</v>
      </c>
      <c r="E77" s="593"/>
      <c r="F77" s="591"/>
      <c r="G77" s="592"/>
      <c r="H77" s="592" t="s">
        <v>200</v>
      </c>
      <c r="I77" s="592">
        <v>1</v>
      </c>
      <c r="J77" s="592"/>
      <c r="K77" s="593">
        <v>0</v>
      </c>
      <c r="L77" s="592"/>
      <c r="M77" s="592"/>
      <c r="N77" s="954"/>
      <c r="O77" s="952"/>
    </row>
    <row r="80" spans="1:15" ht="13" thickBot="1" x14ac:dyDescent="0.3"/>
    <row r="81" spans="1:15" ht="21.75" customHeight="1" thickBot="1" x14ac:dyDescent="0.3">
      <c r="A81" s="515" t="s">
        <v>173</v>
      </c>
      <c r="B81" s="1041" t="s">
        <v>226</v>
      </c>
      <c r="C81" s="1041"/>
      <c r="D81" s="1041"/>
      <c r="E81" s="1041"/>
      <c r="F81" s="1041"/>
      <c r="G81" s="1041"/>
      <c r="H81" s="1041"/>
      <c r="I81" s="1041"/>
      <c r="J81" s="1041"/>
      <c r="K81" s="1041"/>
      <c r="L81" s="1041"/>
      <c r="M81" s="1041"/>
      <c r="N81" s="1042"/>
    </row>
    <row r="82" spans="1:15" ht="12" customHeight="1" x14ac:dyDescent="0.25">
      <c r="A82" s="516" t="s">
        <v>202</v>
      </c>
      <c r="B82" s="82" t="s">
        <v>200</v>
      </c>
      <c r="C82" s="517"/>
      <c r="D82" s="517"/>
      <c r="E82" s="517"/>
      <c r="F82" s="517"/>
      <c r="G82" s="517"/>
      <c r="H82" s="517"/>
      <c r="I82" s="517"/>
      <c r="J82" s="517"/>
      <c r="K82" s="518" t="s">
        <v>177</v>
      </c>
      <c r="L82" s="519" t="s">
        <v>29</v>
      </c>
      <c r="M82" s="520"/>
      <c r="N82" s="521"/>
    </row>
    <row r="83" spans="1:15" ht="12" customHeight="1" x14ac:dyDescent="0.25">
      <c r="A83" s="516" t="s">
        <v>203</v>
      </c>
      <c r="B83" s="82" t="s">
        <v>204</v>
      </c>
      <c r="C83" s="517"/>
      <c r="D83" s="517"/>
      <c r="E83" s="517"/>
      <c r="F83" s="517"/>
      <c r="G83" s="517"/>
      <c r="H83" s="517"/>
      <c r="I83" s="517"/>
      <c r="J83" s="517"/>
      <c r="K83" s="344" t="s">
        <v>179</v>
      </c>
      <c r="L83" s="136" t="s">
        <v>29</v>
      </c>
      <c r="M83" s="522"/>
      <c r="N83" s="521"/>
    </row>
    <row r="84" spans="1:15" ht="12" customHeight="1" x14ac:dyDescent="0.25">
      <c r="A84" s="516" t="s">
        <v>205</v>
      </c>
      <c r="B84" s="82" t="s">
        <v>206</v>
      </c>
      <c r="C84" s="517"/>
      <c r="D84" s="517"/>
      <c r="E84" s="517"/>
      <c r="F84" s="517"/>
      <c r="G84" s="517"/>
      <c r="H84" s="517"/>
      <c r="I84" s="517"/>
      <c r="J84" s="517"/>
      <c r="K84" s="344" t="s">
        <v>181</v>
      </c>
      <c r="L84" s="137"/>
      <c r="M84" s="340"/>
      <c r="N84" s="521"/>
    </row>
    <row r="85" spans="1:15" ht="12" customHeight="1" x14ac:dyDescent="0.3">
      <c r="A85" s="516" t="s">
        <v>207</v>
      </c>
      <c r="B85" s="523" t="s">
        <v>208</v>
      </c>
      <c r="C85" s="517"/>
      <c r="D85" s="517"/>
      <c r="E85" s="517"/>
      <c r="F85" s="517"/>
      <c r="G85" s="517"/>
      <c r="H85" s="517"/>
      <c r="I85" s="517"/>
      <c r="J85" s="517"/>
      <c r="K85" s="344" t="s">
        <v>182</v>
      </c>
      <c r="L85" s="524" t="s">
        <v>29</v>
      </c>
      <c r="M85" s="525"/>
      <c r="N85" s="521"/>
    </row>
    <row r="86" spans="1:15" ht="12" customHeight="1" x14ac:dyDescent="0.3">
      <c r="A86" s="516" t="s">
        <v>187</v>
      </c>
      <c r="B86" s="82" t="s">
        <v>209</v>
      </c>
      <c r="C86" s="517"/>
      <c r="D86" s="517"/>
      <c r="E86" s="517"/>
      <c r="F86" s="517"/>
      <c r="G86" s="517"/>
      <c r="H86" s="517"/>
      <c r="I86" s="517"/>
      <c r="J86" s="349"/>
      <c r="K86" s="344" t="s">
        <v>183</v>
      </c>
      <c r="L86" s="524"/>
      <c r="M86" s="525"/>
      <c r="N86" s="521"/>
    </row>
    <row r="87" spans="1:15" ht="13" x14ac:dyDescent="0.3">
      <c r="A87" s="516" t="s">
        <v>210</v>
      </c>
      <c r="B87" s="81" t="s">
        <v>211</v>
      </c>
      <c r="K87" s="344" t="s">
        <v>184</v>
      </c>
      <c r="L87" s="526">
        <v>2</v>
      </c>
      <c r="M87" s="525"/>
      <c r="N87" s="521"/>
    </row>
    <row r="88" spans="1:15" ht="13" x14ac:dyDescent="0.3">
      <c r="A88" s="516"/>
      <c r="B88" s="1051"/>
      <c r="C88" s="1051"/>
      <c r="D88" s="1051"/>
      <c r="E88" s="1051"/>
      <c r="F88" s="1051"/>
      <c r="G88" s="1051"/>
      <c r="H88" s="1051"/>
      <c r="I88" s="1051"/>
      <c r="J88" s="1051"/>
      <c r="K88" s="344" t="s">
        <v>185</v>
      </c>
      <c r="L88" s="526">
        <v>1</v>
      </c>
      <c r="M88" s="525"/>
      <c r="N88" s="521"/>
    </row>
    <row r="89" spans="1:15" ht="13.5" thickBot="1" x14ac:dyDescent="0.35">
      <c r="A89" s="516"/>
      <c r="B89" s="119"/>
      <c r="C89" s="119"/>
      <c r="D89" s="119"/>
      <c r="E89" s="119"/>
      <c r="F89" s="119"/>
      <c r="G89" s="119"/>
      <c r="H89" s="119"/>
      <c r="I89" s="119"/>
      <c r="J89" s="119"/>
      <c r="K89" s="344" t="s">
        <v>186</v>
      </c>
      <c r="L89" s="561"/>
      <c r="M89" s="525"/>
      <c r="N89" s="521"/>
    </row>
    <row r="90" spans="1:15" s="84" customFormat="1" ht="13.5" customHeight="1" thickBot="1" x14ac:dyDescent="0.35">
      <c r="A90" s="527" t="s">
        <v>212</v>
      </c>
      <c r="B90" s="528">
        <v>17.315999999999999</v>
      </c>
      <c r="C90" s="529"/>
      <c r="D90" s="529"/>
      <c r="E90" s="530"/>
      <c r="F90" s="530"/>
      <c r="G90" s="530"/>
      <c r="H90" s="530"/>
      <c r="I90" s="530"/>
      <c r="J90" s="530"/>
      <c r="K90" s="344" t="s">
        <v>187</v>
      </c>
      <c r="L90" s="524"/>
      <c r="M90" s="525"/>
      <c r="N90" s="531"/>
    </row>
    <row r="91" spans="1:15" ht="13.5" thickBot="1" x14ac:dyDescent="0.35">
      <c r="A91" s="516"/>
      <c r="B91" s="349"/>
      <c r="C91" s="532"/>
      <c r="D91" s="532"/>
      <c r="E91" s="349"/>
      <c r="F91" s="349"/>
      <c r="G91" s="349"/>
      <c r="H91" s="349"/>
      <c r="I91" s="349"/>
      <c r="J91" s="349"/>
      <c r="K91" s="533" t="s">
        <v>188</v>
      </c>
      <c r="L91" s="581" t="s">
        <v>29</v>
      </c>
      <c r="M91" s="535"/>
      <c r="N91" s="521"/>
    </row>
    <row r="92" spans="1:15" ht="13.5" thickBot="1" x14ac:dyDescent="0.35">
      <c r="A92" s="516"/>
      <c r="B92" s="349"/>
      <c r="C92" s="532"/>
      <c r="D92" s="532"/>
      <c r="E92" s="349"/>
      <c r="F92" s="349"/>
      <c r="G92" s="349"/>
      <c r="H92" s="349"/>
      <c r="I92" s="349"/>
      <c r="J92" s="349"/>
      <c r="K92" s="395"/>
      <c r="L92" s="536"/>
      <c r="M92" s="537"/>
      <c r="N92" s="521"/>
    </row>
    <row r="93" spans="1:15" s="84" customFormat="1" ht="32.25" customHeight="1" thickBot="1" x14ac:dyDescent="0.4">
      <c r="A93" s="538" t="s">
        <v>213</v>
      </c>
      <c r="B93" s="539" t="s">
        <v>214</v>
      </c>
      <c r="C93" s="540" t="s">
        <v>215</v>
      </c>
      <c r="D93" s="540" t="s">
        <v>216</v>
      </c>
      <c r="E93" s="540" t="s">
        <v>217</v>
      </c>
      <c r="F93" s="540" t="s">
        <v>218</v>
      </c>
      <c r="G93" s="539" t="s">
        <v>219</v>
      </c>
      <c r="H93" s="539" t="s">
        <v>220</v>
      </c>
      <c r="I93" s="539" t="s">
        <v>221</v>
      </c>
      <c r="J93" s="539" t="s">
        <v>222</v>
      </c>
      <c r="K93" s="539" t="s">
        <v>223</v>
      </c>
      <c r="L93" s="539" t="s">
        <v>179</v>
      </c>
      <c r="M93" s="539" t="s">
        <v>177</v>
      </c>
      <c r="N93" s="541" t="s">
        <v>224</v>
      </c>
      <c r="O93" s="542"/>
    </row>
    <row r="94" spans="1:15" ht="14.5" x14ac:dyDescent="0.35">
      <c r="A94" s="543"/>
      <c r="B94" s="544"/>
      <c r="C94" s="545"/>
      <c r="D94" s="544">
        <v>0</v>
      </c>
      <c r="E94" s="544">
        <v>-1</v>
      </c>
      <c r="F94" s="545"/>
      <c r="G94" s="544"/>
      <c r="H94" s="544" t="s">
        <v>200</v>
      </c>
      <c r="I94" s="544">
        <v>0</v>
      </c>
      <c r="J94" s="544"/>
      <c r="K94" s="546">
        <v>0</v>
      </c>
      <c r="L94" s="544" t="s">
        <v>29</v>
      </c>
      <c r="M94" s="544" t="s">
        <v>29</v>
      </c>
      <c r="N94" s="951"/>
      <c r="O94" s="952"/>
    </row>
    <row r="95" spans="1:15" ht="14.5" x14ac:dyDescent="0.35">
      <c r="A95" s="583">
        <v>15000</v>
      </c>
      <c r="B95" s="584"/>
      <c r="C95" s="585"/>
      <c r="D95" s="586">
        <v>1</v>
      </c>
      <c r="E95" s="587"/>
      <c r="F95" s="585"/>
      <c r="G95" s="586"/>
      <c r="H95" s="586" t="s">
        <v>200</v>
      </c>
      <c r="I95" s="586">
        <v>1</v>
      </c>
      <c r="J95" s="586"/>
      <c r="K95" s="587">
        <v>0</v>
      </c>
      <c r="L95" s="586" t="s">
        <v>29</v>
      </c>
      <c r="M95" s="586" t="s">
        <v>29</v>
      </c>
      <c r="N95" s="953"/>
      <c r="O95" s="952"/>
    </row>
    <row r="96" spans="1:15" ht="14.5" x14ac:dyDescent="0.35">
      <c r="A96" s="583">
        <v>25000</v>
      </c>
      <c r="B96" s="584"/>
      <c r="C96" s="585"/>
      <c r="D96" s="586">
        <v>2</v>
      </c>
      <c r="E96" s="587"/>
      <c r="F96" s="588"/>
      <c r="G96" s="588"/>
      <c r="H96" s="586" t="s">
        <v>200</v>
      </c>
      <c r="I96" s="586">
        <v>1</v>
      </c>
      <c r="J96" s="586"/>
      <c r="K96" s="587">
        <v>0</v>
      </c>
      <c r="L96" s="586" t="s">
        <v>29</v>
      </c>
      <c r="M96" s="586" t="s">
        <v>29</v>
      </c>
      <c r="N96" s="953"/>
      <c r="O96" s="952"/>
    </row>
    <row r="97" spans="1:15" ht="14.5" x14ac:dyDescent="0.35">
      <c r="A97" s="583">
        <v>50000</v>
      </c>
      <c r="B97" s="584"/>
      <c r="C97" s="585"/>
      <c r="D97" s="586">
        <v>3</v>
      </c>
      <c r="E97" s="587"/>
      <c r="F97" s="585"/>
      <c r="G97" s="586"/>
      <c r="H97" s="586" t="s">
        <v>200</v>
      </c>
      <c r="I97" s="586">
        <v>1</v>
      </c>
      <c r="J97" s="586"/>
      <c r="K97" s="587">
        <v>0</v>
      </c>
      <c r="L97" s="586" t="s">
        <v>29</v>
      </c>
      <c r="M97" s="586" t="s">
        <v>29</v>
      </c>
      <c r="N97" s="953"/>
      <c r="O97" s="952"/>
    </row>
    <row r="98" spans="1:15" ht="14.5" x14ac:dyDescent="0.35">
      <c r="A98" s="583">
        <v>100000</v>
      </c>
      <c r="B98" s="584"/>
      <c r="C98" s="585"/>
      <c r="D98" s="586">
        <v>4</v>
      </c>
      <c r="E98" s="587"/>
      <c r="F98" s="585" t="s">
        <v>29</v>
      </c>
      <c r="G98" s="586" t="s">
        <v>29</v>
      </c>
      <c r="H98" s="586" t="s">
        <v>200</v>
      </c>
      <c r="I98" s="586">
        <v>1</v>
      </c>
      <c r="J98" s="586"/>
      <c r="K98" s="587">
        <v>0</v>
      </c>
      <c r="L98" s="586" t="s">
        <v>29</v>
      </c>
      <c r="M98" s="586" t="s">
        <v>29</v>
      </c>
      <c r="N98" s="953"/>
      <c r="O98" s="952"/>
    </row>
    <row r="99" spans="1:15" ht="14.5" x14ac:dyDescent="0.35">
      <c r="A99" s="583">
        <v>250000</v>
      </c>
      <c r="B99" s="584"/>
      <c r="C99" s="585"/>
      <c r="D99" s="586">
        <v>5</v>
      </c>
      <c r="E99" s="587"/>
      <c r="F99" s="585"/>
      <c r="G99" s="586"/>
      <c r="H99" s="586" t="s">
        <v>200</v>
      </c>
      <c r="I99" s="586">
        <v>1</v>
      </c>
      <c r="J99" s="586"/>
      <c r="K99" s="587">
        <v>0</v>
      </c>
      <c r="L99" s="586" t="s">
        <v>29</v>
      </c>
      <c r="M99" s="586" t="s">
        <v>29</v>
      </c>
      <c r="N99" s="953"/>
      <c r="O99" s="952"/>
    </row>
    <row r="100" spans="1:15" ht="14.5" x14ac:dyDescent="0.35">
      <c r="A100" s="583">
        <v>300000</v>
      </c>
      <c r="B100" s="584"/>
      <c r="C100" s="585"/>
      <c r="D100" s="586">
        <v>6</v>
      </c>
      <c r="E100" s="587"/>
      <c r="F100" s="585"/>
      <c r="G100" s="586"/>
      <c r="H100" s="586" t="s">
        <v>200</v>
      </c>
      <c r="I100" s="586">
        <v>1</v>
      </c>
      <c r="J100" s="586"/>
      <c r="K100" s="587">
        <v>0</v>
      </c>
      <c r="L100" s="586" t="s">
        <v>29</v>
      </c>
      <c r="M100" s="586" t="s">
        <v>29</v>
      </c>
      <c r="N100" s="953"/>
      <c r="O100" s="952"/>
    </row>
    <row r="101" spans="1:15" ht="15" thickBot="1" x14ac:dyDescent="0.4">
      <c r="A101" s="589">
        <v>500000</v>
      </c>
      <c r="B101" s="590"/>
      <c r="C101" s="591"/>
      <c r="D101" s="592">
        <v>7</v>
      </c>
      <c r="E101" s="593"/>
      <c r="F101" s="591"/>
      <c r="G101" s="592"/>
      <c r="H101" s="592" t="s">
        <v>200</v>
      </c>
      <c r="I101" s="592">
        <v>1</v>
      </c>
      <c r="J101" s="592"/>
      <c r="K101" s="593">
        <v>0</v>
      </c>
      <c r="L101" s="592" t="s">
        <v>29</v>
      </c>
      <c r="M101" s="592" t="s">
        <v>29</v>
      </c>
      <c r="N101" s="954"/>
      <c r="O101" s="952"/>
    </row>
    <row r="104" spans="1:15" ht="13" thickBot="1" x14ac:dyDescent="0.3"/>
    <row r="105" spans="1:15" ht="21.75" customHeight="1" thickBot="1" x14ac:dyDescent="0.3">
      <c r="A105" s="515" t="s">
        <v>173</v>
      </c>
      <c r="B105" s="1041" t="s">
        <v>227</v>
      </c>
      <c r="C105" s="1041"/>
      <c r="D105" s="1041"/>
      <c r="E105" s="1041"/>
      <c r="F105" s="1041"/>
      <c r="G105" s="1041"/>
      <c r="H105" s="1041"/>
      <c r="I105" s="1041"/>
      <c r="J105" s="1041"/>
      <c r="K105" s="1041"/>
      <c r="L105" s="1041"/>
      <c r="M105" s="1041"/>
      <c r="N105" s="1042"/>
    </row>
    <row r="106" spans="1:15" ht="12" customHeight="1" x14ac:dyDescent="0.25">
      <c r="A106" s="516" t="s">
        <v>202</v>
      </c>
      <c r="B106" s="82" t="s">
        <v>200</v>
      </c>
      <c r="C106" s="517"/>
      <c r="D106" s="517"/>
      <c r="E106" s="517"/>
      <c r="F106" s="517"/>
      <c r="G106" s="517"/>
      <c r="H106" s="517"/>
      <c r="I106" s="517"/>
      <c r="J106" s="517"/>
      <c r="K106" s="518" t="s">
        <v>177</v>
      </c>
      <c r="L106" s="519" t="s">
        <v>29</v>
      </c>
      <c r="M106" s="520"/>
      <c r="N106" s="521"/>
    </row>
    <row r="107" spans="1:15" ht="12" customHeight="1" x14ac:dyDescent="0.25">
      <c r="A107" s="516" t="s">
        <v>203</v>
      </c>
      <c r="B107" s="82" t="s">
        <v>204</v>
      </c>
      <c r="C107" s="517"/>
      <c r="D107" s="517"/>
      <c r="E107" s="517"/>
      <c r="F107" s="517"/>
      <c r="G107" s="517"/>
      <c r="H107" s="517"/>
      <c r="I107" s="517"/>
      <c r="J107" s="517"/>
      <c r="K107" s="344" t="s">
        <v>179</v>
      </c>
      <c r="L107" s="136" t="s">
        <v>29</v>
      </c>
      <c r="M107" s="522"/>
      <c r="N107" s="521"/>
    </row>
    <row r="108" spans="1:15" ht="12" customHeight="1" x14ac:dyDescent="0.25">
      <c r="A108" s="516" t="s">
        <v>205</v>
      </c>
      <c r="B108" s="82" t="s">
        <v>206</v>
      </c>
      <c r="C108" s="517"/>
      <c r="D108" s="517"/>
      <c r="E108" s="517"/>
      <c r="F108" s="517"/>
      <c r="G108" s="517"/>
      <c r="H108" s="517"/>
      <c r="I108" s="517"/>
      <c r="J108" s="517"/>
      <c r="K108" s="344" t="s">
        <v>181</v>
      </c>
      <c r="L108" s="137"/>
      <c r="M108" s="340"/>
      <c r="N108" s="521"/>
    </row>
    <row r="109" spans="1:15" ht="12" customHeight="1" x14ac:dyDescent="0.3">
      <c r="A109" s="516" t="s">
        <v>207</v>
      </c>
      <c r="B109" s="523" t="s">
        <v>208</v>
      </c>
      <c r="C109" s="517"/>
      <c r="D109" s="517"/>
      <c r="E109" s="517"/>
      <c r="F109" s="517"/>
      <c r="G109" s="517"/>
      <c r="H109" s="517"/>
      <c r="I109" s="517"/>
      <c r="J109" s="517"/>
      <c r="K109" s="344" t="s">
        <v>182</v>
      </c>
      <c r="L109" s="524" t="s">
        <v>29</v>
      </c>
      <c r="M109" s="525"/>
      <c r="N109" s="521"/>
    </row>
    <row r="110" spans="1:15" ht="12" customHeight="1" x14ac:dyDescent="0.3">
      <c r="A110" s="516" t="s">
        <v>187</v>
      </c>
      <c r="B110" s="82" t="s">
        <v>209</v>
      </c>
      <c r="C110" s="517"/>
      <c r="D110" s="517"/>
      <c r="E110" s="517"/>
      <c r="F110" s="517"/>
      <c r="G110" s="517"/>
      <c r="H110" s="517"/>
      <c r="I110" s="517"/>
      <c r="J110" s="349"/>
      <c r="K110" s="344" t="s">
        <v>183</v>
      </c>
      <c r="L110" s="524"/>
      <c r="M110" s="525"/>
      <c r="N110" s="521"/>
    </row>
    <row r="111" spans="1:15" ht="13" x14ac:dyDescent="0.3">
      <c r="A111" s="516" t="s">
        <v>210</v>
      </c>
      <c r="B111" s="81" t="s">
        <v>211</v>
      </c>
      <c r="K111" s="344" t="s">
        <v>184</v>
      </c>
      <c r="L111" s="526">
        <v>3</v>
      </c>
      <c r="M111" s="525"/>
      <c r="N111" s="521"/>
    </row>
    <row r="112" spans="1:15" ht="13" x14ac:dyDescent="0.3">
      <c r="A112" s="516"/>
      <c r="B112" s="1051"/>
      <c r="C112" s="1051"/>
      <c r="D112" s="1051"/>
      <c r="E112" s="1051"/>
      <c r="F112" s="1051"/>
      <c r="G112" s="1051"/>
      <c r="H112" s="1051"/>
      <c r="I112" s="1051"/>
      <c r="J112" s="1051"/>
      <c r="K112" s="344" t="s">
        <v>185</v>
      </c>
      <c r="L112" s="526">
        <v>1</v>
      </c>
      <c r="M112" s="525"/>
      <c r="N112" s="521"/>
    </row>
    <row r="113" spans="1:15" ht="13.5" thickBot="1" x14ac:dyDescent="0.35">
      <c r="A113" s="516"/>
      <c r="B113" s="119"/>
      <c r="C113" s="119"/>
      <c r="D113" s="119"/>
      <c r="E113" s="119"/>
      <c r="F113" s="119"/>
      <c r="G113" s="119"/>
      <c r="H113" s="119"/>
      <c r="I113" s="119"/>
      <c r="J113" s="119"/>
      <c r="K113" s="344" t="s">
        <v>186</v>
      </c>
      <c r="L113" s="561"/>
      <c r="M113" s="525"/>
      <c r="N113" s="521"/>
    </row>
    <row r="114" spans="1:15" s="84" customFormat="1" ht="13.5" customHeight="1" thickBot="1" x14ac:dyDescent="0.35">
      <c r="A114" s="527" t="s">
        <v>212</v>
      </c>
      <c r="B114" s="528">
        <v>6.6340000000000003</v>
      </c>
      <c r="C114" s="529"/>
      <c r="D114" s="529"/>
      <c r="E114" s="530"/>
      <c r="F114" s="530"/>
      <c r="G114" s="530"/>
      <c r="H114" s="530"/>
      <c r="I114" s="530"/>
      <c r="J114" s="530"/>
      <c r="K114" s="344" t="s">
        <v>187</v>
      </c>
      <c r="L114" s="524"/>
      <c r="M114" s="525"/>
      <c r="N114" s="531"/>
    </row>
    <row r="115" spans="1:15" ht="13.5" thickBot="1" x14ac:dyDescent="0.35">
      <c r="A115" s="516"/>
      <c r="B115" s="349"/>
      <c r="C115" s="532"/>
      <c r="D115" s="532"/>
      <c r="E115" s="349"/>
      <c r="F115" s="349"/>
      <c r="G115" s="349"/>
      <c r="H115" s="349"/>
      <c r="I115" s="349"/>
      <c r="J115" s="349"/>
      <c r="K115" s="533" t="s">
        <v>188</v>
      </c>
      <c r="L115" s="581" t="s">
        <v>29</v>
      </c>
      <c r="M115" s="535"/>
      <c r="N115" s="521"/>
    </row>
    <row r="116" spans="1:15" ht="13.5" thickBot="1" x14ac:dyDescent="0.35">
      <c r="A116" s="516"/>
      <c r="B116" s="349"/>
      <c r="C116" s="532"/>
      <c r="D116" s="532"/>
      <c r="E116" s="349"/>
      <c r="F116" s="349"/>
      <c r="G116" s="349"/>
      <c r="H116" s="349"/>
      <c r="I116" s="349"/>
      <c r="J116" s="349"/>
      <c r="K116" s="395"/>
      <c r="L116" s="536"/>
      <c r="M116" s="537"/>
      <c r="N116" s="521"/>
    </row>
    <row r="117" spans="1:15" s="84" customFormat="1" ht="32.25" customHeight="1" thickBot="1" x14ac:dyDescent="0.4">
      <c r="A117" s="553" t="s">
        <v>213</v>
      </c>
      <c r="B117" s="554" t="s">
        <v>214</v>
      </c>
      <c r="C117" s="555" t="s">
        <v>215</v>
      </c>
      <c r="D117" s="555" t="s">
        <v>216</v>
      </c>
      <c r="E117" s="555" t="s">
        <v>217</v>
      </c>
      <c r="F117" s="555" t="s">
        <v>218</v>
      </c>
      <c r="G117" s="554" t="s">
        <v>219</v>
      </c>
      <c r="H117" s="554" t="s">
        <v>220</v>
      </c>
      <c r="I117" s="554" t="s">
        <v>221</v>
      </c>
      <c r="J117" s="554" t="s">
        <v>222</v>
      </c>
      <c r="K117" s="554" t="s">
        <v>223</v>
      </c>
      <c r="L117" s="554" t="s">
        <v>179</v>
      </c>
      <c r="M117" s="554" t="s">
        <v>177</v>
      </c>
      <c r="N117" s="556" t="s">
        <v>224</v>
      </c>
      <c r="O117" s="542"/>
    </row>
    <row r="118" spans="1:15" ht="14.5" x14ac:dyDescent="0.35">
      <c r="A118" s="557"/>
      <c r="B118" s="558"/>
      <c r="C118" s="559"/>
      <c r="D118" s="558">
        <v>0</v>
      </c>
      <c r="E118" s="558">
        <v>-1</v>
      </c>
      <c r="F118" s="559"/>
      <c r="G118" s="558"/>
      <c r="H118" s="558" t="s">
        <v>200</v>
      </c>
      <c r="I118" s="558">
        <v>0</v>
      </c>
      <c r="J118" s="558"/>
      <c r="K118" s="560">
        <v>0</v>
      </c>
      <c r="L118" s="558" t="s">
        <v>29</v>
      </c>
      <c r="M118" s="558" t="s">
        <v>29</v>
      </c>
      <c r="N118" s="955"/>
      <c r="O118" s="952"/>
    </row>
    <row r="119" spans="1:15" ht="15" thickBot="1" x14ac:dyDescent="0.4">
      <c r="A119" s="589">
        <v>5000</v>
      </c>
      <c r="B119" s="592"/>
      <c r="C119" s="591"/>
      <c r="D119" s="592">
        <v>1</v>
      </c>
      <c r="E119" s="593"/>
      <c r="F119" s="591" t="s">
        <v>29</v>
      </c>
      <c r="G119" s="592" t="s">
        <v>29</v>
      </c>
      <c r="H119" s="592" t="s">
        <v>200</v>
      </c>
      <c r="I119" s="592">
        <v>1</v>
      </c>
      <c r="J119" s="592"/>
      <c r="K119" s="593">
        <v>0</v>
      </c>
      <c r="L119" s="592" t="s">
        <v>29</v>
      </c>
      <c r="M119" s="592" t="s">
        <v>29</v>
      </c>
      <c r="N119" s="954"/>
      <c r="O119" s="952"/>
    </row>
    <row r="122" spans="1:15" ht="13" thickBot="1" x14ac:dyDescent="0.3"/>
    <row r="123" spans="1:15" ht="21.75" customHeight="1" thickBot="1" x14ac:dyDescent="0.3">
      <c r="A123" s="515" t="s">
        <v>173</v>
      </c>
      <c r="B123" s="1041" t="s">
        <v>228</v>
      </c>
      <c r="C123" s="1041"/>
      <c r="D123" s="1041"/>
      <c r="E123" s="1041"/>
      <c r="F123" s="1041"/>
      <c r="G123" s="1041"/>
      <c r="H123" s="1041"/>
      <c r="I123" s="1041"/>
      <c r="J123" s="1041"/>
      <c r="K123" s="1041"/>
      <c r="L123" s="1041"/>
      <c r="M123" s="1041"/>
      <c r="N123" s="1042"/>
    </row>
    <row r="124" spans="1:15" ht="12" customHeight="1" x14ac:dyDescent="0.25">
      <c r="A124" s="516" t="s">
        <v>202</v>
      </c>
      <c r="B124" s="82" t="s">
        <v>200</v>
      </c>
      <c r="C124" s="517"/>
      <c r="D124" s="517"/>
      <c r="E124" s="517"/>
      <c r="F124" s="517"/>
      <c r="G124" s="517"/>
      <c r="H124" s="517"/>
      <c r="I124" s="517"/>
      <c r="J124" s="517"/>
      <c r="K124" s="518" t="s">
        <v>177</v>
      </c>
      <c r="L124" s="519" t="s">
        <v>29</v>
      </c>
      <c r="M124" s="520"/>
      <c r="N124" s="521"/>
    </row>
    <row r="125" spans="1:15" ht="12" customHeight="1" x14ac:dyDescent="0.25">
      <c r="A125" s="516" t="s">
        <v>203</v>
      </c>
      <c r="B125" s="82" t="s">
        <v>204</v>
      </c>
      <c r="C125" s="517"/>
      <c r="D125" s="517"/>
      <c r="E125" s="517"/>
      <c r="F125" s="517"/>
      <c r="G125" s="517"/>
      <c r="H125" s="517"/>
      <c r="I125" s="517"/>
      <c r="J125" s="517"/>
      <c r="K125" s="344" t="s">
        <v>179</v>
      </c>
      <c r="L125" s="136" t="s">
        <v>29</v>
      </c>
      <c r="M125" s="522"/>
      <c r="N125" s="521"/>
    </row>
    <row r="126" spans="1:15" ht="12" customHeight="1" x14ac:dyDescent="0.25">
      <c r="A126" s="516" t="s">
        <v>205</v>
      </c>
      <c r="B126" s="82" t="s">
        <v>206</v>
      </c>
      <c r="C126" s="517"/>
      <c r="D126" s="517"/>
      <c r="E126" s="517"/>
      <c r="F126" s="517"/>
      <c r="G126" s="517"/>
      <c r="H126" s="517"/>
      <c r="I126" s="517"/>
      <c r="J126" s="517"/>
      <c r="K126" s="344" t="s">
        <v>181</v>
      </c>
      <c r="L126" s="137"/>
      <c r="M126" s="340"/>
      <c r="N126" s="521"/>
    </row>
    <row r="127" spans="1:15" ht="12" customHeight="1" x14ac:dyDescent="0.3">
      <c r="A127" s="516" t="s">
        <v>207</v>
      </c>
      <c r="B127" s="523" t="s">
        <v>208</v>
      </c>
      <c r="C127" s="517"/>
      <c r="D127" s="517"/>
      <c r="E127" s="517"/>
      <c r="F127" s="517"/>
      <c r="G127" s="517"/>
      <c r="H127" s="517"/>
      <c r="I127" s="517"/>
      <c r="J127" s="517"/>
      <c r="K127" s="344" t="s">
        <v>182</v>
      </c>
      <c r="L127" s="524" t="s">
        <v>29</v>
      </c>
      <c r="M127" s="525"/>
      <c r="N127" s="521"/>
    </row>
    <row r="128" spans="1:15" ht="12" customHeight="1" x14ac:dyDescent="0.3">
      <c r="A128" s="516" t="s">
        <v>187</v>
      </c>
      <c r="B128" s="82" t="s">
        <v>209</v>
      </c>
      <c r="C128" s="517"/>
      <c r="D128" s="517"/>
      <c r="E128" s="517"/>
      <c r="F128" s="517"/>
      <c r="G128" s="517"/>
      <c r="H128" s="517"/>
      <c r="I128" s="517"/>
      <c r="J128" s="349"/>
      <c r="K128" s="344" t="s">
        <v>183</v>
      </c>
      <c r="L128" s="524"/>
      <c r="M128" s="525"/>
      <c r="N128" s="521"/>
    </row>
    <row r="129" spans="1:15" ht="13" x14ac:dyDescent="0.3">
      <c r="A129" s="516" t="s">
        <v>210</v>
      </c>
      <c r="B129" s="81" t="s">
        <v>211</v>
      </c>
      <c r="K129" s="344" t="s">
        <v>184</v>
      </c>
      <c r="L129" s="526">
        <v>4</v>
      </c>
      <c r="M129" s="525"/>
      <c r="N129" s="521"/>
    </row>
    <row r="130" spans="1:15" ht="13" x14ac:dyDescent="0.3">
      <c r="A130" s="516"/>
      <c r="B130" s="1051"/>
      <c r="C130" s="1051"/>
      <c r="D130" s="1051"/>
      <c r="E130" s="1051"/>
      <c r="F130" s="1051"/>
      <c r="G130" s="1051"/>
      <c r="H130" s="1051"/>
      <c r="I130" s="1051"/>
      <c r="J130" s="1051"/>
      <c r="K130" s="344" t="s">
        <v>185</v>
      </c>
      <c r="L130" s="526">
        <v>1</v>
      </c>
      <c r="M130" s="525"/>
      <c r="N130" s="521"/>
    </row>
    <row r="131" spans="1:15" ht="13.5" thickBot="1" x14ac:dyDescent="0.35">
      <c r="A131" s="516"/>
      <c r="B131" s="119"/>
      <c r="C131" s="119"/>
      <c r="D131" s="119"/>
      <c r="E131" s="119"/>
      <c r="F131" s="119"/>
      <c r="G131" s="119"/>
      <c r="H131" s="119"/>
      <c r="I131" s="119"/>
      <c r="J131" s="119"/>
      <c r="K131" s="344" t="s">
        <v>186</v>
      </c>
      <c r="L131" s="561"/>
      <c r="M131" s="525"/>
      <c r="N131" s="521"/>
    </row>
    <row r="132" spans="1:15" s="84" customFormat="1" ht="13.5" customHeight="1" thickBot="1" x14ac:dyDescent="0.35">
      <c r="A132" s="527" t="s">
        <v>212</v>
      </c>
      <c r="B132" s="528">
        <v>111.8775</v>
      </c>
      <c r="C132" s="529"/>
      <c r="D132" s="529"/>
      <c r="E132" s="530"/>
      <c r="F132" s="530"/>
      <c r="G132" s="530"/>
      <c r="H132" s="530"/>
      <c r="I132" s="530"/>
      <c r="J132" s="530"/>
      <c r="K132" s="344" t="s">
        <v>187</v>
      </c>
      <c r="L132" s="524" t="s">
        <v>29</v>
      </c>
      <c r="M132" s="525"/>
      <c r="N132" s="531"/>
    </row>
    <row r="133" spans="1:15" ht="13.5" thickBot="1" x14ac:dyDescent="0.35">
      <c r="A133" s="516"/>
      <c r="B133" s="349"/>
      <c r="C133" s="532"/>
      <c r="D133" s="532"/>
      <c r="E133" s="349"/>
      <c r="F133" s="349"/>
      <c r="G133" s="349"/>
      <c r="H133" s="349"/>
      <c r="I133" s="349"/>
      <c r="J133" s="349"/>
      <c r="K133" s="533" t="s">
        <v>188</v>
      </c>
      <c r="L133" s="534"/>
      <c r="M133" s="535"/>
      <c r="N133" s="521"/>
    </row>
    <row r="134" spans="1:15" ht="13.5" thickBot="1" x14ac:dyDescent="0.35">
      <c r="A134" s="516"/>
      <c r="B134" s="349"/>
      <c r="C134" s="532"/>
      <c r="D134" s="532"/>
      <c r="E134" s="349"/>
      <c r="F134" s="349"/>
      <c r="G134" s="349"/>
      <c r="H134" s="349"/>
      <c r="I134" s="349"/>
      <c r="J134" s="349"/>
      <c r="K134" s="395"/>
      <c r="L134" s="536"/>
      <c r="M134" s="537"/>
      <c r="N134" s="521"/>
    </row>
    <row r="135" spans="1:15" s="84" customFormat="1" ht="32.25" customHeight="1" thickBot="1" x14ac:dyDescent="0.4">
      <c r="A135" s="538" t="s">
        <v>213</v>
      </c>
      <c r="B135" s="539" t="s">
        <v>214</v>
      </c>
      <c r="C135" s="540" t="s">
        <v>215</v>
      </c>
      <c r="D135" s="540" t="s">
        <v>216</v>
      </c>
      <c r="E135" s="540" t="s">
        <v>217</v>
      </c>
      <c r="F135" s="540" t="s">
        <v>218</v>
      </c>
      <c r="G135" s="539" t="s">
        <v>219</v>
      </c>
      <c r="H135" s="539" t="s">
        <v>220</v>
      </c>
      <c r="I135" s="539" t="s">
        <v>221</v>
      </c>
      <c r="J135" s="539" t="s">
        <v>222</v>
      </c>
      <c r="K135" s="539" t="s">
        <v>223</v>
      </c>
      <c r="L135" s="539" t="s">
        <v>179</v>
      </c>
      <c r="M135" s="539" t="s">
        <v>177</v>
      </c>
      <c r="N135" s="541" t="s">
        <v>224</v>
      </c>
      <c r="O135" s="542"/>
    </row>
    <row r="136" spans="1:15" ht="14.5" x14ac:dyDescent="0.35">
      <c r="A136" s="543"/>
      <c r="B136" s="544"/>
      <c r="C136" s="545"/>
      <c r="D136" s="544">
        <v>0</v>
      </c>
      <c r="E136" s="544">
        <v>-1</v>
      </c>
      <c r="F136" s="545"/>
      <c r="G136" s="544"/>
      <c r="H136" s="544" t="s">
        <v>200</v>
      </c>
      <c r="I136" s="544">
        <v>0</v>
      </c>
      <c r="J136" s="544"/>
      <c r="K136" s="546">
        <v>0</v>
      </c>
      <c r="L136" s="544" t="s">
        <v>29</v>
      </c>
      <c r="M136" s="544" t="s">
        <v>29</v>
      </c>
      <c r="N136" s="951"/>
      <c r="O136" s="952"/>
    </row>
    <row r="137" spans="1:15" ht="14.5" x14ac:dyDescent="0.35">
      <c r="A137" s="583">
        <v>25000</v>
      </c>
      <c r="B137" s="584">
        <v>50000</v>
      </c>
      <c r="C137" s="585"/>
      <c r="D137" s="586">
        <v>1</v>
      </c>
      <c r="E137" s="807">
        <v>61.532625000000003</v>
      </c>
      <c r="F137" s="585"/>
      <c r="G137" s="586"/>
      <c r="H137" s="586" t="s">
        <v>200</v>
      </c>
      <c r="I137" s="586">
        <v>1</v>
      </c>
      <c r="J137" s="586"/>
      <c r="K137" s="587">
        <v>0</v>
      </c>
      <c r="L137" s="586" t="s">
        <v>29</v>
      </c>
      <c r="M137" s="586" t="s">
        <v>29</v>
      </c>
      <c r="N137" s="953"/>
      <c r="O137" s="952"/>
    </row>
    <row r="138" spans="1:15" ht="14.5" x14ac:dyDescent="0.35">
      <c r="A138" s="583">
        <v>30000</v>
      </c>
      <c r="B138" s="584">
        <v>60000</v>
      </c>
      <c r="C138" s="585"/>
      <c r="D138" s="586">
        <v>2</v>
      </c>
      <c r="E138" s="807">
        <v>67.126499999999993</v>
      </c>
      <c r="F138" s="585"/>
      <c r="G138" s="586"/>
      <c r="H138" s="586" t="s">
        <v>200</v>
      </c>
      <c r="I138" s="586">
        <v>1</v>
      </c>
      <c r="J138" s="586"/>
      <c r="K138" s="587">
        <v>0</v>
      </c>
      <c r="L138" s="586" t="s">
        <v>29</v>
      </c>
      <c r="M138" s="586" t="s">
        <v>29</v>
      </c>
      <c r="N138" s="953"/>
      <c r="O138" s="952"/>
    </row>
    <row r="139" spans="1:15" ht="14.5" x14ac:dyDescent="0.35">
      <c r="A139" s="583">
        <v>50000</v>
      </c>
      <c r="B139" s="584">
        <v>100000</v>
      </c>
      <c r="C139" s="585"/>
      <c r="D139" s="586">
        <v>3</v>
      </c>
      <c r="E139" s="807">
        <v>81.1111875</v>
      </c>
      <c r="F139" s="585"/>
      <c r="G139" s="586"/>
      <c r="H139" s="586" t="s">
        <v>200</v>
      </c>
      <c r="I139" s="586">
        <v>1</v>
      </c>
      <c r="J139" s="586"/>
      <c r="K139" s="587">
        <v>0</v>
      </c>
      <c r="L139" s="586" t="s">
        <v>29</v>
      </c>
      <c r="M139" s="586" t="s">
        <v>29</v>
      </c>
      <c r="N139" s="953"/>
      <c r="O139" s="952"/>
    </row>
    <row r="140" spans="1:15" ht="14.5" x14ac:dyDescent="0.35">
      <c r="A140" s="583">
        <v>100000</v>
      </c>
      <c r="B140" s="584">
        <v>300000</v>
      </c>
      <c r="C140" s="585"/>
      <c r="D140" s="586">
        <v>4</v>
      </c>
      <c r="E140" s="807">
        <v>111.8775</v>
      </c>
      <c r="F140" s="585" t="s">
        <v>29</v>
      </c>
      <c r="G140" s="586" t="s">
        <v>29</v>
      </c>
      <c r="H140" s="586" t="s">
        <v>200</v>
      </c>
      <c r="I140" s="586">
        <v>1</v>
      </c>
      <c r="J140" s="586"/>
      <c r="K140" s="587">
        <v>0</v>
      </c>
      <c r="L140" s="586" t="s">
        <v>29</v>
      </c>
      <c r="M140" s="586" t="s">
        <v>29</v>
      </c>
      <c r="N140" s="953"/>
      <c r="O140" s="952"/>
    </row>
    <row r="141" spans="1:15" ht="14.5" x14ac:dyDescent="0.35">
      <c r="A141" s="583">
        <v>250000</v>
      </c>
      <c r="B141" s="584">
        <v>500000</v>
      </c>
      <c r="C141" s="585"/>
      <c r="D141" s="586">
        <v>5</v>
      </c>
      <c r="E141" s="807">
        <v>162.222375</v>
      </c>
      <c r="F141" s="585"/>
      <c r="G141" s="586"/>
      <c r="H141" s="586" t="s">
        <v>200</v>
      </c>
      <c r="I141" s="586">
        <v>1</v>
      </c>
      <c r="J141" s="586"/>
      <c r="K141" s="587">
        <v>0</v>
      </c>
      <c r="L141" s="586" t="s">
        <v>29</v>
      </c>
      <c r="M141" s="586" t="s">
        <v>29</v>
      </c>
      <c r="N141" s="953"/>
      <c r="O141" s="952"/>
    </row>
    <row r="142" spans="1:15" ht="14.5" x14ac:dyDescent="0.35">
      <c r="A142" s="583">
        <v>300000</v>
      </c>
      <c r="B142" s="584">
        <v>300000</v>
      </c>
      <c r="C142" s="585"/>
      <c r="D142" s="586">
        <v>6</v>
      </c>
      <c r="E142" s="807">
        <v>167.81625</v>
      </c>
      <c r="F142" s="585"/>
      <c r="G142" s="586"/>
      <c r="H142" s="586" t="s">
        <v>200</v>
      </c>
      <c r="I142" s="586">
        <v>1</v>
      </c>
      <c r="J142" s="586"/>
      <c r="K142" s="587">
        <v>0</v>
      </c>
      <c r="L142" s="586" t="s">
        <v>29</v>
      </c>
      <c r="M142" s="586" t="s">
        <v>29</v>
      </c>
      <c r="N142" s="953"/>
      <c r="O142" s="952"/>
    </row>
    <row r="143" spans="1:15" ht="14.5" x14ac:dyDescent="0.35">
      <c r="A143" s="595">
        <v>500000</v>
      </c>
      <c r="B143" s="596">
        <v>500000</v>
      </c>
      <c r="C143" s="597"/>
      <c r="D143" s="598">
        <v>7</v>
      </c>
      <c r="E143" s="808">
        <v>394.50244049999998</v>
      </c>
      <c r="F143" s="597"/>
      <c r="G143" s="598"/>
      <c r="H143" s="598" t="s">
        <v>200</v>
      </c>
      <c r="I143" s="598">
        <v>1</v>
      </c>
      <c r="J143" s="598"/>
      <c r="K143" s="599">
        <v>0</v>
      </c>
      <c r="L143" s="598" t="s">
        <v>29</v>
      </c>
      <c r="M143" s="598" t="s">
        <v>29</v>
      </c>
      <c r="N143" s="956"/>
      <c r="O143" s="952"/>
    </row>
    <row r="144" spans="1:15" ht="15" thickBot="1" x14ac:dyDescent="0.4">
      <c r="A144" s="589">
        <v>500000</v>
      </c>
      <c r="B144" s="590">
        <v>1000000</v>
      </c>
      <c r="C144" s="591"/>
      <c r="D144" s="592">
        <v>8</v>
      </c>
      <c r="E144" s="809">
        <v>473.39845350000002</v>
      </c>
      <c r="F144" s="591"/>
      <c r="G144" s="592"/>
      <c r="H144" s="592" t="s">
        <v>200</v>
      </c>
      <c r="I144" s="592">
        <v>1</v>
      </c>
      <c r="J144" s="592"/>
      <c r="K144" s="593">
        <v>0</v>
      </c>
      <c r="L144" s="592"/>
      <c r="M144" s="592"/>
      <c r="N144" s="954"/>
      <c r="O144" s="952"/>
    </row>
    <row r="145" spans="1:11" s="1" customFormat="1" ht="12.75" customHeight="1" thickBot="1" x14ac:dyDescent="0.3">
      <c r="A145" s="761" t="s">
        <v>229</v>
      </c>
      <c r="B145" s="762" t="s">
        <v>230</v>
      </c>
      <c r="C145" s="762" t="s">
        <v>231</v>
      </c>
      <c r="D145" s="762" t="s">
        <v>232</v>
      </c>
      <c r="E145" s="762" t="s">
        <v>233</v>
      </c>
      <c r="F145" s="763" t="s">
        <v>234</v>
      </c>
      <c r="G145" s="1034" t="s">
        <v>235</v>
      </c>
      <c r="H145" s="1035"/>
      <c r="I145" s="1035"/>
      <c r="J145" s="1035"/>
      <c r="K145" s="1036"/>
    </row>
    <row r="146" spans="1:11" s="1" customFormat="1" ht="12.75" customHeight="1" x14ac:dyDescent="0.25">
      <c r="A146" s="764"/>
      <c r="B146" s="765">
        <v>1.75</v>
      </c>
      <c r="C146" s="766">
        <v>1980</v>
      </c>
      <c r="D146" s="767">
        <v>9999</v>
      </c>
      <c r="E146" s="767" t="s">
        <v>236</v>
      </c>
      <c r="F146" s="766"/>
      <c r="G146" s="1037" t="s">
        <v>237</v>
      </c>
      <c r="H146" s="1037"/>
      <c r="I146" s="1037"/>
      <c r="J146" s="1037"/>
      <c r="K146" s="1038"/>
    </row>
    <row r="147" spans="1:11" customFormat="1" ht="12" customHeight="1" x14ac:dyDescent="0.25">
      <c r="A147" s="764"/>
      <c r="B147" s="768">
        <v>1.75</v>
      </c>
      <c r="C147" s="7">
        <v>1980</v>
      </c>
      <c r="D147" s="76">
        <v>9999</v>
      </c>
      <c r="E147" s="76" t="s">
        <v>236</v>
      </c>
      <c r="F147" s="76" t="s">
        <v>29</v>
      </c>
      <c r="G147" s="1030" t="s">
        <v>237</v>
      </c>
      <c r="H147" s="1030"/>
      <c r="I147" s="1030"/>
      <c r="J147" s="1030"/>
      <c r="K147" s="1031"/>
    </row>
    <row r="148" spans="1:11" customFormat="1" x14ac:dyDescent="0.25">
      <c r="A148" s="764"/>
      <c r="B148" s="768">
        <v>1.65</v>
      </c>
      <c r="C148" s="7">
        <v>1980</v>
      </c>
      <c r="D148" s="76">
        <v>9999</v>
      </c>
      <c r="E148" s="76" t="s">
        <v>238</v>
      </c>
      <c r="F148" s="7"/>
      <c r="G148" s="1030" t="s">
        <v>237</v>
      </c>
      <c r="H148" s="1030"/>
      <c r="I148" s="1030"/>
      <c r="J148" s="1030"/>
      <c r="K148" s="1031"/>
    </row>
    <row r="149" spans="1:11" customFormat="1" ht="12" customHeight="1" x14ac:dyDescent="0.25">
      <c r="A149" s="764"/>
      <c r="B149" s="768">
        <v>1.65</v>
      </c>
      <c r="C149" s="7">
        <v>1980</v>
      </c>
      <c r="D149" s="76">
        <v>9999</v>
      </c>
      <c r="E149" s="76" t="s">
        <v>238</v>
      </c>
      <c r="F149" s="76" t="s">
        <v>29</v>
      </c>
      <c r="G149" s="1030" t="s">
        <v>237</v>
      </c>
      <c r="H149" s="1030"/>
      <c r="I149" s="1030"/>
      <c r="J149" s="1030"/>
      <c r="K149" s="1031"/>
    </row>
    <row r="150" spans="1:11" customFormat="1" x14ac:dyDescent="0.25">
      <c r="A150" s="764"/>
      <c r="B150" s="806">
        <v>1.55</v>
      </c>
      <c r="C150" s="7">
        <v>1980</v>
      </c>
      <c r="D150" s="76">
        <v>9999</v>
      </c>
      <c r="E150" s="76" t="s">
        <v>239</v>
      </c>
      <c r="F150" s="7"/>
      <c r="G150" s="1030" t="s">
        <v>237</v>
      </c>
      <c r="H150" s="1030"/>
      <c r="I150" s="1030"/>
      <c r="J150" s="1030"/>
      <c r="K150" s="1031"/>
    </row>
    <row r="151" spans="1:11" customFormat="1" x14ac:dyDescent="0.25">
      <c r="A151" s="764"/>
      <c r="B151" s="806">
        <v>1.55</v>
      </c>
      <c r="C151" s="7">
        <v>1980</v>
      </c>
      <c r="D151" s="76">
        <v>9999</v>
      </c>
      <c r="E151" s="76" t="s">
        <v>239</v>
      </c>
      <c r="F151" s="76" t="s">
        <v>29</v>
      </c>
      <c r="G151" s="1030" t="s">
        <v>237</v>
      </c>
      <c r="H151" s="1030"/>
      <c r="I151" s="1030"/>
      <c r="J151" s="1030"/>
      <c r="K151" s="1031"/>
    </row>
    <row r="152" spans="1:11" s="9" customFormat="1" ht="13.5" customHeight="1" x14ac:dyDescent="0.3">
      <c r="A152" s="764"/>
      <c r="B152" s="768">
        <v>1.4</v>
      </c>
      <c r="C152" s="7">
        <v>1980</v>
      </c>
      <c r="D152" s="76">
        <v>9999</v>
      </c>
      <c r="E152" s="76" t="s">
        <v>240</v>
      </c>
      <c r="F152" s="7"/>
      <c r="G152" s="1030" t="s">
        <v>237</v>
      </c>
      <c r="H152" s="1030"/>
      <c r="I152" s="1030"/>
      <c r="J152" s="1030"/>
      <c r="K152" s="1031"/>
    </row>
    <row r="153" spans="1:11" customFormat="1" x14ac:dyDescent="0.25">
      <c r="A153" s="764"/>
      <c r="B153" s="768">
        <v>1.4</v>
      </c>
      <c r="C153" s="7">
        <v>1980</v>
      </c>
      <c r="D153" s="76">
        <v>9999</v>
      </c>
      <c r="E153" s="76" t="s">
        <v>240</v>
      </c>
      <c r="F153" s="76" t="s">
        <v>29</v>
      </c>
      <c r="G153" s="1030" t="s">
        <v>237</v>
      </c>
      <c r="H153" s="1030"/>
      <c r="I153" s="1030"/>
      <c r="J153" s="1030"/>
      <c r="K153" s="1031"/>
    </row>
    <row r="154" spans="1:11" customFormat="1" x14ac:dyDescent="0.25">
      <c r="A154" s="764"/>
      <c r="B154" s="768">
        <v>1.35</v>
      </c>
      <c r="C154" s="7">
        <v>1980</v>
      </c>
      <c r="D154" s="76">
        <v>9999</v>
      </c>
      <c r="E154" s="76" t="s">
        <v>241</v>
      </c>
      <c r="F154" s="7"/>
      <c r="G154" s="1030" t="s">
        <v>237</v>
      </c>
      <c r="H154" s="1030"/>
      <c r="I154" s="1030"/>
      <c r="J154" s="1030"/>
      <c r="K154" s="1031"/>
    </row>
    <row r="155" spans="1:11" customFormat="1" x14ac:dyDescent="0.25">
      <c r="A155" s="764"/>
      <c r="B155" s="768">
        <v>1.35</v>
      </c>
      <c r="C155" s="7">
        <v>1980</v>
      </c>
      <c r="D155" s="76">
        <v>9999</v>
      </c>
      <c r="E155" s="76" t="s">
        <v>241</v>
      </c>
      <c r="F155" s="76" t="s">
        <v>29</v>
      </c>
      <c r="G155" s="1030" t="s">
        <v>237</v>
      </c>
      <c r="H155" s="1030"/>
      <c r="I155" s="1030"/>
      <c r="J155" s="1030"/>
      <c r="K155" s="1031"/>
    </row>
    <row r="156" spans="1:11" customFormat="1" x14ac:dyDescent="0.25">
      <c r="A156" s="764"/>
      <c r="B156" s="768">
        <v>1.25</v>
      </c>
      <c r="C156" s="7">
        <v>1980</v>
      </c>
      <c r="D156" s="76">
        <v>9999</v>
      </c>
      <c r="E156" s="76" t="s">
        <v>242</v>
      </c>
      <c r="F156" s="7"/>
      <c r="G156" s="1030" t="s">
        <v>237</v>
      </c>
      <c r="H156" s="1030"/>
      <c r="I156" s="1030"/>
      <c r="J156" s="1030"/>
      <c r="K156" s="1031"/>
    </row>
    <row r="157" spans="1:11" customFormat="1" x14ac:dyDescent="0.25">
      <c r="A157" s="764"/>
      <c r="B157" s="768">
        <v>1.25</v>
      </c>
      <c r="C157" s="7">
        <v>1980</v>
      </c>
      <c r="D157" s="76">
        <v>9999</v>
      </c>
      <c r="E157" s="76" t="s">
        <v>242</v>
      </c>
      <c r="F157" s="76" t="s">
        <v>29</v>
      </c>
      <c r="G157" s="1030" t="s">
        <v>237</v>
      </c>
      <c r="H157" s="1030"/>
      <c r="I157" s="1030"/>
      <c r="J157" s="1030"/>
      <c r="K157" s="1031"/>
    </row>
    <row r="158" spans="1:11" customFormat="1" x14ac:dyDescent="0.25">
      <c r="A158" s="764"/>
      <c r="B158" s="768">
        <v>1.1499999999999999</v>
      </c>
      <c r="C158" s="7">
        <v>1980</v>
      </c>
      <c r="D158" s="76">
        <v>9999</v>
      </c>
      <c r="E158" s="76" t="s">
        <v>243</v>
      </c>
      <c r="F158" s="76"/>
      <c r="G158" s="1030" t="s">
        <v>237</v>
      </c>
      <c r="H158" s="1030"/>
      <c r="I158" s="1030"/>
      <c r="J158" s="1030"/>
      <c r="K158" s="1031"/>
    </row>
    <row r="159" spans="1:11" customFormat="1" x14ac:dyDescent="0.25">
      <c r="A159" s="764"/>
      <c r="B159" s="768">
        <v>1.1499999999999999</v>
      </c>
      <c r="C159" s="7">
        <v>1980</v>
      </c>
      <c r="D159" s="76">
        <v>9999</v>
      </c>
      <c r="E159" s="76" t="s">
        <v>243</v>
      </c>
      <c r="F159" s="76" t="s">
        <v>29</v>
      </c>
      <c r="G159" s="1030" t="s">
        <v>237</v>
      </c>
      <c r="H159" s="1030"/>
      <c r="I159" s="1030"/>
      <c r="J159" s="1030"/>
      <c r="K159" s="1031"/>
    </row>
    <row r="160" spans="1:11" customFormat="1" x14ac:dyDescent="0.25">
      <c r="A160" s="764"/>
      <c r="B160" s="768">
        <v>1.08</v>
      </c>
      <c r="C160" s="7">
        <v>1980</v>
      </c>
      <c r="D160" s="76">
        <v>9999</v>
      </c>
      <c r="E160" s="76" t="s">
        <v>244</v>
      </c>
      <c r="F160" s="76"/>
      <c r="G160" s="1030" t="s">
        <v>237</v>
      </c>
      <c r="H160" s="1030"/>
      <c r="I160" s="1030"/>
      <c r="J160" s="1030"/>
      <c r="K160" s="1031"/>
    </row>
    <row r="161" spans="1:11" customFormat="1" x14ac:dyDescent="0.25">
      <c r="A161" s="764"/>
      <c r="B161" s="768">
        <v>1.08</v>
      </c>
      <c r="C161" s="7">
        <v>1980</v>
      </c>
      <c r="D161" s="76">
        <v>9999</v>
      </c>
      <c r="E161" s="76" t="s">
        <v>244</v>
      </c>
      <c r="F161" s="76" t="s">
        <v>29</v>
      </c>
      <c r="G161" s="1030" t="s">
        <v>237</v>
      </c>
      <c r="H161" s="1030"/>
      <c r="I161" s="1030"/>
      <c r="J161" s="1030"/>
      <c r="K161" s="1031"/>
    </row>
    <row r="162" spans="1:11" customFormat="1" x14ac:dyDescent="0.25">
      <c r="A162" s="764"/>
      <c r="B162" s="768">
        <v>1</v>
      </c>
      <c r="C162" s="7">
        <v>1980</v>
      </c>
      <c r="D162" s="76">
        <v>9999</v>
      </c>
      <c r="E162" s="76" t="s">
        <v>245</v>
      </c>
      <c r="F162" s="76"/>
      <c r="G162" s="1030" t="s">
        <v>237</v>
      </c>
      <c r="H162" s="1030"/>
      <c r="I162" s="1030"/>
      <c r="J162" s="1030"/>
      <c r="K162" s="1031"/>
    </row>
    <row r="163" spans="1:11" customFormat="1" x14ac:dyDescent="0.25">
      <c r="A163" s="764"/>
      <c r="B163" s="768">
        <v>1</v>
      </c>
      <c r="C163" s="7">
        <v>1980</v>
      </c>
      <c r="D163" s="76">
        <v>9999</v>
      </c>
      <c r="E163" s="76" t="s">
        <v>245</v>
      </c>
      <c r="F163" s="76" t="s">
        <v>29</v>
      </c>
      <c r="G163" s="1030" t="s">
        <v>237</v>
      </c>
      <c r="H163" s="1030"/>
      <c r="I163" s="1030"/>
      <c r="J163" s="1030"/>
      <c r="K163" s="1031"/>
    </row>
    <row r="164" spans="1:11" customFormat="1" x14ac:dyDescent="0.25">
      <c r="A164" s="764"/>
      <c r="B164" s="768">
        <v>1</v>
      </c>
      <c r="C164" s="7">
        <v>1980</v>
      </c>
      <c r="D164" s="76">
        <v>9999</v>
      </c>
      <c r="E164" s="76" t="s">
        <v>246</v>
      </c>
      <c r="F164" s="76"/>
      <c r="G164" s="1030" t="s">
        <v>237</v>
      </c>
      <c r="H164" s="1030"/>
      <c r="I164" s="1030"/>
      <c r="J164" s="1030"/>
      <c r="K164" s="1031"/>
    </row>
    <row r="165" spans="1:11" customFormat="1" x14ac:dyDescent="0.25">
      <c r="A165" s="764"/>
      <c r="B165" s="768">
        <v>1</v>
      </c>
      <c r="C165" s="7">
        <v>1980</v>
      </c>
      <c r="D165" s="76">
        <v>9999</v>
      </c>
      <c r="E165" s="76" t="s">
        <v>246</v>
      </c>
      <c r="F165" s="76" t="s">
        <v>29</v>
      </c>
      <c r="G165" s="1030" t="s">
        <v>237</v>
      </c>
      <c r="H165" s="1030"/>
      <c r="I165" s="1030"/>
      <c r="J165" s="1030"/>
      <c r="K165" s="1031"/>
    </row>
    <row r="166" spans="1:11" customFormat="1" x14ac:dyDescent="0.25">
      <c r="A166" s="764"/>
      <c r="B166" s="768">
        <v>0.98</v>
      </c>
      <c r="C166" s="7">
        <v>1980</v>
      </c>
      <c r="D166" s="76">
        <v>9999</v>
      </c>
      <c r="E166" s="76" t="s">
        <v>247</v>
      </c>
      <c r="F166" s="76"/>
      <c r="G166" s="1030" t="s">
        <v>237</v>
      </c>
      <c r="H166" s="1030"/>
      <c r="I166" s="1030"/>
      <c r="J166" s="1030"/>
      <c r="K166" s="1031"/>
    </row>
    <row r="167" spans="1:11" customFormat="1" x14ac:dyDescent="0.25">
      <c r="A167" s="764"/>
      <c r="B167" s="768">
        <v>0.98</v>
      </c>
      <c r="C167" s="7">
        <v>1980</v>
      </c>
      <c r="D167" s="76">
        <v>9999</v>
      </c>
      <c r="E167" s="76" t="s">
        <v>247</v>
      </c>
      <c r="F167" s="76" t="s">
        <v>29</v>
      </c>
      <c r="G167" s="1030" t="s">
        <v>237</v>
      </c>
      <c r="H167" s="1030"/>
      <c r="I167" s="1030"/>
      <c r="J167" s="1030"/>
      <c r="K167" s="1031"/>
    </row>
    <row r="168" spans="1:11" customFormat="1" x14ac:dyDescent="0.25">
      <c r="A168" s="764"/>
      <c r="B168" s="768">
        <v>0.95</v>
      </c>
      <c r="C168" s="7">
        <v>1980</v>
      </c>
      <c r="D168" s="76">
        <v>9999</v>
      </c>
      <c r="E168" s="76" t="s">
        <v>248</v>
      </c>
      <c r="F168" s="76"/>
      <c r="G168" s="1030" t="s">
        <v>237</v>
      </c>
      <c r="H168" s="1030"/>
      <c r="I168" s="1030"/>
      <c r="J168" s="1030"/>
      <c r="K168" s="1031"/>
    </row>
    <row r="169" spans="1:11" customFormat="1" x14ac:dyDescent="0.25">
      <c r="A169" s="764"/>
      <c r="B169" s="768">
        <v>0.95</v>
      </c>
      <c r="C169" s="7">
        <v>1980</v>
      </c>
      <c r="D169" s="76">
        <v>9999</v>
      </c>
      <c r="E169" s="76" t="s">
        <v>248</v>
      </c>
      <c r="F169" s="76" t="s">
        <v>29</v>
      </c>
      <c r="G169" s="1030" t="s">
        <v>237</v>
      </c>
      <c r="H169" s="1030"/>
      <c r="I169" s="1030"/>
      <c r="J169" s="1030"/>
      <c r="K169" s="1031"/>
    </row>
    <row r="170" spans="1:11" customFormat="1" x14ac:dyDescent="0.25">
      <c r="A170" s="764"/>
      <c r="B170" s="768">
        <v>0.92</v>
      </c>
      <c r="C170" s="7">
        <v>1980</v>
      </c>
      <c r="D170" s="76">
        <v>9999</v>
      </c>
      <c r="E170" s="76" t="s">
        <v>249</v>
      </c>
      <c r="F170" s="76"/>
      <c r="G170" s="1030" t="s">
        <v>237</v>
      </c>
      <c r="H170" s="1030"/>
      <c r="I170" s="1030"/>
      <c r="J170" s="1030"/>
      <c r="K170" s="1031"/>
    </row>
    <row r="171" spans="1:11" customFormat="1" x14ac:dyDescent="0.25">
      <c r="A171" s="764"/>
      <c r="B171" s="768">
        <v>0.92</v>
      </c>
      <c r="C171" s="7">
        <v>1980</v>
      </c>
      <c r="D171" s="76">
        <v>9999</v>
      </c>
      <c r="E171" s="76" t="s">
        <v>249</v>
      </c>
      <c r="F171" s="76" t="s">
        <v>29</v>
      </c>
      <c r="G171" s="1030" t="s">
        <v>237</v>
      </c>
      <c r="H171" s="1030"/>
      <c r="I171" s="1030"/>
      <c r="J171" s="1030"/>
      <c r="K171" s="1031"/>
    </row>
    <row r="172" spans="1:11" customFormat="1" x14ac:dyDescent="0.25">
      <c r="A172" s="764"/>
      <c r="B172" s="806">
        <v>0.85</v>
      </c>
      <c r="C172" s="7">
        <v>1980</v>
      </c>
      <c r="D172" s="76">
        <v>9999</v>
      </c>
      <c r="E172" s="76" t="s">
        <v>250</v>
      </c>
      <c r="F172" s="76"/>
      <c r="G172" s="1030" t="s">
        <v>237</v>
      </c>
      <c r="H172" s="1030"/>
      <c r="I172" s="1030"/>
      <c r="J172" s="1030"/>
      <c r="K172" s="1031"/>
    </row>
    <row r="173" spans="1:11" customFormat="1" x14ac:dyDescent="0.25">
      <c r="A173" s="764"/>
      <c r="B173" s="806">
        <v>0.85</v>
      </c>
      <c r="C173" s="7">
        <v>1980</v>
      </c>
      <c r="D173" s="76">
        <v>9999</v>
      </c>
      <c r="E173" s="76" t="s">
        <v>250</v>
      </c>
      <c r="F173" s="76" t="s">
        <v>29</v>
      </c>
      <c r="G173" s="1030" t="s">
        <v>237</v>
      </c>
      <c r="H173" s="1030"/>
      <c r="I173" s="1030"/>
      <c r="J173" s="1030"/>
      <c r="K173" s="1031"/>
    </row>
    <row r="174" spans="1:11" customFormat="1" x14ac:dyDescent="0.25">
      <c r="A174" s="764"/>
      <c r="B174" s="806">
        <v>0.8</v>
      </c>
      <c r="C174" s="7">
        <v>1980</v>
      </c>
      <c r="D174" s="76">
        <v>9999</v>
      </c>
      <c r="E174" s="76" t="s">
        <v>251</v>
      </c>
      <c r="F174" s="76"/>
      <c r="G174" s="1030" t="s">
        <v>237</v>
      </c>
      <c r="H174" s="1030"/>
      <c r="I174" s="1030"/>
      <c r="J174" s="1030"/>
      <c r="K174" s="1031"/>
    </row>
    <row r="175" spans="1:11" customFormat="1" x14ac:dyDescent="0.25">
      <c r="A175" s="764"/>
      <c r="B175" s="806">
        <v>0.8</v>
      </c>
      <c r="C175" s="7">
        <v>1980</v>
      </c>
      <c r="D175" s="76">
        <v>9999</v>
      </c>
      <c r="E175" s="76" t="s">
        <v>251</v>
      </c>
      <c r="F175" s="76" t="s">
        <v>29</v>
      </c>
      <c r="G175" s="1030" t="s">
        <v>237</v>
      </c>
      <c r="H175" s="1030"/>
      <c r="I175" s="1030"/>
      <c r="J175" s="1030"/>
      <c r="K175" s="1031"/>
    </row>
    <row r="176" spans="1:11" customFormat="1" x14ac:dyDescent="0.25">
      <c r="A176" s="764"/>
      <c r="B176" s="806">
        <v>0.75</v>
      </c>
      <c r="C176" s="7">
        <v>1980</v>
      </c>
      <c r="D176" s="76">
        <v>9999</v>
      </c>
      <c r="E176" s="76" t="s">
        <v>252</v>
      </c>
      <c r="F176" s="76"/>
      <c r="G176" s="1030" t="s">
        <v>237</v>
      </c>
      <c r="H176" s="1030"/>
      <c r="I176" s="1030"/>
      <c r="J176" s="1030"/>
      <c r="K176" s="1031"/>
    </row>
    <row r="177" spans="1:11" customFormat="1" x14ac:dyDescent="0.25">
      <c r="A177" s="764"/>
      <c r="B177" s="806">
        <v>0.75</v>
      </c>
      <c r="C177" s="7">
        <v>1980</v>
      </c>
      <c r="D177" s="76">
        <v>9999</v>
      </c>
      <c r="E177" s="76" t="s">
        <v>252</v>
      </c>
      <c r="F177" s="76" t="s">
        <v>29</v>
      </c>
      <c r="G177" s="1030" t="s">
        <v>237</v>
      </c>
      <c r="H177" s="1030"/>
      <c r="I177" s="1030"/>
      <c r="J177" s="1030"/>
      <c r="K177" s="1031"/>
    </row>
    <row r="178" spans="1:11" customFormat="1" x14ac:dyDescent="0.25">
      <c r="A178" s="764"/>
      <c r="B178" s="806">
        <v>0.7</v>
      </c>
      <c r="C178" s="7">
        <v>1980</v>
      </c>
      <c r="D178" s="76">
        <v>9999</v>
      </c>
      <c r="E178" s="76" t="s">
        <v>253</v>
      </c>
      <c r="F178" s="76"/>
      <c r="G178" s="1030" t="s">
        <v>237</v>
      </c>
      <c r="H178" s="1030"/>
      <c r="I178" s="1030"/>
      <c r="J178" s="1030"/>
      <c r="K178" s="1031"/>
    </row>
    <row r="179" spans="1:11" customFormat="1" x14ac:dyDescent="0.25">
      <c r="A179" s="764"/>
      <c r="B179" s="806">
        <v>0.7</v>
      </c>
      <c r="C179" s="7">
        <v>1980</v>
      </c>
      <c r="D179" s="76">
        <v>9999</v>
      </c>
      <c r="E179" s="76" t="s">
        <v>253</v>
      </c>
      <c r="F179" s="76" t="s">
        <v>29</v>
      </c>
      <c r="G179" s="1030" t="s">
        <v>237</v>
      </c>
      <c r="H179" s="1030"/>
      <c r="I179" s="1030"/>
      <c r="J179" s="1030"/>
      <c r="K179" s="1031"/>
    </row>
    <row r="180" spans="1:11" customFormat="1" ht="12" customHeight="1" x14ac:dyDescent="0.25">
      <c r="A180" s="764"/>
      <c r="B180" s="768">
        <v>1.1000000000000001</v>
      </c>
      <c r="C180" s="7">
        <v>1980</v>
      </c>
      <c r="D180" s="76">
        <v>9999</v>
      </c>
      <c r="E180" s="76" t="s">
        <v>254</v>
      </c>
      <c r="F180" s="7"/>
      <c r="G180" s="1030" t="s">
        <v>237</v>
      </c>
      <c r="H180" s="1030"/>
      <c r="I180" s="1030"/>
      <c r="J180" s="1030"/>
      <c r="K180" s="1031"/>
    </row>
    <row r="181" spans="1:11" customFormat="1" ht="12" customHeight="1" x14ac:dyDescent="0.25">
      <c r="A181" s="764"/>
      <c r="B181" s="768">
        <v>1.1000000000000001</v>
      </c>
      <c r="C181" s="7">
        <v>1980</v>
      </c>
      <c r="D181" s="76">
        <v>9999</v>
      </c>
      <c r="E181" s="76" t="s">
        <v>254</v>
      </c>
      <c r="F181" s="76" t="s">
        <v>29</v>
      </c>
      <c r="G181" s="1030" t="s">
        <v>237</v>
      </c>
      <c r="H181" s="1030"/>
      <c r="I181" s="1030"/>
      <c r="J181" s="1030"/>
      <c r="K181" s="1031"/>
    </row>
    <row r="182" spans="1:11" customFormat="1" ht="12" customHeight="1" x14ac:dyDescent="0.25">
      <c r="A182" s="764"/>
      <c r="B182" s="806">
        <v>1.3</v>
      </c>
      <c r="C182" s="7">
        <v>1980</v>
      </c>
      <c r="D182" s="76">
        <v>9999</v>
      </c>
      <c r="E182" s="76" t="s">
        <v>255</v>
      </c>
      <c r="F182" s="7"/>
      <c r="G182" s="1030" t="s">
        <v>237</v>
      </c>
      <c r="H182" s="1030"/>
      <c r="I182" s="1030"/>
      <c r="J182" s="1030"/>
      <c r="K182" s="1031"/>
    </row>
    <row r="183" spans="1:11" customFormat="1" ht="12" customHeight="1" x14ac:dyDescent="0.25">
      <c r="A183" s="764"/>
      <c r="B183" s="806">
        <v>1.3</v>
      </c>
      <c r="C183" s="7">
        <v>1980</v>
      </c>
      <c r="D183" s="76">
        <v>9999</v>
      </c>
      <c r="E183" s="76" t="s">
        <v>255</v>
      </c>
      <c r="F183" s="76" t="s">
        <v>29</v>
      </c>
      <c r="G183" s="1030" t="s">
        <v>237</v>
      </c>
      <c r="H183" s="1030"/>
      <c r="I183" s="1030"/>
      <c r="J183" s="1030"/>
      <c r="K183" s="1031"/>
    </row>
    <row r="184" spans="1:11" customFormat="1" ht="12" customHeight="1" x14ac:dyDescent="0.25">
      <c r="A184" s="764"/>
      <c r="B184" s="769">
        <v>1</v>
      </c>
      <c r="C184" s="7">
        <v>1980</v>
      </c>
      <c r="D184" s="76">
        <v>9999</v>
      </c>
      <c r="E184" s="76" t="s">
        <v>256</v>
      </c>
      <c r="F184" s="76"/>
      <c r="G184" s="1030" t="s">
        <v>237</v>
      </c>
      <c r="H184" s="1030"/>
      <c r="I184" s="1030"/>
      <c r="J184" s="1030"/>
      <c r="K184" s="1031"/>
    </row>
    <row r="185" spans="1:11" customFormat="1" ht="12" customHeight="1" x14ac:dyDescent="0.25">
      <c r="A185" s="764"/>
      <c r="B185" s="769">
        <v>1</v>
      </c>
      <c r="C185" s="7">
        <v>1980</v>
      </c>
      <c r="D185" s="76">
        <v>9999</v>
      </c>
      <c r="E185" s="76" t="s">
        <v>256</v>
      </c>
      <c r="F185" s="76" t="s">
        <v>29</v>
      </c>
      <c r="G185" s="1030" t="s">
        <v>237</v>
      </c>
      <c r="H185" s="1030"/>
      <c r="I185" s="1030"/>
      <c r="J185" s="1030"/>
      <c r="K185" s="1031"/>
    </row>
    <row r="186" spans="1:11" customFormat="1" ht="12" customHeight="1" x14ac:dyDescent="0.25">
      <c r="A186" s="764"/>
      <c r="B186" s="769">
        <v>1</v>
      </c>
      <c r="C186" s="7">
        <v>1980</v>
      </c>
      <c r="D186" s="76">
        <v>9999</v>
      </c>
      <c r="E186" s="76" t="s">
        <v>257</v>
      </c>
      <c r="F186" s="76"/>
      <c r="G186" s="1030" t="s">
        <v>237</v>
      </c>
      <c r="H186" s="1030"/>
      <c r="I186" s="1030"/>
      <c r="J186" s="1030"/>
      <c r="K186" s="1031"/>
    </row>
    <row r="187" spans="1:11" customFormat="1" ht="12" customHeight="1" x14ac:dyDescent="0.25">
      <c r="A187" s="764"/>
      <c r="B187" s="769">
        <v>1</v>
      </c>
      <c r="C187" s="7">
        <v>1980</v>
      </c>
      <c r="D187" s="76">
        <v>9999</v>
      </c>
      <c r="E187" s="76" t="s">
        <v>257</v>
      </c>
      <c r="F187" s="76" t="s">
        <v>29</v>
      </c>
      <c r="G187" s="1030" t="s">
        <v>237</v>
      </c>
      <c r="H187" s="1030"/>
      <c r="I187" s="1030"/>
      <c r="J187" s="1030"/>
      <c r="K187" s="1031"/>
    </row>
    <row r="188" spans="1:11" customFormat="1" ht="12" customHeight="1" x14ac:dyDescent="0.25">
      <c r="A188" s="764"/>
      <c r="B188" s="769">
        <v>1</v>
      </c>
      <c r="C188" s="7">
        <v>1980</v>
      </c>
      <c r="D188" s="76">
        <v>9999</v>
      </c>
      <c r="E188" s="76" t="s">
        <v>258</v>
      </c>
      <c r="F188" s="76"/>
      <c r="G188" s="1030" t="s">
        <v>237</v>
      </c>
      <c r="H188" s="1030"/>
      <c r="I188" s="1030"/>
      <c r="J188" s="1030"/>
      <c r="K188" s="1031"/>
    </row>
    <row r="189" spans="1:11" customFormat="1" ht="12" customHeight="1" x14ac:dyDescent="0.25">
      <c r="A189" s="764"/>
      <c r="B189" s="769">
        <v>1</v>
      </c>
      <c r="C189" s="7">
        <v>1980</v>
      </c>
      <c r="D189" s="76">
        <v>9999</v>
      </c>
      <c r="E189" s="76" t="s">
        <v>258</v>
      </c>
      <c r="F189" s="76" t="s">
        <v>29</v>
      </c>
      <c r="G189" s="1030" t="s">
        <v>237</v>
      </c>
      <c r="H189" s="1030"/>
      <c r="I189" s="1030"/>
      <c r="J189" s="1030"/>
      <c r="K189" s="1031"/>
    </row>
    <row r="190" spans="1:11" customFormat="1" ht="12" customHeight="1" x14ac:dyDescent="0.25">
      <c r="A190" s="764"/>
      <c r="B190" s="769">
        <v>1</v>
      </c>
      <c r="C190" s="7">
        <v>1980</v>
      </c>
      <c r="D190" s="76">
        <v>9999</v>
      </c>
      <c r="E190" s="76" t="s">
        <v>259</v>
      </c>
      <c r="F190" s="76"/>
      <c r="G190" s="1030" t="s">
        <v>237</v>
      </c>
      <c r="H190" s="1030"/>
      <c r="I190" s="1030"/>
      <c r="J190" s="1030"/>
      <c r="K190" s="1031"/>
    </row>
    <row r="191" spans="1:11" customFormat="1" ht="12" customHeight="1" thickBot="1" x14ac:dyDescent="0.3">
      <c r="A191" s="764"/>
      <c r="B191" s="770">
        <v>1</v>
      </c>
      <c r="C191" s="771">
        <v>1980</v>
      </c>
      <c r="D191" s="772">
        <v>9999</v>
      </c>
      <c r="E191" s="772" t="s">
        <v>259</v>
      </c>
      <c r="F191" s="772" t="s">
        <v>29</v>
      </c>
      <c r="G191" s="1032" t="s">
        <v>237</v>
      </c>
      <c r="H191" s="1032"/>
      <c r="I191" s="1032"/>
      <c r="J191" s="1032"/>
      <c r="K191" s="1033"/>
    </row>
    <row r="193" spans="1:15" ht="13" thickBot="1" x14ac:dyDescent="0.3"/>
    <row r="194" spans="1:15" ht="21.75" customHeight="1" thickBot="1" x14ac:dyDescent="0.3">
      <c r="A194" s="515" t="s">
        <v>173</v>
      </c>
      <c r="B194" s="1041" t="s">
        <v>260</v>
      </c>
      <c r="C194" s="1041"/>
      <c r="D194" s="1041"/>
      <c r="E194" s="1041"/>
      <c r="F194" s="1041"/>
      <c r="G194" s="1041"/>
      <c r="H194" s="1041"/>
      <c r="I194" s="1041"/>
      <c r="J194" s="1041"/>
      <c r="K194" s="1041"/>
      <c r="L194" s="1041"/>
      <c r="M194" s="1041"/>
      <c r="N194" s="1042"/>
    </row>
    <row r="195" spans="1:15" ht="12" customHeight="1" x14ac:dyDescent="0.25">
      <c r="A195" s="516" t="s">
        <v>202</v>
      </c>
      <c r="B195" s="82" t="s">
        <v>200</v>
      </c>
      <c r="C195" s="517"/>
      <c r="D195" s="517"/>
      <c r="E195" s="517"/>
      <c r="F195" s="517"/>
      <c r="G195" s="517"/>
      <c r="H195" s="517"/>
      <c r="I195" s="517"/>
      <c r="J195" s="517"/>
      <c r="K195" s="518" t="s">
        <v>177</v>
      </c>
      <c r="L195" s="519" t="s">
        <v>29</v>
      </c>
      <c r="M195" s="520"/>
      <c r="N195" s="521"/>
    </row>
    <row r="196" spans="1:15" ht="12" customHeight="1" x14ac:dyDescent="0.25">
      <c r="A196" s="516" t="s">
        <v>203</v>
      </c>
      <c r="B196" s="82" t="s">
        <v>204</v>
      </c>
      <c r="C196" s="517"/>
      <c r="D196" s="517"/>
      <c r="E196" s="517"/>
      <c r="F196" s="517"/>
      <c r="G196" s="517"/>
      <c r="H196" s="517"/>
      <c r="I196" s="517"/>
      <c r="J196" s="517"/>
      <c r="K196" s="344" t="s">
        <v>179</v>
      </c>
      <c r="L196" s="136" t="s">
        <v>29</v>
      </c>
      <c r="M196" s="522"/>
      <c r="N196" s="521"/>
    </row>
    <row r="197" spans="1:15" ht="12" customHeight="1" x14ac:dyDescent="0.25">
      <c r="A197" s="516" t="s">
        <v>205</v>
      </c>
      <c r="B197" s="82" t="s">
        <v>206</v>
      </c>
      <c r="C197" s="517"/>
      <c r="D197" s="517"/>
      <c r="E197" s="517"/>
      <c r="F197" s="517"/>
      <c r="G197" s="517"/>
      <c r="H197" s="517"/>
      <c r="I197" s="517"/>
      <c r="J197" s="517"/>
      <c r="K197" s="344" t="s">
        <v>181</v>
      </c>
      <c r="L197" s="137"/>
      <c r="M197" s="340"/>
      <c r="N197" s="521"/>
    </row>
    <row r="198" spans="1:15" ht="12" customHeight="1" x14ac:dyDescent="0.3">
      <c r="A198" s="516" t="s">
        <v>207</v>
      </c>
      <c r="B198" s="523" t="s">
        <v>208</v>
      </c>
      <c r="C198" s="517"/>
      <c r="D198" s="517"/>
      <c r="E198" s="517"/>
      <c r="F198" s="517"/>
      <c r="G198" s="517"/>
      <c r="H198" s="517"/>
      <c r="I198" s="517"/>
      <c r="J198" s="517"/>
      <c r="K198" s="344" t="s">
        <v>182</v>
      </c>
      <c r="L198" s="524"/>
      <c r="M198" s="525"/>
      <c r="N198" s="521"/>
    </row>
    <row r="199" spans="1:15" ht="12" customHeight="1" x14ac:dyDescent="0.3">
      <c r="A199" s="516" t="s">
        <v>187</v>
      </c>
      <c r="B199" s="82" t="s">
        <v>209</v>
      </c>
      <c r="C199" s="517"/>
      <c r="D199" s="517"/>
      <c r="E199" s="517"/>
      <c r="F199" s="517"/>
      <c r="G199" s="517"/>
      <c r="H199" s="517"/>
      <c r="I199" s="517"/>
      <c r="J199" s="349"/>
      <c r="K199" s="344" t="s">
        <v>183</v>
      </c>
      <c r="L199" s="524"/>
      <c r="M199" s="525"/>
      <c r="N199" s="521"/>
    </row>
    <row r="200" spans="1:15" ht="13" x14ac:dyDescent="0.3">
      <c r="A200" s="516" t="s">
        <v>210</v>
      </c>
      <c r="B200" s="81" t="s">
        <v>211</v>
      </c>
      <c r="K200" s="344" t="s">
        <v>184</v>
      </c>
      <c r="L200" s="526">
        <v>4</v>
      </c>
      <c r="M200" s="525"/>
      <c r="N200" s="521"/>
    </row>
    <row r="201" spans="1:15" ht="13" x14ac:dyDescent="0.3">
      <c r="A201" s="516"/>
      <c r="B201" s="1051"/>
      <c r="C201" s="1051"/>
      <c r="D201" s="1051"/>
      <c r="E201" s="1051"/>
      <c r="F201" s="1051"/>
      <c r="G201" s="1051"/>
      <c r="H201" s="1051"/>
      <c r="I201" s="1051"/>
      <c r="J201" s="1051"/>
      <c r="K201" s="344" t="s">
        <v>185</v>
      </c>
      <c r="L201" s="526">
        <v>2</v>
      </c>
      <c r="M201" s="525"/>
      <c r="N201" s="521"/>
    </row>
    <row r="202" spans="1:15" ht="13.5" thickBot="1" x14ac:dyDescent="0.35">
      <c r="A202" s="516"/>
      <c r="B202" s="119"/>
      <c r="C202" s="119"/>
      <c r="D202" s="119"/>
      <c r="E202" s="119"/>
      <c r="F202" s="119"/>
      <c r="G202" s="119"/>
      <c r="H202" s="119"/>
      <c r="I202" s="119"/>
      <c r="J202" s="119"/>
      <c r="K202" s="344" t="s">
        <v>186</v>
      </c>
      <c r="L202" s="561"/>
      <c r="M202" s="525"/>
      <c r="N202" s="521"/>
    </row>
    <row r="203" spans="1:15" s="84" customFormat="1" ht="13.5" customHeight="1" thickBot="1" x14ac:dyDescent="0.35">
      <c r="A203" s="527" t="s">
        <v>212</v>
      </c>
      <c r="B203" s="528">
        <v>111.8775</v>
      </c>
      <c r="C203" s="529"/>
      <c r="D203" s="529"/>
      <c r="E203" s="530"/>
      <c r="F203" s="530"/>
      <c r="G203" s="530"/>
      <c r="H203" s="530"/>
      <c r="I203" s="530"/>
      <c r="J203" s="530"/>
      <c r="K203" s="344" t="s">
        <v>187</v>
      </c>
      <c r="L203" s="524" t="s">
        <v>29</v>
      </c>
      <c r="M203" s="525"/>
      <c r="N203" s="531"/>
    </row>
    <row r="204" spans="1:15" ht="13.5" thickBot="1" x14ac:dyDescent="0.35">
      <c r="A204" s="516"/>
      <c r="B204" s="349"/>
      <c r="C204" s="532"/>
      <c r="D204" s="532"/>
      <c r="E204" s="349"/>
      <c r="F204" s="349"/>
      <c r="G204" s="349"/>
      <c r="H204" s="349"/>
      <c r="I204" s="349"/>
      <c r="J204" s="349"/>
      <c r="K204" s="533" t="s">
        <v>188</v>
      </c>
      <c r="L204" s="534"/>
      <c r="M204" s="535"/>
      <c r="N204" s="521"/>
    </row>
    <row r="205" spans="1:15" ht="13.5" thickBot="1" x14ac:dyDescent="0.35">
      <c r="A205" s="516"/>
      <c r="B205" s="349"/>
      <c r="C205" s="532"/>
      <c r="D205" s="532"/>
      <c r="E205" s="349"/>
      <c r="F205" s="349"/>
      <c r="G205" s="349"/>
      <c r="H205" s="349"/>
      <c r="I205" s="349"/>
      <c r="J205" s="349"/>
      <c r="K205" s="395"/>
      <c r="L205" s="536"/>
      <c r="M205" s="537"/>
      <c r="N205" s="521"/>
    </row>
    <row r="206" spans="1:15" s="84" customFormat="1" ht="32.25" customHeight="1" thickBot="1" x14ac:dyDescent="0.4">
      <c r="A206" s="538" t="s">
        <v>213</v>
      </c>
      <c r="B206" s="539" t="s">
        <v>214</v>
      </c>
      <c r="C206" s="540" t="s">
        <v>215</v>
      </c>
      <c r="D206" s="540" t="s">
        <v>216</v>
      </c>
      <c r="E206" s="540" t="s">
        <v>217</v>
      </c>
      <c r="F206" s="540" t="s">
        <v>218</v>
      </c>
      <c r="G206" s="539" t="s">
        <v>219</v>
      </c>
      <c r="H206" s="539" t="s">
        <v>220</v>
      </c>
      <c r="I206" s="539" t="s">
        <v>221</v>
      </c>
      <c r="J206" s="539" t="s">
        <v>222</v>
      </c>
      <c r="K206" s="539" t="s">
        <v>223</v>
      </c>
      <c r="L206" s="539" t="s">
        <v>179</v>
      </c>
      <c r="M206" s="539" t="s">
        <v>177</v>
      </c>
      <c r="N206" s="541" t="s">
        <v>224</v>
      </c>
      <c r="O206" s="542"/>
    </row>
    <row r="207" spans="1:15" ht="14.5" x14ac:dyDescent="0.35">
      <c r="A207" s="583">
        <v>65000</v>
      </c>
      <c r="B207" s="584"/>
      <c r="C207" s="585"/>
      <c r="D207" s="586">
        <v>1</v>
      </c>
      <c r="E207" s="807">
        <v>72.160987500000005</v>
      </c>
      <c r="F207" s="585"/>
      <c r="G207" s="586"/>
      <c r="H207" s="586" t="s">
        <v>200</v>
      </c>
      <c r="I207" s="586">
        <v>1</v>
      </c>
      <c r="J207" s="586"/>
      <c r="K207" s="587">
        <v>0</v>
      </c>
      <c r="L207" s="586" t="s">
        <v>29</v>
      </c>
      <c r="M207" s="586" t="s">
        <v>29</v>
      </c>
      <c r="N207" s="953"/>
      <c r="O207" s="952"/>
    </row>
    <row r="208" spans="1:15" ht="14.5" x14ac:dyDescent="0.35">
      <c r="A208" s="583">
        <v>75000</v>
      </c>
      <c r="B208" s="584"/>
      <c r="C208" s="585"/>
      <c r="D208" s="586">
        <v>2</v>
      </c>
      <c r="E208" s="807">
        <v>82.789349999999999</v>
      </c>
      <c r="F208" s="588"/>
      <c r="G208" s="588"/>
      <c r="H208" s="586" t="s">
        <v>200</v>
      </c>
      <c r="I208" s="586">
        <v>1</v>
      </c>
      <c r="J208" s="586"/>
      <c r="K208" s="587">
        <v>0</v>
      </c>
      <c r="L208" s="586" t="s">
        <v>29</v>
      </c>
      <c r="M208" s="586" t="s">
        <v>29</v>
      </c>
      <c r="N208" s="953"/>
      <c r="O208" s="952"/>
    </row>
    <row r="209" spans="1:15" ht="14.5" x14ac:dyDescent="0.35">
      <c r="A209" s="583">
        <v>100000</v>
      </c>
      <c r="B209" s="584"/>
      <c r="C209" s="585"/>
      <c r="D209" s="586">
        <v>3</v>
      </c>
      <c r="E209" s="807">
        <v>108.93512174999999</v>
      </c>
      <c r="F209" s="585"/>
      <c r="G209" s="586" t="s">
        <v>29</v>
      </c>
      <c r="H209" s="586" t="s">
        <v>200</v>
      </c>
      <c r="I209" s="586">
        <v>1</v>
      </c>
      <c r="J209" s="586"/>
      <c r="K209" s="587">
        <v>0</v>
      </c>
      <c r="L209" s="586" t="s">
        <v>29</v>
      </c>
      <c r="M209" s="586" t="s">
        <v>29</v>
      </c>
      <c r="N209" s="953"/>
      <c r="O209" s="952"/>
    </row>
    <row r="210" spans="1:15" ht="14.5" x14ac:dyDescent="0.35">
      <c r="A210" s="583">
        <v>300000</v>
      </c>
      <c r="B210" s="584"/>
      <c r="C210" s="585"/>
      <c r="D210" s="586">
        <v>4</v>
      </c>
      <c r="E210" s="807">
        <v>167.81625</v>
      </c>
      <c r="F210" s="585"/>
      <c r="G210" s="586"/>
      <c r="H210" s="586" t="s">
        <v>200</v>
      </c>
      <c r="I210" s="586">
        <v>1</v>
      </c>
      <c r="J210" s="586"/>
      <c r="K210" s="587">
        <v>0</v>
      </c>
      <c r="L210" s="586" t="s">
        <v>29</v>
      </c>
      <c r="M210" s="586" t="s">
        <v>29</v>
      </c>
      <c r="N210" s="953"/>
      <c r="O210" s="952"/>
    </row>
    <row r="211" spans="1:15" ht="14.5" x14ac:dyDescent="0.35">
      <c r="A211" s="583">
        <v>500000</v>
      </c>
      <c r="B211" s="584"/>
      <c r="C211" s="585"/>
      <c r="D211" s="586">
        <v>5</v>
      </c>
      <c r="E211" s="807">
        <v>394.50244049999998</v>
      </c>
      <c r="F211" s="585"/>
      <c r="G211" s="586"/>
      <c r="H211" s="586" t="s">
        <v>200</v>
      </c>
      <c r="I211" s="586">
        <v>1</v>
      </c>
      <c r="J211" s="586"/>
      <c r="K211" s="587">
        <v>0</v>
      </c>
      <c r="L211" s="586" t="s">
        <v>29</v>
      </c>
      <c r="M211" s="586" t="s">
        <v>29</v>
      </c>
      <c r="N211" s="953"/>
      <c r="O211" s="952"/>
    </row>
    <row r="212" spans="1:15" ht="15" thickBot="1" x14ac:dyDescent="0.4">
      <c r="A212" s="589">
        <v>1000000</v>
      </c>
      <c r="B212" s="590"/>
      <c r="C212" s="591"/>
      <c r="D212" s="592">
        <v>6</v>
      </c>
      <c r="E212" s="809">
        <v>552.2944665</v>
      </c>
      <c r="F212" s="591"/>
      <c r="G212" s="592"/>
      <c r="H212" s="592" t="s">
        <v>200</v>
      </c>
      <c r="I212" s="592">
        <v>1</v>
      </c>
      <c r="J212" s="592"/>
      <c r="K212" s="593">
        <v>0</v>
      </c>
      <c r="L212" s="592"/>
      <c r="M212" s="592"/>
      <c r="N212" s="954"/>
      <c r="O212" s="952"/>
    </row>
    <row r="213" spans="1:15" s="1" customFormat="1" ht="12.75" customHeight="1" thickBot="1" x14ac:dyDescent="0.3">
      <c r="A213" s="761" t="s">
        <v>229</v>
      </c>
      <c r="B213" s="762" t="s">
        <v>230</v>
      </c>
      <c r="C213" s="762" t="s">
        <v>231</v>
      </c>
      <c r="D213" s="762" t="s">
        <v>232</v>
      </c>
      <c r="E213" s="762" t="s">
        <v>233</v>
      </c>
      <c r="F213" s="763" t="s">
        <v>234</v>
      </c>
      <c r="G213" s="1034" t="s">
        <v>235</v>
      </c>
      <c r="H213" s="1035"/>
      <c r="I213" s="1035"/>
      <c r="J213" s="1035"/>
      <c r="K213" s="1036"/>
    </row>
    <row r="214" spans="1:15" s="1" customFormat="1" ht="12.75" customHeight="1" x14ac:dyDescent="0.25">
      <c r="A214" s="764"/>
      <c r="B214" s="765">
        <v>1.75</v>
      </c>
      <c r="C214" s="766">
        <v>1980</v>
      </c>
      <c r="D214" s="767">
        <v>9999</v>
      </c>
      <c r="E214" s="767" t="s">
        <v>236</v>
      </c>
      <c r="F214" s="766"/>
      <c r="G214" s="1037" t="s">
        <v>237</v>
      </c>
      <c r="H214" s="1037"/>
      <c r="I214" s="1037"/>
      <c r="J214" s="1037"/>
      <c r="K214" s="1038"/>
    </row>
    <row r="215" spans="1:15" customFormat="1" ht="12" customHeight="1" x14ac:dyDescent="0.25">
      <c r="A215" s="764"/>
      <c r="B215" s="768">
        <v>1.75</v>
      </c>
      <c r="C215" s="7">
        <v>1980</v>
      </c>
      <c r="D215" s="76">
        <v>9999</v>
      </c>
      <c r="E215" s="76" t="s">
        <v>236</v>
      </c>
      <c r="F215" s="76" t="s">
        <v>29</v>
      </c>
      <c r="G215" s="1030" t="s">
        <v>237</v>
      </c>
      <c r="H215" s="1030"/>
      <c r="I215" s="1030"/>
      <c r="J215" s="1030"/>
      <c r="K215" s="1031"/>
    </row>
    <row r="216" spans="1:15" customFormat="1" x14ac:dyDescent="0.25">
      <c r="A216" s="764"/>
      <c r="B216" s="768">
        <v>1.65</v>
      </c>
      <c r="C216" s="7">
        <v>1980</v>
      </c>
      <c r="D216" s="76">
        <v>9999</v>
      </c>
      <c r="E216" s="76" t="s">
        <v>238</v>
      </c>
      <c r="F216" s="7"/>
      <c r="G216" s="1030" t="s">
        <v>237</v>
      </c>
      <c r="H216" s="1030"/>
      <c r="I216" s="1030"/>
      <c r="J216" s="1030"/>
      <c r="K216" s="1031"/>
    </row>
    <row r="217" spans="1:15" customFormat="1" ht="12" customHeight="1" x14ac:dyDescent="0.25">
      <c r="A217" s="764"/>
      <c r="B217" s="768">
        <v>1.65</v>
      </c>
      <c r="C217" s="7">
        <v>1980</v>
      </c>
      <c r="D217" s="76">
        <v>9999</v>
      </c>
      <c r="E217" s="76" t="s">
        <v>238</v>
      </c>
      <c r="F217" s="76" t="s">
        <v>29</v>
      </c>
      <c r="G217" s="1030" t="s">
        <v>237</v>
      </c>
      <c r="H217" s="1030"/>
      <c r="I217" s="1030"/>
      <c r="J217" s="1030"/>
      <c r="K217" s="1031"/>
    </row>
    <row r="218" spans="1:15" customFormat="1" x14ac:dyDescent="0.25">
      <c r="A218" s="764"/>
      <c r="B218" s="806">
        <v>1.55</v>
      </c>
      <c r="C218" s="7">
        <v>1980</v>
      </c>
      <c r="D218" s="76">
        <v>9999</v>
      </c>
      <c r="E218" s="76" t="s">
        <v>239</v>
      </c>
      <c r="F218" s="7"/>
      <c r="G218" s="1030" t="s">
        <v>237</v>
      </c>
      <c r="H218" s="1030"/>
      <c r="I218" s="1030"/>
      <c r="J218" s="1030"/>
      <c r="K218" s="1031"/>
    </row>
    <row r="219" spans="1:15" customFormat="1" x14ac:dyDescent="0.25">
      <c r="A219" s="764"/>
      <c r="B219" s="806">
        <v>1.55</v>
      </c>
      <c r="C219" s="7">
        <v>1980</v>
      </c>
      <c r="D219" s="76">
        <v>9999</v>
      </c>
      <c r="E219" s="76" t="s">
        <v>239</v>
      </c>
      <c r="F219" s="76" t="s">
        <v>29</v>
      </c>
      <c r="G219" s="1030" t="s">
        <v>237</v>
      </c>
      <c r="H219" s="1030"/>
      <c r="I219" s="1030"/>
      <c r="J219" s="1030"/>
      <c r="K219" s="1031"/>
    </row>
    <row r="220" spans="1:15" s="9" customFormat="1" ht="13.5" customHeight="1" x14ac:dyDescent="0.3">
      <c r="A220" s="764"/>
      <c r="B220" s="768">
        <v>1.4</v>
      </c>
      <c r="C220" s="7">
        <v>1980</v>
      </c>
      <c r="D220" s="76">
        <v>9999</v>
      </c>
      <c r="E220" s="76" t="s">
        <v>240</v>
      </c>
      <c r="F220" s="7"/>
      <c r="G220" s="1030" t="s">
        <v>237</v>
      </c>
      <c r="H220" s="1030"/>
      <c r="I220" s="1030"/>
      <c r="J220" s="1030"/>
      <c r="K220" s="1031"/>
    </row>
    <row r="221" spans="1:15" customFormat="1" x14ac:dyDescent="0.25">
      <c r="A221" s="764"/>
      <c r="B221" s="768">
        <v>1.4</v>
      </c>
      <c r="C221" s="7">
        <v>1980</v>
      </c>
      <c r="D221" s="76">
        <v>9999</v>
      </c>
      <c r="E221" s="76" t="s">
        <v>240</v>
      </c>
      <c r="F221" s="76" t="s">
        <v>29</v>
      </c>
      <c r="G221" s="1030" t="s">
        <v>237</v>
      </c>
      <c r="H221" s="1030"/>
      <c r="I221" s="1030"/>
      <c r="J221" s="1030"/>
      <c r="K221" s="1031"/>
    </row>
    <row r="222" spans="1:15" customFormat="1" x14ac:dyDescent="0.25">
      <c r="A222" s="764"/>
      <c r="B222" s="768">
        <v>1.35</v>
      </c>
      <c r="C222" s="7">
        <v>1980</v>
      </c>
      <c r="D222" s="76">
        <v>9999</v>
      </c>
      <c r="E222" s="76" t="s">
        <v>241</v>
      </c>
      <c r="F222" s="7"/>
      <c r="G222" s="1030" t="s">
        <v>237</v>
      </c>
      <c r="H222" s="1030"/>
      <c r="I222" s="1030"/>
      <c r="J222" s="1030"/>
      <c r="K222" s="1031"/>
    </row>
    <row r="223" spans="1:15" customFormat="1" x14ac:dyDescent="0.25">
      <c r="A223" s="764"/>
      <c r="B223" s="768">
        <v>1.35</v>
      </c>
      <c r="C223" s="7">
        <v>1980</v>
      </c>
      <c r="D223" s="76">
        <v>9999</v>
      </c>
      <c r="E223" s="76" t="s">
        <v>241</v>
      </c>
      <c r="F223" s="76" t="s">
        <v>29</v>
      </c>
      <c r="G223" s="1030" t="s">
        <v>237</v>
      </c>
      <c r="H223" s="1030"/>
      <c r="I223" s="1030"/>
      <c r="J223" s="1030"/>
      <c r="K223" s="1031"/>
    </row>
    <row r="224" spans="1:15" customFormat="1" x14ac:dyDescent="0.25">
      <c r="A224" s="764"/>
      <c r="B224" s="768">
        <v>1.25</v>
      </c>
      <c r="C224" s="7">
        <v>1980</v>
      </c>
      <c r="D224" s="76">
        <v>9999</v>
      </c>
      <c r="E224" s="76" t="s">
        <v>242</v>
      </c>
      <c r="F224" s="7"/>
      <c r="G224" s="1030" t="s">
        <v>237</v>
      </c>
      <c r="H224" s="1030"/>
      <c r="I224" s="1030"/>
      <c r="J224" s="1030"/>
      <c r="K224" s="1031"/>
    </row>
    <row r="225" spans="1:11" customFormat="1" x14ac:dyDescent="0.25">
      <c r="A225" s="764"/>
      <c r="B225" s="768">
        <v>1.25</v>
      </c>
      <c r="C225" s="7">
        <v>1980</v>
      </c>
      <c r="D225" s="76">
        <v>9999</v>
      </c>
      <c r="E225" s="76" t="s">
        <v>242</v>
      </c>
      <c r="F225" s="76" t="s">
        <v>29</v>
      </c>
      <c r="G225" s="1030" t="s">
        <v>237</v>
      </c>
      <c r="H225" s="1030"/>
      <c r="I225" s="1030"/>
      <c r="J225" s="1030"/>
      <c r="K225" s="1031"/>
    </row>
    <row r="226" spans="1:11" customFormat="1" x14ac:dyDescent="0.25">
      <c r="A226" s="764"/>
      <c r="B226" s="768">
        <v>1.1499999999999999</v>
      </c>
      <c r="C226" s="7">
        <v>1980</v>
      </c>
      <c r="D226" s="76">
        <v>9999</v>
      </c>
      <c r="E226" s="76" t="s">
        <v>243</v>
      </c>
      <c r="F226" s="76"/>
      <c r="G226" s="1030" t="s">
        <v>237</v>
      </c>
      <c r="H226" s="1030"/>
      <c r="I226" s="1030"/>
      <c r="J226" s="1030"/>
      <c r="K226" s="1031"/>
    </row>
    <row r="227" spans="1:11" customFormat="1" x14ac:dyDescent="0.25">
      <c r="A227" s="764"/>
      <c r="B227" s="768">
        <v>1.1499999999999999</v>
      </c>
      <c r="C227" s="7">
        <v>1980</v>
      </c>
      <c r="D227" s="76">
        <v>9999</v>
      </c>
      <c r="E227" s="76" t="s">
        <v>243</v>
      </c>
      <c r="F227" s="76" t="s">
        <v>29</v>
      </c>
      <c r="G227" s="1030" t="s">
        <v>237</v>
      </c>
      <c r="H227" s="1030"/>
      <c r="I227" s="1030"/>
      <c r="J227" s="1030"/>
      <c r="K227" s="1031"/>
    </row>
    <row r="228" spans="1:11" customFormat="1" x14ac:dyDescent="0.25">
      <c r="A228" s="764"/>
      <c r="B228" s="768">
        <v>1.08</v>
      </c>
      <c r="C228" s="7">
        <v>1980</v>
      </c>
      <c r="D228" s="76">
        <v>9999</v>
      </c>
      <c r="E228" s="76" t="s">
        <v>244</v>
      </c>
      <c r="F228" s="76"/>
      <c r="G228" s="1030" t="s">
        <v>237</v>
      </c>
      <c r="H228" s="1030"/>
      <c r="I228" s="1030"/>
      <c r="J228" s="1030"/>
      <c r="K228" s="1031"/>
    </row>
    <row r="229" spans="1:11" customFormat="1" x14ac:dyDescent="0.25">
      <c r="A229" s="764"/>
      <c r="B229" s="768">
        <v>1.08</v>
      </c>
      <c r="C229" s="7">
        <v>1980</v>
      </c>
      <c r="D229" s="76">
        <v>9999</v>
      </c>
      <c r="E229" s="76" t="s">
        <v>244</v>
      </c>
      <c r="F229" s="76" t="s">
        <v>29</v>
      </c>
      <c r="G229" s="1030" t="s">
        <v>237</v>
      </c>
      <c r="H229" s="1030"/>
      <c r="I229" s="1030"/>
      <c r="J229" s="1030"/>
      <c r="K229" s="1031"/>
    </row>
    <row r="230" spans="1:11" customFormat="1" x14ac:dyDescent="0.25">
      <c r="A230" s="764"/>
      <c r="B230" s="768">
        <v>1</v>
      </c>
      <c r="C230" s="7">
        <v>1980</v>
      </c>
      <c r="D230" s="76">
        <v>9999</v>
      </c>
      <c r="E230" s="76" t="s">
        <v>245</v>
      </c>
      <c r="F230" s="76"/>
      <c r="G230" s="1030" t="s">
        <v>237</v>
      </c>
      <c r="H230" s="1030"/>
      <c r="I230" s="1030"/>
      <c r="J230" s="1030"/>
      <c r="K230" s="1031"/>
    </row>
    <row r="231" spans="1:11" customFormat="1" x14ac:dyDescent="0.25">
      <c r="A231" s="764"/>
      <c r="B231" s="768">
        <v>1</v>
      </c>
      <c r="C231" s="7">
        <v>1980</v>
      </c>
      <c r="D231" s="76">
        <v>9999</v>
      </c>
      <c r="E231" s="76" t="s">
        <v>245</v>
      </c>
      <c r="F231" s="76" t="s">
        <v>29</v>
      </c>
      <c r="G231" s="1030" t="s">
        <v>237</v>
      </c>
      <c r="H231" s="1030"/>
      <c r="I231" s="1030"/>
      <c r="J231" s="1030"/>
      <c r="K231" s="1031"/>
    </row>
    <row r="232" spans="1:11" customFormat="1" x14ac:dyDescent="0.25">
      <c r="A232" s="764"/>
      <c r="B232" s="768">
        <v>1</v>
      </c>
      <c r="C232" s="7">
        <v>1980</v>
      </c>
      <c r="D232" s="76">
        <v>9999</v>
      </c>
      <c r="E232" s="76" t="s">
        <v>246</v>
      </c>
      <c r="F232" s="76"/>
      <c r="G232" s="1030" t="s">
        <v>237</v>
      </c>
      <c r="H232" s="1030"/>
      <c r="I232" s="1030"/>
      <c r="J232" s="1030"/>
      <c r="K232" s="1031"/>
    </row>
    <row r="233" spans="1:11" customFormat="1" x14ac:dyDescent="0.25">
      <c r="A233" s="764"/>
      <c r="B233" s="768">
        <v>1</v>
      </c>
      <c r="C233" s="7">
        <v>1980</v>
      </c>
      <c r="D233" s="76">
        <v>9999</v>
      </c>
      <c r="E233" s="76" t="s">
        <v>246</v>
      </c>
      <c r="F233" s="76" t="s">
        <v>29</v>
      </c>
      <c r="G233" s="1030" t="s">
        <v>237</v>
      </c>
      <c r="H233" s="1030"/>
      <c r="I233" s="1030"/>
      <c r="J233" s="1030"/>
      <c r="K233" s="1031"/>
    </row>
    <row r="234" spans="1:11" customFormat="1" x14ac:dyDescent="0.25">
      <c r="A234" s="764"/>
      <c r="B234" s="768">
        <v>0.98</v>
      </c>
      <c r="C234" s="7">
        <v>1980</v>
      </c>
      <c r="D234" s="76">
        <v>9999</v>
      </c>
      <c r="E234" s="76" t="s">
        <v>247</v>
      </c>
      <c r="F234" s="76"/>
      <c r="G234" s="1030" t="s">
        <v>237</v>
      </c>
      <c r="H234" s="1030"/>
      <c r="I234" s="1030"/>
      <c r="J234" s="1030"/>
      <c r="K234" s="1031"/>
    </row>
    <row r="235" spans="1:11" customFormat="1" x14ac:dyDescent="0.25">
      <c r="A235" s="764"/>
      <c r="B235" s="768">
        <v>0.98</v>
      </c>
      <c r="C235" s="7">
        <v>1980</v>
      </c>
      <c r="D235" s="76">
        <v>9999</v>
      </c>
      <c r="E235" s="76" t="s">
        <v>247</v>
      </c>
      <c r="F235" s="76" t="s">
        <v>29</v>
      </c>
      <c r="G235" s="1030" t="s">
        <v>237</v>
      </c>
      <c r="H235" s="1030"/>
      <c r="I235" s="1030"/>
      <c r="J235" s="1030"/>
      <c r="K235" s="1031"/>
    </row>
    <row r="236" spans="1:11" customFormat="1" x14ac:dyDescent="0.25">
      <c r="A236" s="764"/>
      <c r="B236" s="768">
        <v>0.95</v>
      </c>
      <c r="C236" s="7">
        <v>1980</v>
      </c>
      <c r="D236" s="76">
        <v>9999</v>
      </c>
      <c r="E236" s="76" t="s">
        <v>248</v>
      </c>
      <c r="F236" s="76"/>
      <c r="G236" s="1030" t="s">
        <v>237</v>
      </c>
      <c r="H236" s="1030"/>
      <c r="I236" s="1030"/>
      <c r="J236" s="1030"/>
      <c r="K236" s="1031"/>
    </row>
    <row r="237" spans="1:11" customFormat="1" x14ac:dyDescent="0.25">
      <c r="A237" s="764"/>
      <c r="B237" s="768">
        <v>0.95</v>
      </c>
      <c r="C237" s="7">
        <v>1980</v>
      </c>
      <c r="D237" s="76">
        <v>9999</v>
      </c>
      <c r="E237" s="76" t="s">
        <v>248</v>
      </c>
      <c r="F237" s="76" t="s">
        <v>29</v>
      </c>
      <c r="G237" s="1030" t="s">
        <v>237</v>
      </c>
      <c r="H237" s="1030"/>
      <c r="I237" s="1030"/>
      <c r="J237" s="1030"/>
      <c r="K237" s="1031"/>
    </row>
    <row r="238" spans="1:11" customFormat="1" x14ac:dyDescent="0.25">
      <c r="A238" s="764"/>
      <c r="B238" s="768">
        <v>0.92</v>
      </c>
      <c r="C238" s="7">
        <v>1980</v>
      </c>
      <c r="D238" s="76">
        <v>9999</v>
      </c>
      <c r="E238" s="76" t="s">
        <v>249</v>
      </c>
      <c r="F238" s="76"/>
      <c r="G238" s="1030" t="s">
        <v>237</v>
      </c>
      <c r="H238" s="1030"/>
      <c r="I238" s="1030"/>
      <c r="J238" s="1030"/>
      <c r="K238" s="1031"/>
    </row>
    <row r="239" spans="1:11" customFormat="1" x14ac:dyDescent="0.25">
      <c r="A239" s="764"/>
      <c r="B239" s="768">
        <v>0.92</v>
      </c>
      <c r="C239" s="7">
        <v>1980</v>
      </c>
      <c r="D239" s="76">
        <v>9999</v>
      </c>
      <c r="E239" s="76" t="s">
        <v>249</v>
      </c>
      <c r="F239" s="76" t="s">
        <v>29</v>
      </c>
      <c r="G239" s="1030" t="s">
        <v>237</v>
      </c>
      <c r="H239" s="1030"/>
      <c r="I239" s="1030"/>
      <c r="J239" s="1030"/>
      <c r="K239" s="1031"/>
    </row>
    <row r="240" spans="1:11" customFormat="1" x14ac:dyDescent="0.25">
      <c r="A240" s="764"/>
      <c r="B240" s="806">
        <v>0.85</v>
      </c>
      <c r="C240" s="7">
        <v>1980</v>
      </c>
      <c r="D240" s="76">
        <v>9999</v>
      </c>
      <c r="E240" s="76" t="s">
        <v>250</v>
      </c>
      <c r="F240" s="76"/>
      <c r="G240" s="1030" t="s">
        <v>237</v>
      </c>
      <c r="H240" s="1030"/>
      <c r="I240" s="1030"/>
      <c r="J240" s="1030"/>
      <c r="K240" s="1031"/>
    </row>
    <row r="241" spans="1:11" customFormat="1" x14ac:dyDescent="0.25">
      <c r="A241" s="764"/>
      <c r="B241" s="806">
        <v>0.85</v>
      </c>
      <c r="C241" s="7">
        <v>1980</v>
      </c>
      <c r="D241" s="76">
        <v>9999</v>
      </c>
      <c r="E241" s="76" t="s">
        <v>250</v>
      </c>
      <c r="F241" s="76" t="s">
        <v>29</v>
      </c>
      <c r="G241" s="1030" t="s">
        <v>237</v>
      </c>
      <c r="H241" s="1030"/>
      <c r="I241" s="1030"/>
      <c r="J241" s="1030"/>
      <c r="K241" s="1031"/>
    </row>
    <row r="242" spans="1:11" customFormat="1" x14ac:dyDescent="0.25">
      <c r="A242" s="764"/>
      <c r="B242" s="806">
        <v>0.8</v>
      </c>
      <c r="C242" s="7">
        <v>1980</v>
      </c>
      <c r="D242" s="76">
        <v>9999</v>
      </c>
      <c r="E242" s="76" t="s">
        <v>251</v>
      </c>
      <c r="F242" s="76"/>
      <c r="G242" s="1030" t="s">
        <v>237</v>
      </c>
      <c r="H242" s="1030"/>
      <c r="I242" s="1030"/>
      <c r="J242" s="1030"/>
      <c r="K242" s="1031"/>
    </row>
    <row r="243" spans="1:11" customFormat="1" x14ac:dyDescent="0.25">
      <c r="A243" s="764"/>
      <c r="B243" s="806">
        <v>0.8</v>
      </c>
      <c r="C243" s="7">
        <v>1980</v>
      </c>
      <c r="D243" s="76">
        <v>9999</v>
      </c>
      <c r="E243" s="76" t="s">
        <v>251</v>
      </c>
      <c r="F243" s="76" t="s">
        <v>29</v>
      </c>
      <c r="G243" s="1030" t="s">
        <v>237</v>
      </c>
      <c r="H243" s="1030"/>
      <c r="I243" s="1030"/>
      <c r="J243" s="1030"/>
      <c r="K243" s="1031"/>
    </row>
    <row r="244" spans="1:11" customFormat="1" x14ac:dyDescent="0.25">
      <c r="A244" s="764"/>
      <c r="B244" s="806">
        <v>0.75</v>
      </c>
      <c r="C244" s="7">
        <v>1980</v>
      </c>
      <c r="D244" s="76">
        <v>9999</v>
      </c>
      <c r="E244" s="76" t="s">
        <v>252</v>
      </c>
      <c r="F244" s="76"/>
      <c r="G244" s="1030" t="s">
        <v>237</v>
      </c>
      <c r="H244" s="1030"/>
      <c r="I244" s="1030"/>
      <c r="J244" s="1030"/>
      <c r="K244" s="1031"/>
    </row>
    <row r="245" spans="1:11" customFormat="1" x14ac:dyDescent="0.25">
      <c r="A245" s="764"/>
      <c r="B245" s="806">
        <v>0.75</v>
      </c>
      <c r="C245" s="7">
        <v>1980</v>
      </c>
      <c r="D245" s="76">
        <v>9999</v>
      </c>
      <c r="E245" s="76" t="s">
        <v>252</v>
      </c>
      <c r="F245" s="76" t="s">
        <v>29</v>
      </c>
      <c r="G245" s="1030" t="s">
        <v>237</v>
      </c>
      <c r="H245" s="1030"/>
      <c r="I245" s="1030"/>
      <c r="J245" s="1030"/>
      <c r="K245" s="1031"/>
    </row>
    <row r="246" spans="1:11" customFormat="1" x14ac:dyDescent="0.25">
      <c r="A246" s="764"/>
      <c r="B246" s="806">
        <v>0.7</v>
      </c>
      <c r="C246" s="7">
        <v>1980</v>
      </c>
      <c r="D246" s="76">
        <v>9999</v>
      </c>
      <c r="E246" s="76" t="s">
        <v>253</v>
      </c>
      <c r="F246" s="76"/>
      <c r="G246" s="1030" t="s">
        <v>237</v>
      </c>
      <c r="H246" s="1030"/>
      <c r="I246" s="1030"/>
      <c r="J246" s="1030"/>
      <c r="K246" s="1031"/>
    </row>
    <row r="247" spans="1:11" customFormat="1" x14ac:dyDescent="0.25">
      <c r="A247" s="764"/>
      <c r="B247" s="806">
        <v>0.7</v>
      </c>
      <c r="C247" s="7">
        <v>1980</v>
      </c>
      <c r="D247" s="76">
        <v>9999</v>
      </c>
      <c r="E247" s="76" t="s">
        <v>253</v>
      </c>
      <c r="F247" s="76" t="s">
        <v>29</v>
      </c>
      <c r="G247" s="1030" t="s">
        <v>237</v>
      </c>
      <c r="H247" s="1030"/>
      <c r="I247" s="1030"/>
      <c r="J247" s="1030"/>
      <c r="K247" s="1031"/>
    </row>
    <row r="248" spans="1:11" customFormat="1" ht="12" customHeight="1" x14ac:dyDescent="0.25">
      <c r="A248" s="764"/>
      <c r="B248" s="768">
        <v>1.1000000000000001</v>
      </c>
      <c r="C248" s="7">
        <v>1980</v>
      </c>
      <c r="D248" s="76">
        <v>9999</v>
      </c>
      <c r="E248" s="76" t="s">
        <v>254</v>
      </c>
      <c r="F248" s="7"/>
      <c r="G248" s="1030" t="s">
        <v>237</v>
      </c>
      <c r="H248" s="1030"/>
      <c r="I248" s="1030"/>
      <c r="J248" s="1030"/>
      <c r="K248" s="1031"/>
    </row>
    <row r="249" spans="1:11" customFormat="1" ht="12" customHeight="1" x14ac:dyDescent="0.25">
      <c r="A249" s="764"/>
      <c r="B249" s="768">
        <v>1.1000000000000001</v>
      </c>
      <c r="C249" s="7">
        <v>1980</v>
      </c>
      <c r="D249" s="76">
        <v>9999</v>
      </c>
      <c r="E249" s="76" t="s">
        <v>254</v>
      </c>
      <c r="F249" s="76" t="s">
        <v>29</v>
      </c>
      <c r="G249" s="1030" t="s">
        <v>237</v>
      </c>
      <c r="H249" s="1030"/>
      <c r="I249" s="1030"/>
      <c r="J249" s="1030"/>
      <c r="K249" s="1031"/>
    </row>
    <row r="250" spans="1:11" customFormat="1" ht="12" customHeight="1" x14ac:dyDescent="0.25">
      <c r="A250" s="764"/>
      <c r="B250" s="806">
        <v>1.3</v>
      </c>
      <c r="C250" s="7">
        <v>1980</v>
      </c>
      <c r="D250" s="76">
        <v>9999</v>
      </c>
      <c r="E250" s="76" t="s">
        <v>255</v>
      </c>
      <c r="F250" s="7"/>
      <c r="G250" s="1030" t="s">
        <v>237</v>
      </c>
      <c r="H250" s="1030"/>
      <c r="I250" s="1030"/>
      <c r="J250" s="1030"/>
      <c r="K250" s="1031"/>
    </row>
    <row r="251" spans="1:11" customFormat="1" ht="12" customHeight="1" x14ac:dyDescent="0.25">
      <c r="A251" s="764"/>
      <c r="B251" s="806">
        <v>1.3</v>
      </c>
      <c r="C251" s="7">
        <v>1980</v>
      </c>
      <c r="D251" s="76">
        <v>9999</v>
      </c>
      <c r="E251" s="76" t="s">
        <v>255</v>
      </c>
      <c r="F251" s="76" t="s">
        <v>29</v>
      </c>
      <c r="G251" s="1030" t="s">
        <v>237</v>
      </c>
      <c r="H251" s="1030"/>
      <c r="I251" s="1030"/>
      <c r="J251" s="1030"/>
      <c r="K251" s="1031"/>
    </row>
    <row r="252" spans="1:11" customFormat="1" ht="12" customHeight="1" x14ac:dyDescent="0.25">
      <c r="A252" s="764"/>
      <c r="B252" s="769">
        <v>1</v>
      </c>
      <c r="C252" s="7">
        <v>1980</v>
      </c>
      <c r="D252" s="76">
        <v>9999</v>
      </c>
      <c r="E252" s="76" t="s">
        <v>256</v>
      </c>
      <c r="F252" s="76"/>
      <c r="G252" s="1030" t="s">
        <v>237</v>
      </c>
      <c r="H252" s="1030"/>
      <c r="I252" s="1030"/>
      <c r="J252" s="1030"/>
      <c r="K252" s="1031"/>
    </row>
    <row r="253" spans="1:11" customFormat="1" ht="12" customHeight="1" x14ac:dyDescent="0.25">
      <c r="A253" s="764"/>
      <c r="B253" s="769">
        <v>1</v>
      </c>
      <c r="C253" s="7">
        <v>1980</v>
      </c>
      <c r="D253" s="76">
        <v>9999</v>
      </c>
      <c r="E253" s="76" t="s">
        <v>256</v>
      </c>
      <c r="F253" s="76" t="s">
        <v>29</v>
      </c>
      <c r="G253" s="1030" t="s">
        <v>237</v>
      </c>
      <c r="H253" s="1030"/>
      <c r="I253" s="1030"/>
      <c r="J253" s="1030"/>
      <c r="K253" s="1031"/>
    </row>
    <row r="254" spans="1:11" customFormat="1" ht="12" customHeight="1" x14ac:dyDescent="0.25">
      <c r="A254" s="764"/>
      <c r="B254" s="769">
        <v>1</v>
      </c>
      <c r="C254" s="7">
        <v>1980</v>
      </c>
      <c r="D254" s="76">
        <v>9999</v>
      </c>
      <c r="E254" s="76" t="s">
        <v>257</v>
      </c>
      <c r="F254" s="76"/>
      <c r="G254" s="1030" t="s">
        <v>237</v>
      </c>
      <c r="H254" s="1030"/>
      <c r="I254" s="1030"/>
      <c r="J254" s="1030"/>
      <c r="K254" s="1031"/>
    </row>
    <row r="255" spans="1:11" customFormat="1" ht="12" customHeight="1" x14ac:dyDescent="0.25">
      <c r="A255" s="764"/>
      <c r="B255" s="769">
        <v>1</v>
      </c>
      <c r="C255" s="7">
        <v>1980</v>
      </c>
      <c r="D255" s="76">
        <v>9999</v>
      </c>
      <c r="E255" s="76" t="s">
        <v>257</v>
      </c>
      <c r="F255" s="76" t="s">
        <v>29</v>
      </c>
      <c r="G255" s="1030" t="s">
        <v>237</v>
      </c>
      <c r="H255" s="1030"/>
      <c r="I255" s="1030"/>
      <c r="J255" s="1030"/>
      <c r="K255" s="1031"/>
    </row>
    <row r="256" spans="1:11" customFormat="1" ht="12" customHeight="1" x14ac:dyDescent="0.25">
      <c r="A256" s="764"/>
      <c r="B256" s="769">
        <v>1</v>
      </c>
      <c r="C256" s="7">
        <v>1980</v>
      </c>
      <c r="D256" s="76">
        <v>9999</v>
      </c>
      <c r="E256" s="76" t="s">
        <v>258</v>
      </c>
      <c r="F256" s="76"/>
      <c r="G256" s="1030" t="s">
        <v>237</v>
      </c>
      <c r="H256" s="1030"/>
      <c r="I256" s="1030"/>
      <c r="J256" s="1030"/>
      <c r="K256" s="1031"/>
    </row>
    <row r="257" spans="1:14" customFormat="1" ht="12" customHeight="1" x14ac:dyDescent="0.25">
      <c r="A257" s="764"/>
      <c r="B257" s="769">
        <v>1</v>
      </c>
      <c r="C257" s="7">
        <v>1980</v>
      </c>
      <c r="D257" s="76">
        <v>9999</v>
      </c>
      <c r="E257" s="76" t="s">
        <v>258</v>
      </c>
      <c r="F257" s="76" t="s">
        <v>29</v>
      </c>
      <c r="G257" s="1030" t="s">
        <v>237</v>
      </c>
      <c r="H257" s="1030"/>
      <c r="I257" s="1030"/>
      <c r="J257" s="1030"/>
      <c r="K257" s="1031"/>
    </row>
    <row r="258" spans="1:14" customFormat="1" ht="12" customHeight="1" x14ac:dyDescent="0.25">
      <c r="A258" s="764"/>
      <c r="B258" s="769">
        <v>1</v>
      </c>
      <c r="C258" s="7">
        <v>1980</v>
      </c>
      <c r="D258" s="76">
        <v>9999</v>
      </c>
      <c r="E258" s="76" t="s">
        <v>259</v>
      </c>
      <c r="F258" s="76"/>
      <c r="G258" s="1030" t="s">
        <v>237</v>
      </c>
      <c r="H258" s="1030"/>
      <c r="I258" s="1030"/>
      <c r="J258" s="1030"/>
      <c r="K258" s="1031"/>
    </row>
    <row r="259" spans="1:14" customFormat="1" ht="12" customHeight="1" thickBot="1" x14ac:dyDescent="0.3">
      <c r="A259" s="764"/>
      <c r="B259" s="770">
        <v>1</v>
      </c>
      <c r="C259" s="771">
        <v>1980</v>
      </c>
      <c r="D259" s="772">
        <v>9999</v>
      </c>
      <c r="E259" s="772" t="s">
        <v>259</v>
      </c>
      <c r="F259" s="772" t="s">
        <v>29</v>
      </c>
      <c r="G259" s="1032" t="s">
        <v>237</v>
      </c>
      <c r="H259" s="1032"/>
      <c r="I259" s="1032"/>
      <c r="J259" s="1032"/>
      <c r="K259" s="1033"/>
    </row>
    <row r="261" spans="1:14" ht="13" thickBot="1" x14ac:dyDescent="0.3"/>
    <row r="262" spans="1:14" ht="21.75" customHeight="1" thickBot="1" x14ac:dyDescent="0.3">
      <c r="A262" s="515" t="s">
        <v>173</v>
      </c>
      <c r="B262" s="1041" t="s">
        <v>261</v>
      </c>
      <c r="C262" s="1041"/>
      <c r="D262" s="1041"/>
      <c r="E262" s="1041"/>
      <c r="F262" s="1041"/>
      <c r="G262" s="1041"/>
      <c r="H262" s="1041"/>
      <c r="I262" s="1041"/>
      <c r="J262" s="1041"/>
      <c r="K262" s="1041"/>
      <c r="L262" s="1041"/>
      <c r="M262" s="1041"/>
      <c r="N262" s="1042"/>
    </row>
    <row r="263" spans="1:14" ht="12" customHeight="1" x14ac:dyDescent="0.25">
      <c r="A263" s="516" t="s">
        <v>202</v>
      </c>
      <c r="B263" s="82" t="s">
        <v>200</v>
      </c>
      <c r="C263" s="517"/>
      <c r="D263" s="517"/>
      <c r="E263" s="517"/>
      <c r="F263" s="517"/>
      <c r="G263" s="517"/>
      <c r="H263" s="517"/>
      <c r="I263" s="517"/>
      <c r="J263" s="517"/>
      <c r="K263" s="518" t="s">
        <v>177</v>
      </c>
      <c r="L263" s="519" t="s">
        <v>29</v>
      </c>
      <c r="M263" s="520"/>
      <c r="N263" s="521"/>
    </row>
    <row r="264" spans="1:14" ht="12" customHeight="1" x14ac:dyDescent="0.25">
      <c r="A264" s="516" t="s">
        <v>203</v>
      </c>
      <c r="B264" s="82" t="s">
        <v>204</v>
      </c>
      <c r="C264" s="517"/>
      <c r="D264" s="517"/>
      <c r="E264" s="517"/>
      <c r="F264" s="517"/>
      <c r="G264" s="517"/>
      <c r="H264" s="517"/>
      <c r="I264" s="517"/>
      <c r="J264" s="517"/>
      <c r="K264" s="344" t="s">
        <v>179</v>
      </c>
      <c r="L264" s="136" t="s">
        <v>29</v>
      </c>
      <c r="M264" s="522"/>
      <c r="N264" s="521"/>
    </row>
    <row r="265" spans="1:14" ht="12" customHeight="1" x14ac:dyDescent="0.25">
      <c r="A265" s="516" t="s">
        <v>205</v>
      </c>
      <c r="B265" s="82" t="s">
        <v>206</v>
      </c>
      <c r="C265" s="517"/>
      <c r="D265" s="517"/>
      <c r="E265" s="517"/>
      <c r="F265" s="517"/>
      <c r="G265" s="517"/>
      <c r="H265" s="517"/>
      <c r="I265" s="517"/>
      <c r="J265" s="517"/>
      <c r="K265" s="344" t="s">
        <v>181</v>
      </c>
      <c r="L265" s="137"/>
      <c r="M265" s="340"/>
      <c r="N265" s="521"/>
    </row>
    <row r="266" spans="1:14" ht="12" customHeight="1" x14ac:dyDescent="0.3">
      <c r="A266" s="516" t="s">
        <v>207</v>
      </c>
      <c r="B266" s="523" t="s">
        <v>208</v>
      </c>
      <c r="C266" s="517"/>
      <c r="D266" s="517"/>
      <c r="E266" s="517"/>
      <c r="F266" s="517"/>
      <c r="G266" s="517"/>
      <c r="H266" s="517"/>
      <c r="I266" s="517"/>
      <c r="J266" s="517"/>
      <c r="K266" s="344" t="s">
        <v>182</v>
      </c>
      <c r="L266" s="524" t="s">
        <v>29</v>
      </c>
      <c r="M266" s="525"/>
      <c r="N266" s="521"/>
    </row>
    <row r="267" spans="1:14" ht="12" customHeight="1" x14ac:dyDescent="0.3">
      <c r="A267" s="516" t="s">
        <v>187</v>
      </c>
      <c r="B267" s="82" t="s">
        <v>209</v>
      </c>
      <c r="C267" s="517"/>
      <c r="D267" s="517"/>
      <c r="E267" s="517"/>
      <c r="F267" s="517"/>
      <c r="G267" s="517"/>
      <c r="H267" s="517"/>
      <c r="I267" s="517"/>
      <c r="J267" s="349"/>
      <c r="K267" s="344" t="s">
        <v>183</v>
      </c>
      <c r="L267" s="524"/>
      <c r="M267" s="525"/>
      <c r="N267" s="521"/>
    </row>
    <row r="268" spans="1:14" ht="13" x14ac:dyDescent="0.3">
      <c r="A268" s="516" t="s">
        <v>210</v>
      </c>
      <c r="B268" s="81" t="s">
        <v>211</v>
      </c>
      <c r="K268" s="344" t="s">
        <v>184</v>
      </c>
      <c r="L268" s="526">
        <v>5</v>
      </c>
      <c r="M268" s="525"/>
      <c r="N268" s="521"/>
    </row>
    <row r="269" spans="1:14" ht="12.75" customHeight="1" x14ac:dyDescent="0.3">
      <c r="A269" s="516"/>
      <c r="B269" s="1051"/>
      <c r="C269" s="1051"/>
      <c r="D269" s="1051"/>
      <c r="E269" s="1051"/>
      <c r="F269" s="1051"/>
      <c r="G269" s="1051"/>
      <c r="H269" s="1051"/>
      <c r="I269" s="1051"/>
      <c r="J269" s="1051"/>
      <c r="K269" s="344" t="s">
        <v>185</v>
      </c>
      <c r="L269" s="526">
        <v>1</v>
      </c>
      <c r="M269" s="525"/>
      <c r="N269" s="521"/>
    </row>
    <row r="270" spans="1:14" ht="13.5" thickBot="1" x14ac:dyDescent="0.35">
      <c r="A270" s="516"/>
      <c r="B270" s="119"/>
      <c r="C270" s="119"/>
      <c r="D270" s="119"/>
      <c r="E270" s="119"/>
      <c r="F270" s="119"/>
      <c r="G270" s="119"/>
      <c r="H270" s="119"/>
      <c r="I270" s="119"/>
      <c r="J270" s="119"/>
      <c r="K270" s="344" t="s">
        <v>186</v>
      </c>
      <c r="L270" s="561"/>
      <c r="M270" s="525"/>
      <c r="N270" s="521"/>
    </row>
    <row r="271" spans="1:14" s="84" customFormat="1" ht="13.5" customHeight="1" thickBot="1" x14ac:dyDescent="0.35">
      <c r="A271" s="527" t="s">
        <v>212</v>
      </c>
      <c r="B271" s="528">
        <v>10.3263</v>
      </c>
      <c r="C271" s="529"/>
      <c r="D271" s="529"/>
      <c r="E271" s="530"/>
      <c r="F271" s="530"/>
      <c r="G271" s="530"/>
      <c r="H271" s="530"/>
      <c r="I271" s="530"/>
      <c r="J271" s="530"/>
      <c r="K271" s="344" t="s">
        <v>187</v>
      </c>
      <c r="L271" s="524"/>
      <c r="M271" s="525"/>
      <c r="N271" s="531"/>
    </row>
    <row r="272" spans="1:14" ht="13.5" thickBot="1" x14ac:dyDescent="0.35">
      <c r="A272" s="516"/>
      <c r="B272" s="349"/>
      <c r="C272" s="532"/>
      <c r="D272" s="532"/>
      <c r="E272" s="349"/>
      <c r="F272" s="349"/>
      <c r="G272" s="349"/>
      <c r="H272" s="349"/>
      <c r="I272" s="349"/>
      <c r="J272" s="349"/>
      <c r="K272" s="533" t="s">
        <v>188</v>
      </c>
      <c r="L272" s="581" t="s">
        <v>29</v>
      </c>
      <c r="M272" s="535"/>
      <c r="N272" s="521"/>
    </row>
    <row r="273" spans="1:15" ht="13.5" thickBot="1" x14ac:dyDescent="0.35">
      <c r="A273" s="516"/>
      <c r="B273" s="349"/>
      <c r="C273" s="532"/>
      <c r="D273" s="532"/>
      <c r="E273" s="349"/>
      <c r="F273" s="349"/>
      <c r="G273" s="349"/>
      <c r="H273" s="349"/>
      <c r="I273" s="349"/>
      <c r="J273" s="349"/>
      <c r="K273" s="395"/>
      <c r="L273" s="536"/>
      <c r="M273" s="537"/>
      <c r="N273" s="521"/>
    </row>
    <row r="274" spans="1:15" s="84" customFormat="1" ht="32.25" customHeight="1" thickBot="1" x14ac:dyDescent="0.4">
      <c r="A274" s="538" t="s">
        <v>213</v>
      </c>
      <c r="B274" s="539" t="s">
        <v>214</v>
      </c>
      <c r="C274" s="540" t="s">
        <v>215</v>
      </c>
      <c r="D274" s="540" t="s">
        <v>216</v>
      </c>
      <c r="E274" s="540" t="s">
        <v>217</v>
      </c>
      <c r="F274" s="540" t="s">
        <v>218</v>
      </c>
      <c r="G274" s="539" t="s">
        <v>219</v>
      </c>
      <c r="H274" s="539" t="s">
        <v>220</v>
      </c>
      <c r="I274" s="539" t="s">
        <v>221</v>
      </c>
      <c r="J274" s="539" t="s">
        <v>222</v>
      </c>
      <c r="K274" s="539" t="s">
        <v>223</v>
      </c>
      <c r="L274" s="539" t="s">
        <v>179</v>
      </c>
      <c r="M274" s="539" t="s">
        <v>177</v>
      </c>
      <c r="N274" s="541" t="s">
        <v>224</v>
      </c>
      <c r="O274" s="542"/>
    </row>
    <row r="275" spans="1:15" ht="14.5" x14ac:dyDescent="0.35">
      <c r="A275" s="543"/>
      <c r="B275" s="544"/>
      <c r="C275" s="545"/>
      <c r="D275" s="544">
        <v>0</v>
      </c>
      <c r="E275" s="544">
        <v>-1</v>
      </c>
      <c r="F275" s="545" t="s">
        <v>29</v>
      </c>
      <c r="G275" s="544" t="s">
        <v>29</v>
      </c>
      <c r="H275" s="544" t="s">
        <v>200</v>
      </c>
      <c r="I275" s="544">
        <v>0</v>
      </c>
      <c r="J275" s="544"/>
      <c r="K275" s="546">
        <v>0</v>
      </c>
      <c r="L275" s="544" t="s">
        <v>29</v>
      </c>
      <c r="M275" s="544" t="s">
        <v>29</v>
      </c>
      <c r="N275" s="951"/>
      <c r="O275" s="952"/>
    </row>
    <row r="276" spans="1:15" ht="15" thickBot="1" x14ac:dyDescent="0.4">
      <c r="A276" s="589"/>
      <c r="B276" s="590"/>
      <c r="C276" s="600" t="s">
        <v>262</v>
      </c>
      <c r="D276" s="592">
        <v>1</v>
      </c>
      <c r="E276" s="593"/>
      <c r="F276" s="591"/>
      <c r="G276" s="592"/>
      <c r="H276" s="592" t="s">
        <v>200</v>
      </c>
      <c r="I276" s="592">
        <v>1</v>
      </c>
      <c r="J276" s="592"/>
      <c r="K276" s="593">
        <v>0</v>
      </c>
      <c r="L276" s="592" t="s">
        <v>29</v>
      </c>
      <c r="M276" s="592" t="s">
        <v>29</v>
      </c>
      <c r="N276" s="954"/>
    </row>
    <row r="278" spans="1:15" ht="13" thickBot="1" x14ac:dyDescent="0.3"/>
    <row r="279" spans="1:15" ht="21.75" customHeight="1" thickBot="1" x14ac:dyDescent="0.3">
      <c r="A279" s="515" t="s">
        <v>173</v>
      </c>
      <c r="B279" s="1041" t="s">
        <v>263</v>
      </c>
      <c r="C279" s="1041"/>
      <c r="D279" s="1041"/>
      <c r="E279" s="1041"/>
      <c r="F279" s="1041"/>
      <c r="G279" s="1041"/>
      <c r="H279" s="1041"/>
      <c r="I279" s="1041"/>
      <c r="J279" s="1041"/>
      <c r="K279" s="1041"/>
      <c r="L279" s="1041"/>
      <c r="M279" s="1041"/>
      <c r="N279" s="1042"/>
    </row>
    <row r="280" spans="1:15" ht="12" customHeight="1" x14ac:dyDescent="0.25">
      <c r="A280" s="516" t="s">
        <v>202</v>
      </c>
      <c r="B280" s="82" t="s">
        <v>200</v>
      </c>
      <c r="C280" s="517"/>
      <c r="D280" s="517"/>
      <c r="E280" s="517"/>
      <c r="F280" s="517"/>
      <c r="G280" s="517"/>
      <c r="H280" s="517"/>
      <c r="I280" s="517"/>
      <c r="J280" s="517"/>
      <c r="K280" s="518" t="s">
        <v>177</v>
      </c>
      <c r="L280" s="519" t="s">
        <v>29</v>
      </c>
      <c r="M280" s="520"/>
      <c r="N280" s="521"/>
    </row>
    <row r="281" spans="1:15" ht="12" customHeight="1" x14ac:dyDescent="0.25">
      <c r="A281" s="516" t="s">
        <v>203</v>
      </c>
      <c r="B281" s="82" t="s">
        <v>204</v>
      </c>
      <c r="C281" s="517"/>
      <c r="D281" s="517"/>
      <c r="E281" s="517"/>
      <c r="F281" s="517"/>
      <c r="G281" s="517"/>
      <c r="H281" s="517"/>
      <c r="I281" s="517"/>
      <c r="J281" s="517"/>
      <c r="K281" s="344" t="s">
        <v>179</v>
      </c>
      <c r="L281" s="136" t="s">
        <v>29</v>
      </c>
      <c r="M281" s="522"/>
      <c r="N281" s="521"/>
    </row>
    <row r="282" spans="1:15" ht="12" customHeight="1" x14ac:dyDescent="0.25">
      <c r="A282" s="516" t="s">
        <v>205</v>
      </c>
      <c r="B282" s="82" t="s">
        <v>206</v>
      </c>
      <c r="C282" s="517"/>
      <c r="D282" s="517"/>
      <c r="E282" s="517"/>
      <c r="F282" s="517"/>
      <c r="G282" s="517"/>
      <c r="H282" s="517"/>
      <c r="I282" s="517"/>
      <c r="J282" s="517"/>
      <c r="K282" s="344" t="s">
        <v>181</v>
      </c>
      <c r="L282" s="137"/>
      <c r="M282" s="340"/>
      <c r="N282" s="521"/>
    </row>
    <row r="283" spans="1:15" ht="12" customHeight="1" x14ac:dyDescent="0.3">
      <c r="A283" s="516" t="s">
        <v>207</v>
      </c>
      <c r="B283" s="523" t="s">
        <v>208</v>
      </c>
      <c r="C283" s="517"/>
      <c r="D283" s="517"/>
      <c r="E283" s="517"/>
      <c r="F283" s="517"/>
      <c r="G283" s="517"/>
      <c r="H283" s="517"/>
      <c r="I283" s="517"/>
      <c r="J283" s="517"/>
      <c r="K283" s="344" t="s">
        <v>182</v>
      </c>
      <c r="L283" s="524"/>
      <c r="M283" s="525"/>
      <c r="N283" s="521"/>
    </row>
    <row r="284" spans="1:15" ht="12" customHeight="1" x14ac:dyDescent="0.3">
      <c r="A284" s="516" t="s">
        <v>187</v>
      </c>
      <c r="B284" s="82" t="s">
        <v>209</v>
      </c>
      <c r="C284" s="517"/>
      <c r="D284" s="517"/>
      <c r="E284" s="517"/>
      <c r="F284" s="517"/>
      <c r="G284" s="517"/>
      <c r="H284" s="517"/>
      <c r="I284" s="517"/>
      <c r="J284" s="349"/>
      <c r="K284" s="344" t="s">
        <v>183</v>
      </c>
      <c r="L284" s="524"/>
      <c r="M284" s="525"/>
      <c r="N284" s="521"/>
    </row>
    <row r="285" spans="1:15" ht="13" x14ac:dyDescent="0.3">
      <c r="A285" s="516" t="s">
        <v>210</v>
      </c>
      <c r="B285" s="81" t="s">
        <v>211</v>
      </c>
      <c r="K285" s="344" t="s">
        <v>184</v>
      </c>
      <c r="L285" s="526">
        <v>10</v>
      </c>
      <c r="M285" s="525"/>
      <c r="N285" s="521"/>
    </row>
    <row r="286" spans="1:15" ht="13" x14ac:dyDescent="0.3">
      <c r="A286" s="516"/>
      <c r="B286" s="1051"/>
      <c r="C286" s="1051"/>
      <c r="D286" s="1051"/>
      <c r="E286" s="1051"/>
      <c r="F286" s="1051"/>
      <c r="G286" s="1051"/>
      <c r="H286" s="1051"/>
      <c r="I286" s="1051"/>
      <c r="J286" s="1051"/>
      <c r="K286" s="344" t="s">
        <v>185</v>
      </c>
      <c r="L286" s="526">
        <v>1</v>
      </c>
      <c r="M286" s="525"/>
      <c r="N286" s="521"/>
    </row>
    <row r="287" spans="1:15" ht="13.5" thickBot="1" x14ac:dyDescent="0.35">
      <c r="A287" s="516"/>
      <c r="B287" s="119"/>
      <c r="C287" s="119"/>
      <c r="D287" s="119"/>
      <c r="E287" s="119"/>
      <c r="F287" s="119"/>
      <c r="G287" s="119"/>
      <c r="H287" s="119"/>
      <c r="I287" s="119"/>
      <c r="J287" s="119"/>
      <c r="K287" s="344" t="s">
        <v>186</v>
      </c>
      <c r="L287" s="561"/>
      <c r="M287" s="525"/>
      <c r="N287" s="521"/>
    </row>
    <row r="288" spans="1:15" s="84" customFormat="1" ht="13.5" customHeight="1" thickBot="1" x14ac:dyDescent="0.35">
      <c r="A288" s="527" t="s">
        <v>212</v>
      </c>
      <c r="B288" s="528">
        <v>3.6368999999999998</v>
      </c>
      <c r="C288" s="529"/>
      <c r="D288" s="529"/>
      <c r="E288" s="530"/>
      <c r="F288" s="530"/>
      <c r="G288" s="530"/>
      <c r="H288" s="530"/>
      <c r="I288" s="530"/>
      <c r="J288" s="530"/>
      <c r="K288" s="344" t="s">
        <v>187</v>
      </c>
      <c r="L288" s="524"/>
      <c r="M288" s="525"/>
      <c r="N288" s="531"/>
    </row>
    <row r="289" spans="1:15" ht="13.5" thickBot="1" x14ac:dyDescent="0.35">
      <c r="A289" s="516"/>
      <c r="B289" s="349"/>
      <c r="C289" s="532"/>
      <c r="D289" s="532"/>
      <c r="E289" s="349"/>
      <c r="F289" s="349"/>
      <c r="G289" s="349"/>
      <c r="H289" s="349"/>
      <c r="I289" s="349"/>
      <c r="J289" s="349"/>
      <c r="K289" s="533" t="s">
        <v>188</v>
      </c>
      <c r="L289" s="581" t="s">
        <v>29</v>
      </c>
      <c r="M289" s="535"/>
      <c r="N289" s="521"/>
    </row>
    <row r="290" spans="1:15" ht="13.5" thickBot="1" x14ac:dyDescent="0.35">
      <c r="A290" s="516"/>
      <c r="B290" s="349"/>
      <c r="C290" s="532"/>
      <c r="D290" s="532"/>
      <c r="E290" s="349"/>
      <c r="F290" s="349"/>
      <c r="G290" s="349"/>
      <c r="H290" s="349"/>
      <c r="I290" s="349"/>
      <c r="J290" s="349"/>
      <c r="K290" s="395"/>
      <c r="L290" s="536"/>
      <c r="M290" s="537"/>
      <c r="N290" s="521"/>
    </row>
    <row r="291" spans="1:15" s="84" customFormat="1" ht="32.25" customHeight="1" thickBot="1" x14ac:dyDescent="0.4">
      <c r="A291" s="538" t="s">
        <v>213</v>
      </c>
      <c r="B291" s="539" t="s">
        <v>214</v>
      </c>
      <c r="C291" s="540" t="s">
        <v>215</v>
      </c>
      <c r="D291" s="540" t="s">
        <v>216</v>
      </c>
      <c r="E291" s="540" t="s">
        <v>217</v>
      </c>
      <c r="F291" s="540" t="s">
        <v>218</v>
      </c>
      <c r="G291" s="539" t="s">
        <v>219</v>
      </c>
      <c r="H291" s="539" t="s">
        <v>220</v>
      </c>
      <c r="I291" s="539" t="s">
        <v>221</v>
      </c>
      <c r="J291" s="539" t="s">
        <v>222</v>
      </c>
      <c r="K291" s="539" t="s">
        <v>223</v>
      </c>
      <c r="L291" s="539" t="s">
        <v>179</v>
      </c>
      <c r="M291" s="539" t="s">
        <v>177</v>
      </c>
      <c r="N291" s="541" t="s">
        <v>224</v>
      </c>
      <c r="O291" s="542"/>
    </row>
    <row r="292" spans="1:15" ht="14.5" x14ac:dyDescent="0.35">
      <c r="A292" s="543"/>
      <c r="B292" s="544"/>
      <c r="C292" s="545"/>
      <c r="D292" s="544">
        <v>0</v>
      </c>
      <c r="E292" s="544">
        <v>-1</v>
      </c>
      <c r="F292" s="545" t="s">
        <v>29</v>
      </c>
      <c r="G292" s="544"/>
      <c r="H292" s="544" t="s">
        <v>200</v>
      </c>
      <c r="I292" s="544">
        <v>0</v>
      </c>
      <c r="J292" s="544"/>
      <c r="K292" s="546">
        <v>0</v>
      </c>
      <c r="L292" s="544" t="s">
        <v>29</v>
      </c>
      <c r="M292" s="544" t="s">
        <v>29</v>
      </c>
      <c r="N292" s="951"/>
      <c r="O292" s="952"/>
    </row>
    <row r="293" spans="1:15" ht="14.5" x14ac:dyDescent="0.35">
      <c r="A293" s="583">
        <v>25000</v>
      </c>
      <c r="B293" s="584">
        <v>50000</v>
      </c>
      <c r="C293" s="585"/>
      <c r="D293" s="586">
        <v>1</v>
      </c>
      <c r="E293" s="587"/>
      <c r="F293" s="585"/>
      <c r="G293" s="586" t="s">
        <v>29</v>
      </c>
      <c r="H293" s="586" t="s">
        <v>200</v>
      </c>
      <c r="I293" s="586">
        <v>1</v>
      </c>
      <c r="J293" s="586"/>
      <c r="K293" s="587">
        <v>0</v>
      </c>
      <c r="L293" s="586" t="s">
        <v>29</v>
      </c>
      <c r="M293" s="586" t="s">
        <v>29</v>
      </c>
      <c r="N293" s="953"/>
      <c r="O293" s="952"/>
    </row>
    <row r="294" spans="1:15" ht="14.5" x14ac:dyDescent="0.35">
      <c r="A294" s="583">
        <v>30000</v>
      </c>
      <c r="B294" s="584">
        <v>60000</v>
      </c>
      <c r="C294" s="585"/>
      <c r="D294" s="586">
        <v>2</v>
      </c>
      <c r="E294" s="587"/>
      <c r="F294" s="585"/>
      <c r="G294" s="586"/>
      <c r="H294" s="586" t="s">
        <v>200</v>
      </c>
      <c r="I294" s="586">
        <v>1</v>
      </c>
      <c r="J294" s="586"/>
      <c r="K294" s="587">
        <v>0</v>
      </c>
      <c r="L294" s="586" t="s">
        <v>29</v>
      </c>
      <c r="M294" s="586" t="s">
        <v>29</v>
      </c>
      <c r="N294" s="953"/>
      <c r="O294" s="952"/>
    </row>
    <row r="295" spans="1:15" ht="14.5" x14ac:dyDescent="0.35">
      <c r="A295" s="583">
        <v>50000</v>
      </c>
      <c r="B295" s="584">
        <v>100000</v>
      </c>
      <c r="C295" s="585"/>
      <c r="D295" s="586">
        <v>3</v>
      </c>
      <c r="E295" s="587"/>
      <c r="F295" s="588"/>
      <c r="G295" s="588"/>
      <c r="H295" s="586" t="s">
        <v>200</v>
      </c>
      <c r="I295" s="586">
        <v>1</v>
      </c>
      <c r="J295" s="586"/>
      <c r="K295" s="587">
        <v>0</v>
      </c>
      <c r="L295" s="586" t="s">
        <v>29</v>
      </c>
      <c r="M295" s="586" t="s">
        <v>29</v>
      </c>
      <c r="N295" s="953"/>
      <c r="O295" s="952"/>
    </row>
    <row r="296" spans="1:15" ht="14.5" x14ac:dyDescent="0.35">
      <c r="A296" s="583">
        <v>100000</v>
      </c>
      <c r="B296" s="584">
        <v>300000</v>
      </c>
      <c r="C296" s="585"/>
      <c r="D296" s="586">
        <v>4</v>
      </c>
      <c r="E296" s="587"/>
      <c r="F296" s="585"/>
      <c r="G296" s="586"/>
      <c r="H296" s="586" t="s">
        <v>200</v>
      </c>
      <c r="I296" s="586">
        <v>1</v>
      </c>
      <c r="J296" s="586"/>
      <c r="K296" s="587">
        <v>0</v>
      </c>
      <c r="L296" s="586" t="s">
        <v>29</v>
      </c>
      <c r="M296" s="586" t="s">
        <v>29</v>
      </c>
      <c r="N296" s="953"/>
      <c r="O296" s="952"/>
    </row>
    <row r="297" spans="1:15" ht="14.5" x14ac:dyDescent="0.35">
      <c r="A297" s="583">
        <v>250000</v>
      </c>
      <c r="B297" s="584">
        <v>500000</v>
      </c>
      <c r="C297" s="585"/>
      <c r="D297" s="586">
        <v>5</v>
      </c>
      <c r="E297" s="587"/>
      <c r="F297" s="585"/>
      <c r="G297" s="586"/>
      <c r="H297" s="586" t="s">
        <v>200</v>
      </c>
      <c r="I297" s="586">
        <v>1</v>
      </c>
      <c r="J297" s="586"/>
      <c r="K297" s="587">
        <v>0</v>
      </c>
      <c r="L297" s="586" t="s">
        <v>29</v>
      </c>
      <c r="M297" s="586" t="s">
        <v>29</v>
      </c>
      <c r="N297" s="953"/>
      <c r="O297" s="952"/>
    </row>
    <row r="298" spans="1:15" ht="14.5" x14ac:dyDescent="0.35">
      <c r="A298" s="583">
        <v>300000</v>
      </c>
      <c r="B298" s="584">
        <v>300000</v>
      </c>
      <c r="C298" s="585"/>
      <c r="D298" s="586">
        <v>6</v>
      </c>
      <c r="E298" s="587"/>
      <c r="F298" s="585"/>
      <c r="G298" s="586"/>
      <c r="H298" s="586" t="s">
        <v>200</v>
      </c>
      <c r="I298" s="586">
        <v>1</v>
      </c>
      <c r="J298" s="586"/>
      <c r="K298" s="587">
        <v>0</v>
      </c>
      <c r="L298" s="586" t="s">
        <v>29</v>
      </c>
      <c r="M298" s="586" t="s">
        <v>29</v>
      </c>
      <c r="N298" s="953"/>
      <c r="O298" s="952"/>
    </row>
    <row r="299" spans="1:15" ht="14.5" x14ac:dyDescent="0.35">
      <c r="A299" s="583">
        <v>500000</v>
      </c>
      <c r="B299" s="584">
        <v>500000</v>
      </c>
      <c r="C299" s="585"/>
      <c r="D299" s="586">
        <v>7</v>
      </c>
      <c r="E299" s="587"/>
      <c r="F299" s="585"/>
      <c r="G299" s="586"/>
      <c r="H299" s="586" t="s">
        <v>200</v>
      </c>
      <c r="I299" s="586">
        <v>1</v>
      </c>
      <c r="J299" s="586"/>
      <c r="K299" s="587">
        <v>0</v>
      </c>
      <c r="L299" s="586" t="s">
        <v>29</v>
      </c>
      <c r="M299" s="586" t="s">
        <v>29</v>
      </c>
      <c r="N299" s="953"/>
      <c r="O299" s="952"/>
    </row>
    <row r="300" spans="1:15" ht="15" thickBot="1" x14ac:dyDescent="0.4">
      <c r="A300" s="589">
        <v>500000</v>
      </c>
      <c r="B300" s="590">
        <v>1000000</v>
      </c>
      <c r="C300" s="591"/>
      <c r="D300" s="592">
        <v>8</v>
      </c>
      <c r="E300" s="593"/>
      <c r="F300" s="591"/>
      <c r="G300" s="592"/>
      <c r="H300" s="592" t="s">
        <v>200</v>
      </c>
      <c r="I300" s="592">
        <v>1</v>
      </c>
      <c r="J300" s="592"/>
      <c r="K300" s="593">
        <v>0</v>
      </c>
      <c r="L300" s="592"/>
      <c r="M300" s="592"/>
      <c r="N300" s="954"/>
      <c r="O300" s="952"/>
    </row>
    <row r="303" spans="1:15" ht="13" thickBot="1" x14ac:dyDescent="0.3"/>
    <row r="304" spans="1:15" ht="21.75" customHeight="1" thickBot="1" x14ac:dyDescent="0.3">
      <c r="A304" s="515" t="s">
        <v>173</v>
      </c>
      <c r="B304" s="1041" t="s">
        <v>264</v>
      </c>
      <c r="C304" s="1041"/>
      <c r="D304" s="1041"/>
      <c r="E304" s="1041"/>
      <c r="F304" s="1041"/>
      <c r="G304" s="1041"/>
      <c r="H304" s="1041"/>
      <c r="I304" s="1041"/>
      <c r="J304" s="1041"/>
      <c r="K304" s="1041"/>
      <c r="L304" s="1041"/>
      <c r="M304" s="1041"/>
      <c r="N304" s="1042"/>
    </row>
    <row r="305" spans="1:15" ht="12" customHeight="1" x14ac:dyDescent="0.25">
      <c r="A305" s="516" t="s">
        <v>202</v>
      </c>
      <c r="B305" s="82" t="s">
        <v>200</v>
      </c>
      <c r="C305" s="517"/>
      <c r="D305" s="517"/>
      <c r="E305" s="517"/>
      <c r="F305" s="517"/>
      <c r="G305" s="517"/>
      <c r="H305" s="517"/>
      <c r="I305" s="517"/>
      <c r="J305" s="517"/>
      <c r="K305" s="518" t="s">
        <v>177</v>
      </c>
      <c r="L305" s="519" t="s">
        <v>29</v>
      </c>
      <c r="M305" s="520"/>
      <c r="N305" s="521"/>
    </row>
    <row r="306" spans="1:15" ht="12" customHeight="1" x14ac:dyDescent="0.25">
      <c r="A306" s="516" t="s">
        <v>203</v>
      </c>
      <c r="B306" s="82" t="s">
        <v>204</v>
      </c>
      <c r="C306" s="517"/>
      <c r="D306" s="517"/>
      <c r="E306" s="517"/>
      <c r="F306" s="517"/>
      <c r="G306" s="517"/>
      <c r="H306" s="517"/>
      <c r="I306" s="517"/>
      <c r="J306" s="517"/>
      <c r="K306" s="344" t="s">
        <v>179</v>
      </c>
      <c r="L306" s="136" t="s">
        <v>29</v>
      </c>
      <c r="M306" s="522"/>
      <c r="N306" s="521"/>
    </row>
    <row r="307" spans="1:15" ht="12" customHeight="1" x14ac:dyDescent="0.25">
      <c r="A307" s="516" t="s">
        <v>205</v>
      </c>
      <c r="B307" s="82" t="s">
        <v>206</v>
      </c>
      <c r="C307" s="517"/>
      <c r="D307" s="517"/>
      <c r="E307" s="517"/>
      <c r="F307" s="517"/>
      <c r="G307" s="517"/>
      <c r="H307" s="517"/>
      <c r="I307" s="517"/>
      <c r="J307" s="517"/>
      <c r="K307" s="344" t="s">
        <v>181</v>
      </c>
      <c r="L307" s="137"/>
      <c r="M307" s="340"/>
      <c r="N307" s="521"/>
    </row>
    <row r="308" spans="1:15" ht="12" customHeight="1" x14ac:dyDescent="0.3">
      <c r="A308" s="516" t="s">
        <v>207</v>
      </c>
      <c r="B308" s="523" t="s">
        <v>208</v>
      </c>
      <c r="C308" s="517"/>
      <c r="D308" s="517"/>
      <c r="E308" s="517"/>
      <c r="F308" s="517"/>
      <c r="G308" s="517"/>
      <c r="H308" s="517"/>
      <c r="I308" s="517"/>
      <c r="J308" s="517"/>
      <c r="K308" s="344" t="s">
        <v>182</v>
      </c>
      <c r="L308" s="524"/>
      <c r="M308" s="525"/>
      <c r="N308" s="521"/>
    </row>
    <row r="309" spans="1:15" ht="12" customHeight="1" x14ac:dyDescent="0.3">
      <c r="A309" s="516" t="s">
        <v>187</v>
      </c>
      <c r="B309" s="82" t="s">
        <v>209</v>
      </c>
      <c r="C309" s="517"/>
      <c r="D309" s="517"/>
      <c r="E309" s="517"/>
      <c r="F309" s="517"/>
      <c r="G309" s="517"/>
      <c r="H309" s="517"/>
      <c r="I309" s="517"/>
      <c r="J309" s="349"/>
      <c r="K309" s="344" t="s">
        <v>183</v>
      </c>
      <c r="L309" s="524"/>
      <c r="M309" s="525"/>
      <c r="N309" s="521"/>
    </row>
    <row r="310" spans="1:15" ht="13" x14ac:dyDescent="0.3">
      <c r="A310" s="516" t="s">
        <v>210</v>
      </c>
      <c r="B310" s="81" t="s">
        <v>211</v>
      </c>
      <c r="K310" s="344" t="s">
        <v>184</v>
      </c>
      <c r="L310" s="526">
        <v>10</v>
      </c>
      <c r="M310" s="525"/>
      <c r="N310" s="521"/>
    </row>
    <row r="311" spans="1:15" ht="13" x14ac:dyDescent="0.3">
      <c r="A311" s="516"/>
      <c r="B311" s="1051"/>
      <c r="C311" s="1051"/>
      <c r="D311" s="1051"/>
      <c r="E311" s="1051"/>
      <c r="F311" s="1051"/>
      <c r="G311" s="1051"/>
      <c r="H311" s="1051"/>
      <c r="I311" s="1051"/>
      <c r="J311" s="1051"/>
      <c r="K311" s="344" t="s">
        <v>185</v>
      </c>
      <c r="L311" s="526">
        <v>2</v>
      </c>
      <c r="M311" s="525"/>
      <c r="N311" s="521"/>
    </row>
    <row r="312" spans="1:15" ht="13.5" thickBot="1" x14ac:dyDescent="0.35">
      <c r="A312" s="516"/>
      <c r="B312" s="119"/>
      <c r="C312" s="119"/>
      <c r="D312" s="119"/>
      <c r="E312" s="119"/>
      <c r="F312" s="119"/>
      <c r="G312" s="119"/>
      <c r="H312" s="119"/>
      <c r="I312" s="119"/>
      <c r="J312" s="119"/>
      <c r="K312" s="344" t="s">
        <v>186</v>
      </c>
      <c r="L312" s="561"/>
      <c r="M312" s="525"/>
      <c r="N312" s="521"/>
    </row>
    <row r="313" spans="1:15" s="84" customFormat="1" ht="13.5" customHeight="1" thickBot="1" x14ac:dyDescent="0.35">
      <c r="A313" s="527" t="s">
        <v>212</v>
      </c>
      <c r="B313" s="528">
        <v>3.6368999999999998</v>
      </c>
      <c r="C313" s="529"/>
      <c r="D313" s="529"/>
      <c r="E313" s="530"/>
      <c r="F313" s="530"/>
      <c r="G313" s="530"/>
      <c r="H313" s="530"/>
      <c r="I313" s="530"/>
      <c r="J313" s="530"/>
      <c r="K313" s="344" t="s">
        <v>187</v>
      </c>
      <c r="L313" s="524"/>
      <c r="M313" s="525"/>
      <c r="N313" s="531"/>
    </row>
    <row r="314" spans="1:15" ht="13.5" thickBot="1" x14ac:dyDescent="0.35">
      <c r="A314" s="516"/>
      <c r="B314" s="349"/>
      <c r="C314" s="532"/>
      <c r="D314" s="532"/>
      <c r="E314" s="349"/>
      <c r="F314" s="349"/>
      <c r="G314" s="349"/>
      <c r="H314" s="349"/>
      <c r="I314" s="349"/>
      <c r="J314" s="349"/>
      <c r="K314" s="533" t="s">
        <v>188</v>
      </c>
      <c r="L314" s="581" t="s">
        <v>29</v>
      </c>
      <c r="M314" s="535"/>
      <c r="N314" s="521"/>
    </row>
    <row r="315" spans="1:15" ht="13.5" thickBot="1" x14ac:dyDescent="0.35">
      <c r="A315" s="516"/>
      <c r="B315" s="349"/>
      <c r="C315" s="532"/>
      <c r="D315" s="532"/>
      <c r="E315" s="349"/>
      <c r="F315" s="349"/>
      <c r="G315" s="349"/>
      <c r="H315" s="349"/>
      <c r="I315" s="349"/>
      <c r="J315" s="349"/>
      <c r="K315" s="395"/>
      <c r="L315" s="536"/>
      <c r="M315" s="537"/>
      <c r="N315" s="521"/>
    </row>
    <row r="316" spans="1:15" s="84" customFormat="1" ht="32.25" customHeight="1" thickBot="1" x14ac:dyDescent="0.4">
      <c r="A316" s="538" t="s">
        <v>213</v>
      </c>
      <c r="B316" s="539" t="s">
        <v>214</v>
      </c>
      <c r="C316" s="540" t="s">
        <v>215</v>
      </c>
      <c r="D316" s="540" t="s">
        <v>216</v>
      </c>
      <c r="E316" s="540" t="s">
        <v>217</v>
      </c>
      <c r="F316" s="540" t="s">
        <v>218</v>
      </c>
      <c r="G316" s="539" t="s">
        <v>219</v>
      </c>
      <c r="H316" s="539" t="s">
        <v>220</v>
      </c>
      <c r="I316" s="539" t="s">
        <v>221</v>
      </c>
      <c r="J316" s="539" t="s">
        <v>222</v>
      </c>
      <c r="K316" s="539" t="s">
        <v>223</v>
      </c>
      <c r="L316" s="539" t="s">
        <v>179</v>
      </c>
      <c r="M316" s="539" t="s">
        <v>177</v>
      </c>
      <c r="N316" s="541" t="s">
        <v>224</v>
      </c>
      <c r="O316" s="542"/>
    </row>
    <row r="317" spans="1:15" ht="14.5" x14ac:dyDescent="0.35">
      <c r="A317" s="583">
        <v>65000</v>
      </c>
      <c r="B317" s="584"/>
      <c r="C317" s="585"/>
      <c r="D317" s="586">
        <v>1</v>
      </c>
      <c r="E317" s="587"/>
      <c r="F317" s="585"/>
      <c r="G317" s="586"/>
      <c r="H317" s="586" t="s">
        <v>200</v>
      </c>
      <c r="I317" s="586">
        <v>1</v>
      </c>
      <c r="J317" s="586"/>
      <c r="K317" s="587">
        <v>0</v>
      </c>
      <c r="L317" s="586" t="s">
        <v>29</v>
      </c>
      <c r="M317" s="586" t="s">
        <v>29</v>
      </c>
      <c r="N317" s="953"/>
      <c r="O317" s="952"/>
    </row>
    <row r="318" spans="1:15" ht="14.5" x14ac:dyDescent="0.35">
      <c r="A318" s="583">
        <v>75000</v>
      </c>
      <c r="B318" s="584"/>
      <c r="C318" s="585"/>
      <c r="D318" s="586">
        <v>2</v>
      </c>
      <c r="E318" s="587"/>
      <c r="F318" s="594"/>
      <c r="G318" s="594"/>
      <c r="H318" s="586" t="s">
        <v>200</v>
      </c>
      <c r="I318" s="586">
        <v>1</v>
      </c>
      <c r="J318" s="586"/>
      <c r="K318" s="587">
        <v>0</v>
      </c>
      <c r="L318" s="586" t="s">
        <v>29</v>
      </c>
      <c r="M318" s="586" t="s">
        <v>29</v>
      </c>
      <c r="N318" s="953"/>
      <c r="O318" s="952"/>
    </row>
    <row r="319" spans="1:15" ht="14.5" x14ac:dyDescent="0.35">
      <c r="A319" s="583">
        <v>100000</v>
      </c>
      <c r="B319" s="584"/>
      <c r="C319" s="585"/>
      <c r="D319" s="586">
        <v>3</v>
      </c>
      <c r="E319" s="587"/>
      <c r="F319" s="594"/>
      <c r="G319" s="594"/>
      <c r="H319" s="586" t="s">
        <v>200</v>
      </c>
      <c r="I319" s="586">
        <v>1</v>
      </c>
      <c r="J319" s="586"/>
      <c r="K319" s="587">
        <v>0</v>
      </c>
      <c r="L319" s="586" t="s">
        <v>29</v>
      </c>
      <c r="M319" s="586" t="s">
        <v>29</v>
      </c>
      <c r="N319" s="953"/>
      <c r="O319" s="952"/>
    </row>
    <row r="320" spans="1:15" ht="14.5" x14ac:dyDescent="0.35">
      <c r="A320" s="583">
        <v>300000</v>
      </c>
      <c r="B320" s="584"/>
      <c r="C320" s="585"/>
      <c r="D320" s="586">
        <v>4</v>
      </c>
      <c r="E320" s="587"/>
      <c r="F320" s="585"/>
      <c r="G320" s="586"/>
      <c r="H320" s="586" t="s">
        <v>200</v>
      </c>
      <c r="I320" s="586">
        <v>1</v>
      </c>
      <c r="J320" s="586"/>
      <c r="K320" s="587">
        <v>0</v>
      </c>
      <c r="L320" s="586" t="s">
        <v>29</v>
      </c>
      <c r="M320" s="586" t="s">
        <v>29</v>
      </c>
      <c r="N320" s="953"/>
      <c r="O320" s="952"/>
    </row>
    <row r="321" spans="1:15" ht="14.5" x14ac:dyDescent="0.35">
      <c r="A321" s="583">
        <v>500000</v>
      </c>
      <c r="B321" s="584"/>
      <c r="C321" s="585"/>
      <c r="D321" s="586">
        <v>5</v>
      </c>
      <c r="E321" s="587"/>
      <c r="F321" s="585"/>
      <c r="G321" s="586"/>
      <c r="H321" s="586" t="s">
        <v>200</v>
      </c>
      <c r="I321" s="586">
        <v>1</v>
      </c>
      <c r="J321" s="586"/>
      <c r="K321" s="587">
        <v>0</v>
      </c>
      <c r="L321" s="586" t="s">
        <v>29</v>
      </c>
      <c r="M321" s="586" t="s">
        <v>29</v>
      </c>
      <c r="N321" s="953"/>
      <c r="O321" s="952"/>
    </row>
    <row r="322" spans="1:15" ht="15" thickBot="1" x14ac:dyDescent="0.4">
      <c r="A322" s="589">
        <v>1000000</v>
      </c>
      <c r="B322" s="590"/>
      <c r="C322" s="591"/>
      <c r="D322" s="592">
        <v>6</v>
      </c>
      <c r="E322" s="593"/>
      <c r="F322" s="591"/>
      <c r="G322" s="592"/>
      <c r="H322" s="592" t="s">
        <v>200</v>
      </c>
      <c r="I322" s="592">
        <v>1</v>
      </c>
      <c r="J322" s="592"/>
      <c r="K322" s="593">
        <v>0</v>
      </c>
      <c r="L322" s="592"/>
      <c r="M322" s="592"/>
      <c r="N322" s="954"/>
      <c r="O322" s="952"/>
    </row>
    <row r="325" spans="1:15" ht="13" thickBot="1" x14ac:dyDescent="0.3"/>
    <row r="326" spans="1:15" ht="21.75" customHeight="1" thickBot="1" x14ac:dyDescent="0.3">
      <c r="A326" s="515" t="s">
        <v>173</v>
      </c>
      <c r="B326" s="1041" t="s">
        <v>265</v>
      </c>
      <c r="C326" s="1041"/>
      <c r="D326" s="1041"/>
      <c r="E326" s="1041"/>
      <c r="F326" s="1041"/>
      <c r="G326" s="1041"/>
      <c r="H326" s="1041"/>
      <c r="I326" s="1041"/>
      <c r="J326" s="1041"/>
      <c r="K326" s="1041"/>
      <c r="L326" s="1041"/>
      <c r="M326" s="1041"/>
      <c r="N326" s="1042"/>
    </row>
    <row r="327" spans="1:15" ht="12" customHeight="1" x14ac:dyDescent="0.25">
      <c r="A327" s="516" t="s">
        <v>202</v>
      </c>
      <c r="B327" s="82" t="s">
        <v>200</v>
      </c>
      <c r="C327" s="517"/>
      <c r="D327" s="517"/>
      <c r="E327" s="517"/>
      <c r="F327" s="517"/>
      <c r="G327" s="517"/>
      <c r="H327" s="517"/>
      <c r="I327" s="517"/>
      <c r="J327" s="517"/>
      <c r="K327" s="518" t="s">
        <v>177</v>
      </c>
      <c r="L327" s="519"/>
      <c r="M327" s="520"/>
      <c r="N327" s="521"/>
    </row>
    <row r="328" spans="1:15" ht="12" customHeight="1" x14ac:dyDescent="0.25">
      <c r="A328" s="516" t="s">
        <v>203</v>
      </c>
      <c r="B328" s="82" t="s">
        <v>204</v>
      </c>
      <c r="C328" s="517"/>
      <c r="D328" s="517"/>
      <c r="E328" s="517"/>
      <c r="F328" s="517"/>
      <c r="G328" s="517"/>
      <c r="H328" s="517"/>
      <c r="I328" s="517"/>
      <c r="J328" s="517"/>
      <c r="K328" s="344" t="s">
        <v>179</v>
      </c>
      <c r="L328" s="136"/>
      <c r="M328" s="522"/>
      <c r="N328" s="521"/>
    </row>
    <row r="329" spans="1:15" ht="12" customHeight="1" x14ac:dyDescent="0.25">
      <c r="A329" s="516" t="s">
        <v>205</v>
      </c>
      <c r="B329" s="82" t="s">
        <v>206</v>
      </c>
      <c r="C329" s="517"/>
      <c r="D329" s="517"/>
      <c r="E329" s="517"/>
      <c r="F329" s="517"/>
      <c r="G329" s="517"/>
      <c r="H329" s="517"/>
      <c r="I329" s="517"/>
      <c r="J329" s="517"/>
      <c r="K329" s="344" t="s">
        <v>181</v>
      </c>
      <c r="L329" s="137"/>
      <c r="M329" s="340"/>
      <c r="N329" s="521"/>
    </row>
    <row r="330" spans="1:15" ht="12" customHeight="1" x14ac:dyDescent="0.3">
      <c r="A330" s="516" t="s">
        <v>207</v>
      </c>
      <c r="B330" s="523" t="s">
        <v>208</v>
      </c>
      <c r="C330" s="517"/>
      <c r="D330" s="517"/>
      <c r="E330" s="517"/>
      <c r="F330" s="517"/>
      <c r="G330" s="517"/>
      <c r="H330" s="517"/>
      <c r="I330" s="517"/>
      <c r="J330" s="517"/>
      <c r="K330" s="344" t="s">
        <v>182</v>
      </c>
      <c r="L330" s="524" t="s">
        <v>29</v>
      </c>
      <c r="M330" s="525"/>
      <c r="N330" s="521"/>
    </row>
    <row r="331" spans="1:15" ht="12" customHeight="1" x14ac:dyDescent="0.3">
      <c r="A331" s="516" t="s">
        <v>187</v>
      </c>
      <c r="B331" s="82" t="s">
        <v>209</v>
      </c>
      <c r="C331" s="517"/>
      <c r="D331" s="517"/>
      <c r="E331" s="517"/>
      <c r="F331" s="517"/>
      <c r="G331" s="517"/>
      <c r="H331" s="517"/>
      <c r="I331" s="517"/>
      <c r="J331" s="349"/>
      <c r="K331" s="344" t="s">
        <v>183</v>
      </c>
      <c r="L331" s="524"/>
      <c r="M331" s="525"/>
      <c r="N331" s="521"/>
    </row>
    <row r="332" spans="1:15" ht="13" x14ac:dyDescent="0.3">
      <c r="A332" s="516" t="s">
        <v>210</v>
      </c>
      <c r="B332" s="81" t="s">
        <v>211</v>
      </c>
      <c r="K332" s="344" t="s">
        <v>184</v>
      </c>
      <c r="L332" s="526">
        <v>23</v>
      </c>
      <c r="M332" s="525"/>
      <c r="N332" s="521"/>
    </row>
    <row r="333" spans="1:15" ht="13" x14ac:dyDescent="0.3">
      <c r="A333" s="516"/>
      <c r="B333" s="1051"/>
      <c r="C333" s="1051"/>
      <c r="D333" s="1051"/>
      <c r="E333" s="1051"/>
      <c r="F333" s="1051"/>
      <c r="G333" s="1051"/>
      <c r="H333" s="1051"/>
      <c r="I333" s="1051"/>
      <c r="J333" s="1051"/>
      <c r="K333" s="344" t="s">
        <v>185</v>
      </c>
      <c r="L333" s="526">
        <v>1</v>
      </c>
      <c r="M333" s="525"/>
      <c r="N333" s="521"/>
    </row>
    <row r="334" spans="1:15" ht="13" x14ac:dyDescent="0.3">
      <c r="A334" s="516"/>
      <c r="B334" s="119"/>
      <c r="C334" s="119"/>
      <c r="D334" s="119"/>
      <c r="E334" s="119"/>
      <c r="F334" s="119"/>
      <c r="G334" s="119"/>
      <c r="H334" s="119"/>
      <c r="I334" s="119"/>
      <c r="J334" s="119"/>
      <c r="K334" s="344" t="s">
        <v>186</v>
      </c>
      <c r="L334" s="561"/>
      <c r="M334" s="525"/>
      <c r="N334" s="521"/>
    </row>
    <row r="335" spans="1:15" s="84" customFormat="1" ht="13.5" customHeight="1" x14ac:dyDescent="0.3">
      <c r="A335" s="562"/>
      <c r="B335" s="563"/>
      <c r="C335" s="529"/>
      <c r="D335" s="529"/>
      <c r="E335" s="530"/>
      <c r="F335" s="530"/>
      <c r="G335" s="530"/>
      <c r="H335" s="530"/>
      <c r="I335" s="530"/>
      <c r="J335" s="530"/>
      <c r="K335" s="344" t="s">
        <v>187</v>
      </c>
      <c r="L335" s="524"/>
      <c r="M335" s="525"/>
      <c r="N335" s="531"/>
    </row>
    <row r="336" spans="1:15" ht="13.5" thickBot="1" x14ac:dyDescent="0.35">
      <c r="A336" s="516"/>
      <c r="B336" s="349"/>
      <c r="C336" s="532"/>
      <c r="D336" s="532"/>
      <c r="E336" s="349"/>
      <c r="F336" s="349"/>
      <c r="G336" s="349"/>
      <c r="H336" s="349"/>
      <c r="I336" s="349"/>
      <c r="J336" s="349"/>
      <c r="K336" s="533" t="s">
        <v>188</v>
      </c>
      <c r="L336" s="534"/>
      <c r="M336" s="535"/>
      <c r="N336" s="521"/>
    </row>
    <row r="337" spans="1:15" ht="13.5" thickBot="1" x14ac:dyDescent="0.35">
      <c r="A337" s="516"/>
      <c r="B337" s="349"/>
      <c r="C337" s="532"/>
      <c r="D337" s="532"/>
      <c r="E337" s="349"/>
      <c r="F337" s="349"/>
      <c r="G337" s="349"/>
      <c r="H337" s="349"/>
      <c r="I337" s="349"/>
      <c r="J337" s="349"/>
      <c r="K337" s="395"/>
      <c r="L337" s="536"/>
      <c r="M337" s="537"/>
      <c r="N337" s="521"/>
    </row>
    <row r="338" spans="1:15" s="84" customFormat="1" ht="32.25" customHeight="1" thickBot="1" x14ac:dyDescent="0.4">
      <c r="A338" s="538" t="s">
        <v>213</v>
      </c>
      <c r="B338" s="539" t="s">
        <v>214</v>
      </c>
      <c r="C338" s="540" t="s">
        <v>215</v>
      </c>
      <c r="D338" s="540" t="s">
        <v>216</v>
      </c>
      <c r="E338" s="540" t="s">
        <v>217</v>
      </c>
      <c r="F338" s="540" t="s">
        <v>218</v>
      </c>
      <c r="G338" s="539" t="s">
        <v>219</v>
      </c>
      <c r="H338" s="539" t="s">
        <v>220</v>
      </c>
      <c r="I338" s="539" t="s">
        <v>221</v>
      </c>
      <c r="J338" s="539" t="s">
        <v>222</v>
      </c>
      <c r="K338" s="539" t="s">
        <v>223</v>
      </c>
      <c r="L338" s="539" t="s">
        <v>179</v>
      </c>
      <c r="M338" s="539" t="s">
        <v>177</v>
      </c>
      <c r="N338" s="541" t="s">
        <v>224</v>
      </c>
      <c r="O338" s="542"/>
    </row>
    <row r="339" spans="1:15" ht="14.5" x14ac:dyDescent="0.35">
      <c r="A339" s="543"/>
      <c r="B339" s="544"/>
      <c r="C339" s="545"/>
      <c r="D339" s="544">
        <v>0</v>
      </c>
      <c r="E339" s="544">
        <v>-1</v>
      </c>
      <c r="F339" s="545"/>
      <c r="G339" s="544"/>
      <c r="H339" s="544" t="s">
        <v>200</v>
      </c>
      <c r="I339" s="544">
        <v>0</v>
      </c>
      <c r="J339" s="544"/>
      <c r="K339" s="546">
        <v>0</v>
      </c>
      <c r="L339" s="544"/>
      <c r="M339" s="544"/>
      <c r="N339" s="951"/>
      <c r="O339" s="952"/>
    </row>
    <row r="340" spans="1:15" ht="14.5" x14ac:dyDescent="0.35">
      <c r="A340" s="564">
        <v>10000</v>
      </c>
      <c r="B340" s="551"/>
      <c r="C340" s="547"/>
      <c r="D340" s="138">
        <v>1</v>
      </c>
      <c r="E340" s="548">
        <v>0</v>
      </c>
      <c r="F340" s="547" t="s">
        <v>29</v>
      </c>
      <c r="G340" s="138" t="s">
        <v>29</v>
      </c>
      <c r="H340" s="138" t="s">
        <v>200</v>
      </c>
      <c r="I340" s="138">
        <v>1</v>
      </c>
      <c r="J340" s="138"/>
      <c r="K340" s="548">
        <v>0</v>
      </c>
      <c r="L340" s="138"/>
      <c r="M340" s="138"/>
      <c r="N340" s="957"/>
      <c r="O340" s="952"/>
    </row>
    <row r="341" spans="1:15" ht="14.5" x14ac:dyDescent="0.35">
      <c r="A341" s="564">
        <v>25000</v>
      </c>
      <c r="B341" s="551"/>
      <c r="C341" s="547"/>
      <c r="D341" s="138">
        <v>2</v>
      </c>
      <c r="E341" s="548">
        <v>7</v>
      </c>
      <c r="F341" s="135"/>
      <c r="G341" s="135"/>
      <c r="H341" s="138" t="s">
        <v>200</v>
      </c>
      <c r="I341" s="138">
        <v>1</v>
      </c>
      <c r="J341" s="138"/>
      <c r="K341" s="548">
        <v>0</v>
      </c>
      <c r="L341" s="138"/>
      <c r="M341" s="138"/>
      <c r="N341" s="957"/>
      <c r="O341" s="952"/>
    </row>
    <row r="342" spans="1:15" ht="14.5" x14ac:dyDescent="0.35">
      <c r="A342" s="564">
        <v>50000</v>
      </c>
      <c r="B342" s="551"/>
      <c r="C342" s="547"/>
      <c r="D342" s="138">
        <v>3</v>
      </c>
      <c r="E342" s="548">
        <v>9</v>
      </c>
      <c r="F342" s="547"/>
      <c r="G342" s="138"/>
      <c r="H342" s="138" t="s">
        <v>200</v>
      </c>
      <c r="I342" s="138">
        <v>1</v>
      </c>
      <c r="J342" s="138"/>
      <c r="K342" s="548">
        <v>0</v>
      </c>
      <c r="L342" s="138"/>
      <c r="M342" s="138"/>
      <c r="N342" s="957"/>
      <c r="O342" s="952"/>
    </row>
    <row r="343" spans="1:15" ht="14.5" x14ac:dyDescent="0.35">
      <c r="A343" s="564">
        <v>100000</v>
      </c>
      <c r="B343" s="551"/>
      <c r="C343" s="547"/>
      <c r="D343" s="138">
        <v>4</v>
      </c>
      <c r="E343" s="548">
        <v>10</v>
      </c>
      <c r="F343" s="547"/>
      <c r="G343" s="138"/>
      <c r="H343" s="138" t="s">
        <v>200</v>
      </c>
      <c r="I343" s="138">
        <v>1</v>
      </c>
      <c r="J343" s="138"/>
      <c r="K343" s="548">
        <v>0</v>
      </c>
      <c r="L343" s="138"/>
      <c r="M343" s="138"/>
      <c r="N343" s="957"/>
      <c r="O343" s="952"/>
    </row>
    <row r="344" spans="1:15" ht="14.5" x14ac:dyDescent="0.35">
      <c r="A344" s="564">
        <v>300000</v>
      </c>
      <c r="B344" s="551"/>
      <c r="C344" s="547"/>
      <c r="D344" s="138">
        <v>5</v>
      </c>
      <c r="E344" s="548">
        <v>12</v>
      </c>
      <c r="F344" s="547"/>
      <c r="G344" s="138"/>
      <c r="H344" s="138" t="s">
        <v>200</v>
      </c>
      <c r="I344" s="138">
        <v>1</v>
      </c>
      <c r="J344" s="138"/>
      <c r="K344" s="548">
        <v>0</v>
      </c>
      <c r="L344" s="138"/>
      <c r="M344" s="138"/>
      <c r="N344" s="957"/>
      <c r="O344" s="952"/>
    </row>
    <row r="345" spans="1:15" ht="15" thickBot="1" x14ac:dyDescent="0.4">
      <c r="A345" s="565">
        <v>500000</v>
      </c>
      <c r="B345" s="552"/>
      <c r="C345" s="549"/>
      <c r="D345" s="304">
        <v>6</v>
      </c>
      <c r="E345" s="550">
        <v>13</v>
      </c>
      <c r="F345" s="549"/>
      <c r="G345" s="304"/>
      <c r="H345" s="304" t="s">
        <v>200</v>
      </c>
      <c r="I345" s="304">
        <v>1</v>
      </c>
      <c r="J345" s="304"/>
      <c r="K345" s="550">
        <v>0</v>
      </c>
      <c r="L345" s="304"/>
      <c r="M345" s="304"/>
      <c r="N345" s="958"/>
      <c r="O345" s="952"/>
    </row>
    <row r="348" spans="1:15" ht="13" thickBot="1" x14ac:dyDescent="0.3"/>
    <row r="349" spans="1:15" ht="21.75" customHeight="1" thickBot="1" x14ac:dyDescent="0.3">
      <c r="A349" s="515" t="s">
        <v>173</v>
      </c>
      <c r="B349" s="1041" t="s">
        <v>266</v>
      </c>
      <c r="C349" s="1041"/>
      <c r="D349" s="1041"/>
      <c r="E349" s="1041"/>
      <c r="F349" s="1041"/>
      <c r="G349" s="1041"/>
      <c r="H349" s="1041"/>
      <c r="I349" s="1041"/>
      <c r="J349" s="1041"/>
      <c r="K349" s="1041"/>
      <c r="L349" s="1041"/>
      <c r="M349" s="1041"/>
      <c r="N349" s="1042"/>
    </row>
    <row r="350" spans="1:15" ht="12" customHeight="1" x14ac:dyDescent="0.25">
      <c r="A350" s="516" t="s">
        <v>202</v>
      </c>
      <c r="B350" s="82" t="s">
        <v>200</v>
      </c>
      <c r="C350" s="517"/>
      <c r="D350" s="517"/>
      <c r="E350" s="517"/>
      <c r="F350" s="517"/>
      <c r="G350" s="517"/>
      <c r="H350" s="517"/>
      <c r="I350" s="517"/>
      <c r="J350" s="517"/>
      <c r="K350" s="518" t="s">
        <v>177</v>
      </c>
      <c r="L350" s="519"/>
      <c r="M350" s="520"/>
      <c r="N350" s="521"/>
    </row>
    <row r="351" spans="1:15" ht="12" customHeight="1" x14ac:dyDescent="0.25">
      <c r="A351" s="516" t="s">
        <v>203</v>
      </c>
      <c r="B351" s="82" t="s">
        <v>204</v>
      </c>
      <c r="C351" s="517"/>
      <c r="D351" s="517"/>
      <c r="E351" s="517"/>
      <c r="F351" s="517"/>
      <c r="G351" s="517"/>
      <c r="H351" s="517"/>
      <c r="I351" s="517"/>
      <c r="J351" s="517"/>
      <c r="K351" s="344" t="s">
        <v>179</v>
      </c>
      <c r="L351" s="136"/>
      <c r="M351" s="522"/>
      <c r="N351" s="521"/>
    </row>
    <row r="352" spans="1:15" ht="12" customHeight="1" x14ac:dyDescent="0.25">
      <c r="A352" s="516" t="s">
        <v>205</v>
      </c>
      <c r="B352" s="82" t="s">
        <v>206</v>
      </c>
      <c r="C352" s="517"/>
      <c r="D352" s="517"/>
      <c r="E352" s="517"/>
      <c r="F352" s="517"/>
      <c r="G352" s="517"/>
      <c r="H352" s="517"/>
      <c r="I352" s="517"/>
      <c r="J352" s="517"/>
      <c r="K352" s="344" t="s">
        <v>181</v>
      </c>
      <c r="L352" s="137"/>
      <c r="M352" s="340"/>
      <c r="N352" s="521"/>
    </row>
    <row r="353" spans="1:15" ht="12" customHeight="1" x14ac:dyDescent="0.3">
      <c r="A353" s="516" t="s">
        <v>207</v>
      </c>
      <c r="B353" s="523" t="s">
        <v>208</v>
      </c>
      <c r="C353" s="517"/>
      <c r="D353" s="517"/>
      <c r="E353" s="517"/>
      <c r="F353" s="517"/>
      <c r="G353" s="517"/>
      <c r="H353" s="517"/>
      <c r="I353" s="517"/>
      <c r="J353" s="517"/>
      <c r="K353" s="344" t="s">
        <v>182</v>
      </c>
      <c r="L353" s="524" t="s">
        <v>29</v>
      </c>
      <c r="M353" s="525"/>
      <c r="N353" s="521"/>
    </row>
    <row r="354" spans="1:15" ht="12" customHeight="1" x14ac:dyDescent="0.3">
      <c r="A354" s="516" t="s">
        <v>187</v>
      </c>
      <c r="B354" s="82" t="s">
        <v>209</v>
      </c>
      <c r="C354" s="517"/>
      <c r="D354" s="517"/>
      <c r="E354" s="517"/>
      <c r="F354" s="517"/>
      <c r="G354" s="517"/>
      <c r="H354" s="517"/>
      <c r="I354" s="517"/>
      <c r="J354" s="349"/>
      <c r="K354" s="344" t="s">
        <v>183</v>
      </c>
      <c r="L354" s="524"/>
      <c r="M354" s="525"/>
      <c r="N354" s="521"/>
    </row>
    <row r="355" spans="1:15" ht="13" x14ac:dyDescent="0.3">
      <c r="A355" s="516" t="s">
        <v>210</v>
      </c>
      <c r="B355" s="81" t="s">
        <v>211</v>
      </c>
      <c r="K355" s="344" t="s">
        <v>184</v>
      </c>
      <c r="L355" s="526">
        <v>24</v>
      </c>
      <c r="M355" s="525"/>
      <c r="N355" s="521"/>
    </row>
    <row r="356" spans="1:15" ht="13" x14ac:dyDescent="0.3">
      <c r="A356" s="516"/>
      <c r="B356" s="1051"/>
      <c r="C356" s="1051"/>
      <c r="D356" s="1051"/>
      <c r="E356" s="1051"/>
      <c r="F356" s="1051"/>
      <c r="G356" s="1051"/>
      <c r="H356" s="1051"/>
      <c r="I356" s="1051"/>
      <c r="J356" s="1051"/>
      <c r="K356" s="344" t="s">
        <v>185</v>
      </c>
      <c r="L356" s="526">
        <v>1</v>
      </c>
      <c r="M356" s="525"/>
      <c r="N356" s="521"/>
    </row>
    <row r="357" spans="1:15" ht="13" x14ac:dyDescent="0.3">
      <c r="A357" s="516"/>
      <c r="B357" s="119"/>
      <c r="C357" s="119"/>
      <c r="D357" s="119"/>
      <c r="E357" s="119"/>
      <c r="F357" s="119"/>
      <c r="G357" s="119"/>
      <c r="H357" s="119"/>
      <c r="I357" s="119"/>
      <c r="J357" s="119"/>
      <c r="K357" s="344" t="s">
        <v>186</v>
      </c>
      <c r="L357" s="561"/>
      <c r="M357" s="525"/>
      <c r="N357" s="521"/>
    </row>
    <row r="358" spans="1:15" s="84" customFormat="1" ht="13.5" customHeight="1" x14ac:dyDescent="0.3">
      <c r="A358" s="562"/>
      <c r="B358" s="563"/>
      <c r="C358" s="529"/>
      <c r="D358" s="529"/>
      <c r="E358" s="530"/>
      <c r="F358" s="530"/>
      <c r="G358" s="530"/>
      <c r="H358" s="530"/>
      <c r="I358" s="530"/>
      <c r="J358" s="530"/>
      <c r="K358" s="344" t="s">
        <v>187</v>
      </c>
      <c r="L358" s="524"/>
      <c r="M358" s="525"/>
      <c r="N358" s="531"/>
    </row>
    <row r="359" spans="1:15" ht="13.5" thickBot="1" x14ac:dyDescent="0.35">
      <c r="A359" s="516"/>
      <c r="B359" s="349"/>
      <c r="C359" s="532"/>
      <c r="D359" s="532"/>
      <c r="E359" s="349"/>
      <c r="F359" s="349"/>
      <c r="G359" s="349"/>
      <c r="H359" s="349"/>
      <c r="I359" s="349"/>
      <c r="J359" s="349"/>
      <c r="K359" s="533" t="s">
        <v>188</v>
      </c>
      <c r="L359" s="534"/>
      <c r="M359" s="535"/>
      <c r="N359" s="521"/>
    </row>
    <row r="360" spans="1:15" ht="13.5" thickBot="1" x14ac:dyDescent="0.35">
      <c r="A360" s="516"/>
      <c r="B360" s="349"/>
      <c r="C360" s="532"/>
      <c r="D360" s="532"/>
      <c r="E360" s="349"/>
      <c r="F360" s="349"/>
      <c r="G360" s="349"/>
      <c r="H360" s="349"/>
      <c r="I360" s="349"/>
      <c r="J360" s="349"/>
      <c r="K360" s="395"/>
      <c r="L360" s="536"/>
      <c r="M360" s="537"/>
      <c r="N360" s="521"/>
    </row>
    <row r="361" spans="1:15" s="84" customFormat="1" ht="32.25" customHeight="1" thickBot="1" x14ac:dyDescent="0.4">
      <c r="A361" s="538" t="s">
        <v>213</v>
      </c>
      <c r="B361" s="539" t="s">
        <v>214</v>
      </c>
      <c r="C361" s="540" t="s">
        <v>215</v>
      </c>
      <c r="D361" s="540" t="s">
        <v>216</v>
      </c>
      <c r="E361" s="540" t="s">
        <v>217</v>
      </c>
      <c r="F361" s="540" t="s">
        <v>218</v>
      </c>
      <c r="G361" s="539" t="s">
        <v>219</v>
      </c>
      <c r="H361" s="539" t="s">
        <v>220</v>
      </c>
      <c r="I361" s="539" t="s">
        <v>221</v>
      </c>
      <c r="J361" s="539" t="s">
        <v>222</v>
      </c>
      <c r="K361" s="539" t="s">
        <v>223</v>
      </c>
      <c r="L361" s="539" t="s">
        <v>179</v>
      </c>
      <c r="M361" s="539" t="s">
        <v>177</v>
      </c>
      <c r="N361" s="541" t="s">
        <v>224</v>
      </c>
      <c r="O361" s="542"/>
    </row>
    <row r="362" spans="1:15" ht="14.5" x14ac:dyDescent="0.35">
      <c r="A362" s="543"/>
      <c r="B362" s="544"/>
      <c r="C362" s="545"/>
      <c r="D362" s="544">
        <v>0</v>
      </c>
      <c r="E362" s="544">
        <v>-1</v>
      </c>
      <c r="F362" s="545"/>
      <c r="G362" s="544"/>
      <c r="H362" s="544" t="s">
        <v>200</v>
      </c>
      <c r="I362" s="544">
        <v>0</v>
      </c>
      <c r="J362" s="544"/>
      <c r="K362" s="546">
        <v>0</v>
      </c>
      <c r="L362" s="544"/>
      <c r="M362" s="544"/>
      <c r="N362" s="951"/>
      <c r="O362" s="952"/>
    </row>
    <row r="363" spans="1:15" ht="15" thickBot="1" x14ac:dyDescent="0.4">
      <c r="A363" s="565">
        <v>2500</v>
      </c>
      <c r="B363" s="552"/>
      <c r="C363" s="549"/>
      <c r="D363" s="304">
        <v>1</v>
      </c>
      <c r="E363" s="550">
        <v>0</v>
      </c>
      <c r="F363" s="549" t="s">
        <v>29</v>
      </c>
      <c r="G363" s="304" t="s">
        <v>29</v>
      </c>
      <c r="H363" s="304" t="s">
        <v>200</v>
      </c>
      <c r="I363" s="304">
        <v>1</v>
      </c>
      <c r="J363" s="304"/>
      <c r="K363" s="550">
        <v>0</v>
      </c>
      <c r="L363" s="304"/>
      <c r="M363" s="304"/>
      <c r="N363" s="958"/>
      <c r="O363" s="952"/>
    </row>
    <row r="366" spans="1:15" customFormat="1" ht="15.5" x14ac:dyDescent="0.25">
      <c r="A366" s="4" t="s">
        <v>173</v>
      </c>
      <c r="B366" s="1053" t="s">
        <v>267</v>
      </c>
      <c r="C366" s="1053"/>
      <c r="D366" s="1053"/>
      <c r="E366" s="1053"/>
      <c r="F366" s="1053"/>
      <c r="G366" s="1053"/>
      <c r="H366" s="1053"/>
    </row>
    <row r="367" spans="1:15" customFormat="1" ht="13" x14ac:dyDescent="0.25">
      <c r="A367" s="4" t="s">
        <v>210</v>
      </c>
      <c r="B367" s="42" t="s">
        <v>211</v>
      </c>
      <c r="C367" s="42"/>
      <c r="D367" s="42"/>
      <c r="E367" s="42"/>
      <c r="F367" s="67"/>
      <c r="G367" s="67"/>
      <c r="H367" s="7"/>
    </row>
    <row r="368" spans="1:15" customFormat="1" ht="13" x14ac:dyDescent="0.25">
      <c r="A368" s="4" t="s">
        <v>268</v>
      </c>
      <c r="B368" s="1056" t="s">
        <v>269</v>
      </c>
      <c r="C368" s="1056"/>
      <c r="D368" s="1056"/>
      <c r="E368" s="1056"/>
      <c r="F368" s="145"/>
      <c r="G368" s="8"/>
      <c r="H368" s="7"/>
    </row>
    <row r="369" spans="1:11" customFormat="1" ht="13" x14ac:dyDescent="0.25">
      <c r="A369" s="5" t="s">
        <v>270</v>
      </c>
      <c r="B369" s="30" t="s">
        <v>271</v>
      </c>
      <c r="C369" s="31"/>
      <c r="D369" s="31"/>
      <c r="E369" s="31"/>
      <c r="F369" s="31"/>
      <c r="G369" s="7"/>
      <c r="H369" s="7"/>
    </row>
    <row r="370" spans="1:11" customFormat="1" ht="13" x14ac:dyDescent="0.25">
      <c r="A370" s="5" t="s">
        <v>272</v>
      </c>
      <c r="B370" s="33" t="s">
        <v>273</v>
      </c>
      <c r="C370" s="31"/>
      <c r="D370" s="31"/>
      <c r="E370" s="31"/>
      <c r="F370" s="31"/>
      <c r="G370" s="7"/>
      <c r="H370" s="7"/>
    </row>
    <row r="371" spans="1:11" customFormat="1" ht="51" customHeight="1" x14ac:dyDescent="0.25">
      <c r="A371" s="5" t="s">
        <v>274</v>
      </c>
      <c r="B371" s="1057" t="s">
        <v>275</v>
      </c>
      <c r="C371" s="1058"/>
      <c r="D371" s="1058"/>
      <c r="E371" s="1058"/>
      <c r="F371" s="1058"/>
      <c r="G371" s="1058"/>
      <c r="H371" s="1058"/>
    </row>
    <row r="372" spans="1:11" customFormat="1" ht="13" x14ac:dyDescent="0.3">
      <c r="A372" s="32"/>
      <c r="B372" s="9"/>
      <c r="C372" s="7"/>
      <c r="D372" s="7"/>
      <c r="E372" s="7"/>
      <c r="F372" s="10"/>
      <c r="G372" s="7"/>
      <c r="H372" s="7"/>
    </row>
    <row r="373" spans="1:11" customFormat="1" ht="15.5" x14ac:dyDescent="0.25">
      <c r="A373" s="4" t="s">
        <v>173</v>
      </c>
      <c r="B373" s="1053" t="s">
        <v>276</v>
      </c>
      <c r="C373" s="1053"/>
      <c r="D373" s="1053"/>
      <c r="E373" s="1053"/>
      <c r="F373" s="1053"/>
      <c r="G373" s="1053"/>
      <c r="H373" s="1053"/>
    </row>
    <row r="374" spans="1:11" customFormat="1" ht="13" x14ac:dyDescent="0.25">
      <c r="A374" s="4" t="s">
        <v>210</v>
      </c>
      <c r="B374" s="33" t="s">
        <v>277</v>
      </c>
      <c r="C374" s="33"/>
      <c r="D374" s="33"/>
      <c r="E374" s="33"/>
      <c r="F374" s="33"/>
      <c r="G374" s="30"/>
      <c r="H374" s="30"/>
      <c r="I374" s="3"/>
    </row>
    <row r="375" spans="1:11" customFormat="1" ht="13" x14ac:dyDescent="0.25">
      <c r="A375" s="4" t="s">
        <v>268</v>
      </c>
      <c r="B375" s="1055" t="s">
        <v>278</v>
      </c>
      <c r="C375" s="1055"/>
      <c r="D375" s="1055"/>
      <c r="E375" s="1055"/>
      <c r="F375" s="1055"/>
      <c r="G375" s="1055"/>
      <c r="H375" s="1055"/>
      <c r="I375" s="1055"/>
    </row>
    <row r="376" spans="1:11" customFormat="1" ht="13" x14ac:dyDescent="0.25">
      <c r="A376" s="4" t="s">
        <v>186</v>
      </c>
      <c r="B376" s="146">
        <v>0</v>
      </c>
      <c r="C376" s="33"/>
      <c r="D376" s="33"/>
      <c r="E376" s="33"/>
      <c r="F376" s="33"/>
      <c r="G376" s="30"/>
      <c r="H376" s="30"/>
      <c r="I376" s="3"/>
    </row>
    <row r="377" spans="1:11" customFormat="1" ht="13" x14ac:dyDescent="0.25">
      <c r="A377" s="5" t="s">
        <v>270</v>
      </c>
      <c r="B377" s="1055" t="s">
        <v>279</v>
      </c>
      <c r="C377" s="1055"/>
      <c r="D377" s="1055"/>
      <c r="E377" s="1055"/>
      <c r="F377" s="1055"/>
      <c r="G377" s="30"/>
      <c r="H377" s="30"/>
      <c r="I377" s="3"/>
    </row>
    <row r="378" spans="1:11" customFormat="1" ht="13" x14ac:dyDescent="0.25">
      <c r="A378" s="5" t="s">
        <v>272</v>
      </c>
      <c r="B378" s="33" t="s">
        <v>280</v>
      </c>
      <c r="C378" s="51"/>
      <c r="D378" s="51"/>
      <c r="E378" s="51"/>
      <c r="F378" s="51"/>
      <c r="G378" s="30"/>
      <c r="H378" s="30"/>
      <c r="I378" s="3"/>
    </row>
    <row r="379" spans="1:11" customFormat="1" ht="42.75" customHeight="1" x14ac:dyDescent="0.25">
      <c r="A379" s="5" t="s">
        <v>274</v>
      </c>
      <c r="B379" s="1055" t="s">
        <v>281</v>
      </c>
      <c r="C379" s="1055"/>
      <c r="D379" s="1055"/>
      <c r="E379" s="1055"/>
      <c r="F379" s="1055"/>
      <c r="G379" s="1055"/>
      <c r="H379" s="1055"/>
      <c r="I379" s="3"/>
    </row>
    <row r="380" spans="1:11" customFormat="1" x14ac:dyDescent="0.25"/>
    <row r="381" spans="1:11" customFormat="1" ht="15.5" x14ac:dyDescent="0.25">
      <c r="A381" s="4" t="s">
        <v>173</v>
      </c>
      <c r="B381" s="1053" t="s">
        <v>282</v>
      </c>
      <c r="C381" s="1053"/>
      <c r="D381" s="1053"/>
      <c r="E381" s="1053"/>
      <c r="F381" s="1053"/>
      <c r="G381" s="1053"/>
      <c r="H381" s="1053"/>
    </row>
    <row r="382" spans="1:11" customFormat="1" ht="13" x14ac:dyDescent="0.25">
      <c r="A382" s="4" t="s">
        <v>210</v>
      </c>
      <c r="B382" s="33" t="s">
        <v>277</v>
      </c>
      <c r="C382" s="34"/>
      <c r="D382" s="34"/>
      <c r="E382" s="34"/>
      <c r="F382" s="34"/>
      <c r="G382" s="7"/>
      <c r="H382" s="7"/>
    </row>
    <row r="383" spans="1:11" customFormat="1" ht="13" x14ac:dyDescent="0.25">
      <c r="A383" s="4" t="s">
        <v>203</v>
      </c>
      <c r="B383" s="52" t="s">
        <v>283</v>
      </c>
      <c r="C383" s="77"/>
      <c r="D383" s="77"/>
      <c r="E383" s="77"/>
      <c r="F383" s="77"/>
      <c r="G383" s="77"/>
      <c r="H383" s="77"/>
      <c r="I383" s="77"/>
      <c r="J383" s="77"/>
      <c r="K383" s="77"/>
    </row>
    <row r="384" spans="1:11" customFormat="1" ht="13" x14ac:dyDescent="0.25">
      <c r="A384" s="4" t="s">
        <v>268</v>
      </c>
      <c r="B384" s="50" t="s">
        <v>284</v>
      </c>
      <c r="C384" s="149"/>
      <c r="D384" s="149"/>
      <c r="E384" s="149"/>
      <c r="F384" s="149"/>
      <c r="G384" s="149"/>
      <c r="H384" s="149"/>
      <c r="I384" s="149"/>
    </row>
    <row r="385" spans="1:11" customFormat="1" ht="13" x14ac:dyDescent="0.25">
      <c r="A385" s="5" t="s">
        <v>270</v>
      </c>
      <c r="B385" s="1054" t="s">
        <v>285</v>
      </c>
      <c r="C385" s="1054"/>
      <c r="D385" s="1054"/>
      <c r="E385" s="1054"/>
      <c r="F385" s="1054"/>
      <c r="G385" s="7"/>
      <c r="H385" s="7"/>
    </row>
    <row r="386" spans="1:11" customFormat="1" ht="13" x14ac:dyDescent="0.25">
      <c r="A386" s="5" t="s">
        <v>272</v>
      </c>
      <c r="B386" s="33" t="s">
        <v>286</v>
      </c>
      <c r="C386" s="145"/>
      <c r="D386" s="145"/>
      <c r="E386" s="145"/>
      <c r="F386" s="145"/>
      <c r="G386" s="7"/>
      <c r="H386" s="7"/>
    </row>
    <row r="387" spans="1:11" customFormat="1" ht="13" x14ac:dyDescent="0.25">
      <c r="A387" s="5" t="s">
        <v>274</v>
      </c>
      <c r="B387" s="1055"/>
      <c r="C387" s="1055"/>
      <c r="D387" s="1055"/>
      <c r="E387" s="1055"/>
      <c r="F387" s="1055"/>
      <c r="G387" s="1055"/>
      <c r="H387" s="1055"/>
    </row>
    <row r="388" spans="1:11" customFormat="1" x14ac:dyDescent="0.25"/>
    <row r="389" spans="1:11" customFormat="1" ht="15.5" x14ac:dyDescent="0.25">
      <c r="A389" s="4" t="s">
        <v>173</v>
      </c>
      <c r="B389" s="1053" t="s">
        <v>287</v>
      </c>
      <c r="C389" s="1053"/>
      <c r="D389" s="1053"/>
      <c r="E389" s="1053"/>
      <c r="F389" s="1053"/>
      <c r="G389" s="1053"/>
      <c r="H389" s="1053"/>
    </row>
    <row r="390" spans="1:11" customFormat="1" ht="13" x14ac:dyDescent="0.25">
      <c r="A390" s="4" t="s">
        <v>210</v>
      </c>
      <c r="B390" s="33" t="s">
        <v>211</v>
      </c>
      <c r="C390" s="34"/>
      <c r="D390" s="34"/>
      <c r="E390" s="34"/>
      <c r="F390" s="34"/>
      <c r="G390" s="7"/>
      <c r="H390" s="7"/>
    </row>
    <row r="391" spans="1:11" customFormat="1" ht="13" x14ac:dyDescent="0.25">
      <c r="A391" s="4" t="s">
        <v>203</v>
      </c>
      <c r="B391" s="52" t="s">
        <v>288</v>
      </c>
      <c r="C391" s="77"/>
      <c r="D391" s="77"/>
      <c r="E391" s="77"/>
      <c r="F391" s="77"/>
      <c r="G391" s="77"/>
      <c r="H391" s="77"/>
      <c r="I391" s="77"/>
      <c r="J391" s="77"/>
      <c r="K391" s="77"/>
    </row>
    <row r="392" spans="1:11" customFormat="1" ht="13" x14ac:dyDescent="0.25">
      <c r="A392" s="4" t="s">
        <v>268</v>
      </c>
      <c r="B392" s="50"/>
      <c r="C392" s="149"/>
      <c r="D392" s="149"/>
      <c r="E392" s="149"/>
      <c r="F392" s="149"/>
      <c r="G392" s="149"/>
      <c r="H392" s="149"/>
      <c r="I392" s="149"/>
    </row>
    <row r="393" spans="1:11" customFormat="1" ht="13" x14ac:dyDescent="0.25">
      <c r="A393" s="5" t="s">
        <v>270</v>
      </c>
      <c r="B393" s="1059" t="s">
        <v>289</v>
      </c>
      <c r="C393" s="1059"/>
      <c r="D393" s="1059"/>
      <c r="E393" s="1059"/>
      <c r="F393" s="1059"/>
      <c r="G393" s="7"/>
      <c r="H393" s="7"/>
    </row>
    <row r="394" spans="1:11" customFormat="1" ht="13" x14ac:dyDescent="0.25">
      <c r="A394" s="5" t="s">
        <v>272</v>
      </c>
      <c r="B394" s="30" t="s">
        <v>280</v>
      </c>
      <c r="C394" s="145"/>
      <c r="D394" s="145"/>
      <c r="E394" s="145"/>
      <c r="F394" s="145"/>
      <c r="G394" s="7"/>
      <c r="H394" s="7"/>
    </row>
    <row r="395" spans="1:11" customFormat="1" ht="13" x14ac:dyDescent="0.25">
      <c r="A395" s="5" t="s">
        <v>274</v>
      </c>
      <c r="B395" s="1055"/>
      <c r="C395" s="1055"/>
      <c r="D395" s="1055"/>
      <c r="E395" s="1055"/>
      <c r="F395" s="1055"/>
      <c r="G395" s="1055"/>
      <c r="H395" s="1055"/>
    </row>
    <row r="396" spans="1:11" customFormat="1" ht="13" x14ac:dyDescent="0.3">
      <c r="A396" s="32"/>
      <c r="B396" s="9"/>
      <c r="C396" s="7"/>
      <c r="D396" s="76"/>
      <c r="E396" s="10"/>
      <c r="F396" s="7"/>
      <c r="G396" s="7"/>
    </row>
    <row r="397" spans="1:11" customFormat="1" ht="15.5" x14ac:dyDescent="0.25">
      <c r="A397" s="4" t="s">
        <v>173</v>
      </c>
      <c r="B397" s="1053" t="s">
        <v>290</v>
      </c>
      <c r="C397" s="1053"/>
      <c r="D397" s="1053"/>
      <c r="E397" s="1053"/>
      <c r="F397" s="1053"/>
      <c r="G397" s="1053"/>
      <c r="H397" s="1053"/>
    </row>
    <row r="398" spans="1:11" customFormat="1" ht="13" x14ac:dyDescent="0.25">
      <c r="A398" s="4" t="s">
        <v>210</v>
      </c>
      <c r="B398" s="33" t="s">
        <v>211</v>
      </c>
      <c r="C398" s="34"/>
      <c r="D398" s="34"/>
      <c r="E398" s="34"/>
      <c r="F398" s="34"/>
      <c r="G398" s="7"/>
      <c r="H398" s="7"/>
    </row>
    <row r="399" spans="1:11" customFormat="1" ht="13" x14ac:dyDescent="0.25">
      <c r="A399" s="4" t="s">
        <v>203</v>
      </c>
      <c r="B399" s="52" t="s">
        <v>288</v>
      </c>
      <c r="C399" s="77"/>
      <c r="D399" s="77"/>
      <c r="E399" s="77"/>
      <c r="F399" s="77"/>
      <c r="G399" s="77"/>
      <c r="H399" s="77"/>
      <c r="I399" s="77"/>
      <c r="J399" s="77"/>
      <c r="K399" s="77"/>
    </row>
    <row r="400" spans="1:11" customFormat="1" ht="13" x14ac:dyDescent="0.25">
      <c r="A400" s="4" t="s">
        <v>268</v>
      </c>
      <c r="B400" s="50" t="s">
        <v>291</v>
      </c>
      <c r="C400" s="149"/>
      <c r="D400" s="149"/>
      <c r="E400" s="149"/>
      <c r="F400" s="149"/>
      <c r="G400" s="149"/>
      <c r="H400" s="149"/>
      <c r="I400" s="149"/>
    </row>
    <row r="401" spans="1:11" customFormat="1" ht="13" x14ac:dyDescent="0.25">
      <c r="A401" s="5" t="s">
        <v>270</v>
      </c>
      <c r="B401" s="1059" t="s">
        <v>289</v>
      </c>
      <c r="C401" s="1059"/>
      <c r="D401" s="1059"/>
      <c r="E401" s="1059"/>
      <c r="F401" s="1059"/>
      <c r="G401" s="7"/>
      <c r="H401" s="7"/>
    </row>
    <row r="402" spans="1:11" customFormat="1" ht="13" x14ac:dyDescent="0.25">
      <c r="A402" s="5" t="s">
        <v>272</v>
      </c>
      <c r="B402" s="30" t="s">
        <v>280</v>
      </c>
      <c r="C402" s="145"/>
      <c r="D402" s="145"/>
      <c r="E402" s="145"/>
      <c r="F402" s="145"/>
      <c r="G402" s="7"/>
      <c r="H402" s="7"/>
    </row>
    <row r="403" spans="1:11" customFormat="1" ht="13" x14ac:dyDescent="0.25">
      <c r="A403" s="5" t="s">
        <v>274</v>
      </c>
      <c r="B403" s="1055"/>
      <c r="C403" s="1055"/>
      <c r="D403" s="1055"/>
      <c r="E403" s="1055"/>
      <c r="F403" s="1055"/>
      <c r="G403" s="1055"/>
      <c r="H403" s="1055"/>
    </row>
    <row r="404" spans="1:11" customFormat="1" ht="13" x14ac:dyDescent="0.25">
      <c r="A404" s="5"/>
      <c r="B404" s="51"/>
      <c r="C404" s="51"/>
      <c r="D404" s="51"/>
      <c r="E404" s="51"/>
      <c r="F404" s="51"/>
      <c r="G404" s="51"/>
      <c r="H404" s="51"/>
    </row>
    <row r="405" spans="1:11" customFormat="1" ht="15.5" x14ac:dyDescent="0.25">
      <c r="A405" s="4" t="s">
        <v>173</v>
      </c>
      <c r="B405" s="1053" t="s">
        <v>292</v>
      </c>
      <c r="C405" s="1053"/>
      <c r="D405" s="1053"/>
      <c r="E405" s="1053"/>
      <c r="F405" s="1053"/>
      <c r="G405" s="1053"/>
      <c r="H405" s="1053"/>
    </row>
    <row r="406" spans="1:11" customFormat="1" ht="13" x14ac:dyDescent="0.25">
      <c r="A406" s="4" t="s">
        <v>210</v>
      </c>
      <c r="B406" s="33" t="s">
        <v>211</v>
      </c>
      <c r="C406" s="34"/>
      <c r="D406" s="34"/>
      <c r="E406" s="34"/>
      <c r="F406" s="34"/>
      <c r="G406" s="7"/>
      <c r="H406" s="7"/>
    </row>
    <row r="407" spans="1:11" customFormat="1" ht="13" x14ac:dyDescent="0.25">
      <c r="A407" s="4" t="s">
        <v>203</v>
      </c>
      <c r="B407" s="52" t="s">
        <v>288</v>
      </c>
      <c r="C407" s="77"/>
      <c r="D407" s="77"/>
      <c r="E407" s="77"/>
      <c r="F407" s="77"/>
      <c r="G407" s="77"/>
      <c r="H407" s="77"/>
      <c r="I407" s="77"/>
      <c r="J407" s="77"/>
      <c r="K407" s="77"/>
    </row>
    <row r="408" spans="1:11" customFormat="1" ht="13" x14ac:dyDescent="0.25">
      <c r="A408" s="4" t="s">
        <v>268</v>
      </c>
      <c r="B408" s="50" t="s">
        <v>293</v>
      </c>
      <c r="C408" s="149"/>
      <c r="D408" s="149"/>
      <c r="E408" s="149"/>
      <c r="F408" s="149"/>
      <c r="G408" s="149"/>
      <c r="H408" s="149"/>
      <c r="I408" s="149"/>
    </row>
    <row r="409" spans="1:11" customFormat="1" ht="13" x14ac:dyDescent="0.25">
      <c r="A409" s="5" t="s">
        <v>270</v>
      </c>
      <c r="B409" s="1059" t="s">
        <v>289</v>
      </c>
      <c r="C409" s="1059"/>
      <c r="D409" s="1059"/>
      <c r="E409" s="1059"/>
      <c r="F409" s="1059"/>
      <c r="G409" s="7"/>
      <c r="H409" s="7"/>
    </row>
    <row r="410" spans="1:11" customFormat="1" ht="13" x14ac:dyDescent="0.25">
      <c r="A410" s="5" t="s">
        <v>272</v>
      </c>
      <c r="B410" s="30" t="s">
        <v>280</v>
      </c>
      <c r="C410" s="145"/>
      <c r="D410" s="145"/>
      <c r="E410" s="145"/>
      <c r="F410" s="145"/>
      <c r="G410" s="7"/>
      <c r="H410" s="7"/>
    </row>
    <row r="411" spans="1:11" customFormat="1" ht="13" x14ac:dyDescent="0.25">
      <c r="A411" s="5" t="s">
        <v>274</v>
      </c>
      <c r="B411" s="1055"/>
      <c r="C411" s="1055"/>
      <c r="D411" s="1055"/>
      <c r="E411" s="1055"/>
      <c r="F411" s="1055"/>
      <c r="G411" s="1055"/>
      <c r="H411" s="1055"/>
    </row>
    <row r="412" spans="1:11" customFormat="1" ht="13" x14ac:dyDescent="0.25">
      <c r="A412" s="5"/>
      <c r="B412" s="51"/>
      <c r="C412" s="51"/>
      <c r="D412" s="51"/>
      <c r="E412" s="51"/>
      <c r="F412" s="51"/>
      <c r="G412" s="51"/>
      <c r="H412" s="51"/>
    </row>
    <row r="413" spans="1:11" customFormat="1" ht="15.5" x14ac:dyDescent="0.25">
      <c r="A413" s="4" t="s">
        <v>173</v>
      </c>
      <c r="B413" s="1053" t="s">
        <v>294</v>
      </c>
      <c r="C413" s="1053"/>
      <c r="D413" s="1053"/>
      <c r="E413" s="1053"/>
      <c r="F413" s="1053"/>
      <c r="G413" s="1053"/>
      <c r="H413" s="1053"/>
    </row>
    <row r="414" spans="1:11" customFormat="1" ht="13" x14ac:dyDescent="0.25">
      <c r="A414" s="4" t="s">
        <v>210</v>
      </c>
      <c r="B414" s="33" t="s">
        <v>211</v>
      </c>
      <c r="C414" s="34"/>
      <c r="D414" s="34"/>
      <c r="E414" s="34"/>
      <c r="F414" s="34"/>
      <c r="G414" s="7"/>
      <c r="H414" s="7"/>
    </row>
    <row r="415" spans="1:11" customFormat="1" ht="13" x14ac:dyDescent="0.25">
      <c r="A415" s="4" t="s">
        <v>203</v>
      </c>
      <c r="B415" s="52" t="s">
        <v>288</v>
      </c>
      <c r="C415" s="77"/>
      <c r="D415" s="77"/>
      <c r="E415" s="77"/>
      <c r="F415" s="77"/>
      <c r="G415" s="77"/>
      <c r="H415" s="77"/>
      <c r="I415" s="77"/>
      <c r="J415" s="77"/>
      <c r="K415" s="77"/>
    </row>
    <row r="416" spans="1:11" customFormat="1" ht="13" x14ac:dyDescent="0.25">
      <c r="A416" s="4" t="s">
        <v>268</v>
      </c>
      <c r="B416" s="50" t="s">
        <v>295</v>
      </c>
      <c r="C416" s="149"/>
      <c r="D416" s="149"/>
      <c r="E416" s="149"/>
      <c r="F416" s="149"/>
      <c r="G416" s="149"/>
      <c r="H416" s="149"/>
      <c r="I416" s="149"/>
    </row>
    <row r="417" spans="1:13" customFormat="1" ht="13" x14ac:dyDescent="0.25">
      <c r="A417" s="5" t="s">
        <v>270</v>
      </c>
      <c r="B417" s="1059" t="s">
        <v>289</v>
      </c>
      <c r="C417" s="1059"/>
      <c r="D417" s="1059"/>
      <c r="E417" s="1059"/>
      <c r="F417" s="1059"/>
      <c r="G417" s="7"/>
      <c r="H417" s="7"/>
    </row>
    <row r="418" spans="1:13" customFormat="1" ht="13" x14ac:dyDescent="0.25">
      <c r="A418" s="5" t="s">
        <v>272</v>
      </c>
      <c r="B418" s="30" t="s">
        <v>280</v>
      </c>
      <c r="C418" s="145"/>
      <c r="D418" s="145"/>
      <c r="E418" s="145"/>
      <c r="F418" s="145"/>
      <c r="G418" s="7"/>
      <c r="H418" s="7"/>
    </row>
    <row r="419" spans="1:13" customFormat="1" ht="13" x14ac:dyDescent="0.25">
      <c r="A419" s="5" t="s">
        <v>274</v>
      </c>
      <c r="B419" s="1055"/>
      <c r="C419" s="1055"/>
      <c r="D419" s="1055"/>
      <c r="E419" s="1055"/>
      <c r="F419" s="1055"/>
      <c r="G419" s="1055"/>
      <c r="H419" s="1055"/>
    </row>
    <row r="420" spans="1:13" customFormat="1" ht="13" x14ac:dyDescent="0.25">
      <c r="A420" s="5"/>
      <c r="B420" s="51"/>
      <c r="C420" s="51"/>
      <c r="D420" s="51"/>
      <c r="E420" s="51"/>
      <c r="F420" s="51"/>
      <c r="G420" s="51"/>
      <c r="H420" s="51"/>
    </row>
    <row r="421" spans="1:13" customFormat="1" ht="15.5" x14ac:dyDescent="0.25">
      <c r="A421" s="4" t="s">
        <v>173</v>
      </c>
      <c r="B421" s="1053" t="s">
        <v>296</v>
      </c>
      <c r="C421" s="1053"/>
      <c r="D421" s="1053"/>
      <c r="E421" s="1053"/>
      <c r="F421" s="1053"/>
      <c r="G421" s="1053"/>
      <c r="H421" s="1053"/>
      <c r="I421" s="350"/>
      <c r="J421" s="350"/>
      <c r="K421" s="350"/>
    </row>
    <row r="422" spans="1:13" customFormat="1" ht="13" x14ac:dyDescent="0.25">
      <c r="A422" s="4" t="s">
        <v>210</v>
      </c>
      <c r="B422" s="33" t="s">
        <v>211</v>
      </c>
      <c r="C422" s="33"/>
      <c r="D422" s="33"/>
      <c r="E422" s="33"/>
      <c r="F422" s="33"/>
      <c r="G422" s="7"/>
      <c r="H422" s="7"/>
      <c r="K422" s="201"/>
      <c r="L422" s="265"/>
      <c r="M422" s="266"/>
    </row>
    <row r="423" spans="1:13" customFormat="1" ht="13" x14ac:dyDescent="0.25">
      <c r="A423" s="4" t="s">
        <v>203</v>
      </c>
      <c r="B423" s="33" t="s">
        <v>283</v>
      </c>
      <c r="C423" s="42"/>
      <c r="D423" s="42"/>
      <c r="E423" s="42"/>
      <c r="F423" s="42"/>
      <c r="G423" s="77"/>
      <c r="H423" s="77"/>
      <c r="I423" s="77"/>
      <c r="J423" s="77"/>
      <c r="K423" s="201"/>
      <c r="L423" s="77"/>
      <c r="M423" s="42"/>
    </row>
    <row r="424" spans="1:13" customFormat="1" ht="13" x14ac:dyDescent="0.3">
      <c r="A424" s="4" t="s">
        <v>268</v>
      </c>
      <c r="B424" s="1056" t="s">
        <v>297</v>
      </c>
      <c r="C424" s="1056"/>
      <c r="D424" s="1056"/>
      <c r="E424" s="51"/>
      <c r="F424" s="51"/>
      <c r="G424" s="149"/>
      <c r="H424" s="149"/>
      <c r="I424" s="149"/>
      <c r="K424" s="201"/>
      <c r="L424" s="267"/>
      <c r="M424" s="268"/>
    </row>
    <row r="425" spans="1:13" customFormat="1" ht="13" x14ac:dyDescent="0.3">
      <c r="A425" s="4"/>
      <c r="B425" s="1056" t="s">
        <v>298</v>
      </c>
      <c r="C425" s="1056"/>
      <c r="D425" s="1056"/>
      <c r="E425" s="51"/>
      <c r="F425" s="51"/>
      <c r="G425" s="149"/>
      <c r="H425" s="149"/>
      <c r="I425" s="149"/>
      <c r="K425" s="201"/>
      <c r="L425" s="267"/>
      <c r="M425" s="268"/>
    </row>
    <row r="426" spans="1:13" customFormat="1" ht="13" x14ac:dyDescent="0.3">
      <c r="A426" s="4"/>
      <c r="B426" s="1056" t="s">
        <v>299</v>
      </c>
      <c r="C426" s="1056"/>
      <c r="D426" s="1056"/>
      <c r="E426" s="51"/>
      <c r="F426" s="51"/>
      <c r="G426" s="149"/>
      <c r="H426" s="149"/>
      <c r="I426" s="149"/>
      <c r="K426" s="201"/>
      <c r="L426" s="269"/>
      <c r="M426" s="268"/>
    </row>
    <row r="427" spans="1:13" customFormat="1" ht="13" x14ac:dyDescent="0.3">
      <c r="A427" s="4" t="s">
        <v>207</v>
      </c>
      <c r="B427" s="42" t="s">
        <v>300</v>
      </c>
      <c r="C427" s="3"/>
      <c r="D427" s="3"/>
      <c r="E427" s="3"/>
      <c r="F427" s="3"/>
      <c r="K427" s="201"/>
      <c r="L427" s="270"/>
      <c r="M427" s="268"/>
    </row>
    <row r="428" spans="1:13" customFormat="1" ht="14.5" x14ac:dyDescent="0.35">
      <c r="A428" s="5" t="s">
        <v>270</v>
      </c>
      <c r="B428" s="1055" t="s">
        <v>285</v>
      </c>
      <c r="C428" s="1055"/>
      <c r="D428" s="1055"/>
      <c r="E428" s="1055"/>
      <c r="F428" s="1055"/>
      <c r="G428" s="7"/>
      <c r="H428" s="7"/>
      <c r="K428" s="201"/>
      <c r="L428" s="351"/>
      <c r="M428" s="268"/>
    </row>
    <row r="429" spans="1:13" customFormat="1" ht="13" x14ac:dyDescent="0.3">
      <c r="A429" s="5" t="s">
        <v>272</v>
      </c>
      <c r="B429" s="33" t="s">
        <v>280</v>
      </c>
      <c r="C429" s="51"/>
      <c r="D429" s="51"/>
      <c r="E429" s="51"/>
      <c r="F429" s="51"/>
      <c r="G429" s="7"/>
      <c r="H429" s="7"/>
      <c r="K429" s="201"/>
      <c r="L429" s="267"/>
      <c r="M429" s="268"/>
    </row>
    <row r="430" spans="1:13" customFormat="1" ht="79.5" customHeight="1" x14ac:dyDescent="0.3">
      <c r="A430" s="5" t="s">
        <v>274</v>
      </c>
      <c r="B430" s="1055" t="s">
        <v>301</v>
      </c>
      <c r="C430" s="1056"/>
      <c r="D430" s="1056"/>
      <c r="E430" s="1056"/>
      <c r="F430" s="1056"/>
      <c r="G430" s="1056"/>
      <c r="H430" s="1056"/>
      <c r="K430" s="201"/>
      <c r="L430" s="267"/>
      <c r="M430" s="268"/>
    </row>
    <row r="431" spans="1:13" customFormat="1" ht="13" x14ac:dyDescent="0.3">
      <c r="A431" s="32"/>
      <c r="B431" s="9"/>
      <c r="C431" s="7"/>
      <c r="D431" s="76"/>
      <c r="E431" s="10"/>
      <c r="F431" s="7"/>
      <c r="G431" s="7"/>
    </row>
    <row r="432" spans="1:13" customFormat="1" ht="18" x14ac:dyDescent="0.25">
      <c r="A432" s="272" t="s">
        <v>173</v>
      </c>
      <c r="B432" s="1062" t="s">
        <v>302</v>
      </c>
      <c r="C432" s="1062"/>
      <c r="D432" s="1062"/>
      <c r="E432" s="1062"/>
      <c r="F432" s="1062"/>
      <c r="G432" s="1062"/>
      <c r="H432" s="1062"/>
      <c r="I432" s="578"/>
      <c r="J432" s="578"/>
      <c r="K432" s="578"/>
      <c r="L432" s="271"/>
      <c r="M432" s="271"/>
    </row>
    <row r="433" spans="1:13" customFormat="1" ht="13" x14ac:dyDescent="0.25">
      <c r="A433" s="272" t="s">
        <v>210</v>
      </c>
      <c r="B433" s="273" t="s">
        <v>277</v>
      </c>
      <c r="C433" s="274"/>
      <c r="D433" s="274"/>
      <c r="E433" s="274"/>
      <c r="F433" s="274"/>
      <c r="G433" s="275"/>
      <c r="H433" s="275"/>
      <c r="I433" s="55"/>
      <c r="J433" s="55"/>
      <c r="K433" s="579"/>
      <c r="L433" s="265"/>
      <c r="M433" s="266"/>
    </row>
    <row r="434" spans="1:13" customFormat="1" ht="13" x14ac:dyDescent="0.25">
      <c r="A434" s="272" t="s">
        <v>203</v>
      </c>
      <c r="B434" s="273" t="s">
        <v>303</v>
      </c>
      <c r="C434" s="276"/>
      <c r="D434" s="276"/>
      <c r="E434" s="276"/>
      <c r="F434" s="276"/>
      <c r="G434" s="276"/>
      <c r="H434" s="276"/>
      <c r="I434" s="580"/>
      <c r="J434" s="580"/>
      <c r="K434" s="579"/>
      <c r="L434" s="77"/>
      <c r="M434" s="42"/>
    </row>
    <row r="435" spans="1:13" customFormat="1" ht="13" x14ac:dyDescent="0.3">
      <c r="A435" s="272" t="s">
        <v>268</v>
      </c>
      <c r="B435" s="1060"/>
      <c r="C435" s="1060"/>
      <c r="D435" s="1060"/>
      <c r="E435" s="277"/>
      <c r="F435" s="277"/>
      <c r="G435" s="277"/>
      <c r="H435" s="277"/>
      <c r="I435" s="507"/>
      <c r="J435" s="55"/>
      <c r="K435" s="579"/>
      <c r="L435" s="267"/>
      <c r="M435" s="268"/>
    </row>
    <row r="436" spans="1:13" customFormat="1" ht="13" x14ac:dyDescent="0.3">
      <c r="A436" s="278" t="s">
        <v>270</v>
      </c>
      <c r="B436" s="1061" t="s">
        <v>304</v>
      </c>
      <c r="C436" s="1061"/>
      <c r="D436" s="1061"/>
      <c r="E436" s="1061"/>
      <c r="F436" s="1061"/>
      <c r="G436" s="275"/>
      <c r="H436" s="275"/>
      <c r="I436" s="55"/>
      <c r="J436" s="55"/>
      <c r="K436" s="579"/>
      <c r="L436" s="267"/>
      <c r="M436" s="268"/>
    </row>
    <row r="437" spans="1:13" customFormat="1" ht="13" x14ac:dyDescent="0.3">
      <c r="A437" s="278" t="s">
        <v>272</v>
      </c>
      <c r="B437" s="273" t="s">
        <v>273</v>
      </c>
      <c r="C437" s="279"/>
      <c r="D437" s="279"/>
      <c r="E437" s="279"/>
      <c r="F437" s="279"/>
      <c r="G437" s="275"/>
      <c r="H437" s="275"/>
      <c r="I437" s="55"/>
      <c r="J437" s="55"/>
      <c r="K437" s="579"/>
      <c r="L437" s="269"/>
      <c r="M437" s="268"/>
    </row>
    <row r="438" spans="1:13" customFormat="1" ht="13" x14ac:dyDescent="0.3">
      <c r="A438" s="278" t="s">
        <v>274</v>
      </c>
      <c r="B438" s="1061"/>
      <c r="C438" s="1061"/>
      <c r="D438" s="1061"/>
      <c r="E438" s="1061"/>
      <c r="F438" s="1061"/>
      <c r="G438" s="1061"/>
      <c r="H438" s="1061"/>
      <c r="I438" s="55"/>
      <c r="J438" s="55"/>
      <c r="K438" s="579"/>
      <c r="L438" s="270"/>
      <c r="M438" s="268"/>
    </row>
    <row r="439" spans="1:13" customFormat="1" ht="13" x14ac:dyDescent="0.3">
      <c r="A439" s="32"/>
      <c r="B439" s="9"/>
      <c r="C439" s="7"/>
      <c r="D439" s="76"/>
      <c r="E439" s="10"/>
      <c r="F439" s="7"/>
      <c r="G439" s="7"/>
    </row>
    <row r="440" spans="1:13" customFormat="1" ht="13" x14ac:dyDescent="0.3">
      <c r="A440" s="32"/>
      <c r="B440" s="9"/>
      <c r="C440" s="7"/>
      <c r="D440" s="76"/>
      <c r="E440" s="10"/>
      <c r="F440" s="7"/>
      <c r="G440" s="7"/>
    </row>
  </sheetData>
  <mergeCells count="157">
    <mergeCell ref="B419:H419"/>
    <mergeCell ref="B393:F393"/>
    <mergeCell ref="B395:H395"/>
    <mergeCell ref="B401:F401"/>
    <mergeCell ref="B403:H403"/>
    <mergeCell ref="B397:H397"/>
    <mergeCell ref="B435:D435"/>
    <mergeCell ref="B436:F436"/>
    <mergeCell ref="B438:H438"/>
    <mergeCell ref="B432:H432"/>
    <mergeCell ref="B421:H421"/>
    <mergeCell ref="B430:H430"/>
    <mergeCell ref="B405:H405"/>
    <mergeCell ref="B424:D424"/>
    <mergeCell ref="B425:D425"/>
    <mergeCell ref="B426:D426"/>
    <mergeCell ref="B428:F428"/>
    <mergeCell ref="B409:F409"/>
    <mergeCell ref="B411:H411"/>
    <mergeCell ref="B413:H413"/>
    <mergeCell ref="B417:F417"/>
    <mergeCell ref="B389:H389"/>
    <mergeCell ref="B385:F385"/>
    <mergeCell ref="B387:H387"/>
    <mergeCell ref="B381:H381"/>
    <mergeCell ref="B368:E368"/>
    <mergeCell ref="B371:H371"/>
    <mergeCell ref="B375:I375"/>
    <mergeCell ref="B377:F377"/>
    <mergeCell ref="B379:H379"/>
    <mergeCell ref="B373:H373"/>
    <mergeCell ref="B366:H366"/>
    <mergeCell ref="B269:J269"/>
    <mergeCell ref="B279:N279"/>
    <mergeCell ref="B286:J286"/>
    <mergeCell ref="B304:N304"/>
    <mergeCell ref="B311:J311"/>
    <mergeCell ref="B326:N326"/>
    <mergeCell ref="B333:J333"/>
    <mergeCell ref="B349:N349"/>
    <mergeCell ref="B356:J356"/>
    <mergeCell ref="B262:N262"/>
    <mergeCell ref="B41:J41"/>
    <mergeCell ref="B59:N59"/>
    <mergeCell ref="B66:J66"/>
    <mergeCell ref="B81:N81"/>
    <mergeCell ref="B88:J88"/>
    <mergeCell ref="B105:N105"/>
    <mergeCell ref="B112:J112"/>
    <mergeCell ref="B123:N123"/>
    <mergeCell ref="B130:J130"/>
    <mergeCell ref="B194:N194"/>
    <mergeCell ref="B201:J201"/>
    <mergeCell ref="G145:K145"/>
    <mergeCell ref="G146:K146"/>
    <mergeCell ref="G147:K147"/>
    <mergeCell ref="G148:K148"/>
    <mergeCell ref="G149:K149"/>
    <mergeCell ref="G150:K150"/>
    <mergeCell ref="G151:K151"/>
    <mergeCell ref="G152:K152"/>
    <mergeCell ref="G153:K153"/>
    <mergeCell ref="G159:K159"/>
    <mergeCell ref="G160:K160"/>
    <mergeCell ref="G161:K161"/>
    <mergeCell ref="B1:N1"/>
    <mergeCell ref="B2:G2"/>
    <mergeCell ref="B34:N34"/>
    <mergeCell ref="B20:C20"/>
    <mergeCell ref="D20:E20"/>
    <mergeCell ref="F20:G20"/>
    <mergeCell ref="B21:N21"/>
    <mergeCell ref="B22:G22"/>
    <mergeCell ref="H18:P18"/>
    <mergeCell ref="B14:G14"/>
    <mergeCell ref="G162:K162"/>
    <mergeCell ref="G163:K163"/>
    <mergeCell ref="G154:K154"/>
    <mergeCell ref="G155:K155"/>
    <mergeCell ref="G156:K156"/>
    <mergeCell ref="G157:K157"/>
    <mergeCell ref="G158:K158"/>
    <mergeCell ref="G169:K169"/>
    <mergeCell ref="G170:K170"/>
    <mergeCell ref="G171:K171"/>
    <mergeCell ref="G172:K172"/>
    <mergeCell ref="G173:K173"/>
    <mergeCell ref="G164:K164"/>
    <mergeCell ref="G165:K165"/>
    <mergeCell ref="G166:K166"/>
    <mergeCell ref="G167:K167"/>
    <mergeCell ref="G168:K168"/>
    <mergeCell ref="G179:K179"/>
    <mergeCell ref="G180:K180"/>
    <mergeCell ref="G181:K181"/>
    <mergeCell ref="G182:K182"/>
    <mergeCell ref="G183:K183"/>
    <mergeCell ref="G174:K174"/>
    <mergeCell ref="G175:K175"/>
    <mergeCell ref="G176:K176"/>
    <mergeCell ref="G177:K177"/>
    <mergeCell ref="G178:K178"/>
    <mergeCell ref="G189:K189"/>
    <mergeCell ref="G190:K190"/>
    <mergeCell ref="G191:K191"/>
    <mergeCell ref="G213:K213"/>
    <mergeCell ref="G214:K214"/>
    <mergeCell ref="G184:K184"/>
    <mergeCell ref="G185:K185"/>
    <mergeCell ref="G186:K186"/>
    <mergeCell ref="G187:K187"/>
    <mergeCell ref="G188:K188"/>
    <mergeCell ref="G220:K220"/>
    <mergeCell ref="G221:K221"/>
    <mergeCell ref="G222:K222"/>
    <mergeCell ref="G223:K223"/>
    <mergeCell ref="G224:K224"/>
    <mergeCell ref="G215:K215"/>
    <mergeCell ref="G216:K216"/>
    <mergeCell ref="G217:K217"/>
    <mergeCell ref="G218:K218"/>
    <mergeCell ref="G219:K219"/>
    <mergeCell ref="G238:K238"/>
    <mergeCell ref="G239:K239"/>
    <mergeCell ref="G230:K230"/>
    <mergeCell ref="G231:K231"/>
    <mergeCell ref="G232:K232"/>
    <mergeCell ref="G233:K233"/>
    <mergeCell ref="G234:K234"/>
    <mergeCell ref="G225:K225"/>
    <mergeCell ref="G226:K226"/>
    <mergeCell ref="G227:K227"/>
    <mergeCell ref="G228:K228"/>
    <mergeCell ref="G229:K229"/>
    <mergeCell ref="G235:K235"/>
    <mergeCell ref="G236:K236"/>
    <mergeCell ref="G237:K237"/>
    <mergeCell ref="G255:K255"/>
    <mergeCell ref="G256:K256"/>
    <mergeCell ref="G257:K257"/>
    <mergeCell ref="G258:K258"/>
    <mergeCell ref="G259:K259"/>
    <mergeCell ref="G250:K250"/>
    <mergeCell ref="G251:K251"/>
    <mergeCell ref="G252:K252"/>
    <mergeCell ref="G253:K253"/>
    <mergeCell ref="G254:K254"/>
    <mergeCell ref="G245:K245"/>
    <mergeCell ref="G246:K246"/>
    <mergeCell ref="G247:K247"/>
    <mergeCell ref="G248:K248"/>
    <mergeCell ref="G249:K249"/>
    <mergeCell ref="G240:K240"/>
    <mergeCell ref="G241:K241"/>
    <mergeCell ref="G242:K242"/>
    <mergeCell ref="G243:K243"/>
    <mergeCell ref="G244:K244"/>
  </mergeCells>
  <dataValidations disablePrompts="1" count="1">
    <dataValidation type="list" allowBlank="1" showInputMessage="1" showErrorMessage="1" sqref="B40 B65 B87 B111 B129 B200 B355 B268 B285 B310 B332 B367 B374 B382 B390 B398 B406 B414 B422 B433" xr:uid="{CD34E2A8-1E9A-45B3-8A8E-2304754C0956}">
      <formula1>"Policy, Vehicle"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1E50D-7133-45B3-BECD-0F2E0F6EE6DB}">
  <sheetPr>
    <tabColor rgb="FFFFFF00"/>
  </sheetPr>
  <dimension ref="A1:O283"/>
  <sheetViews>
    <sheetView topLeftCell="J1" zoomScaleNormal="100" workbookViewId="0">
      <pane ySplit="1" topLeftCell="A19" activePane="bottomLeft" state="frozen"/>
      <selection activeCell="P38" sqref="P38"/>
      <selection pane="bottomLeft" activeCell="O37" sqref="O37"/>
    </sheetView>
  </sheetViews>
  <sheetFormatPr defaultColWidth="9.1796875" defaultRowHeight="10.5" x14ac:dyDescent="0.25"/>
  <cols>
    <col min="1" max="1" width="15.26953125" style="570" bestFit="1" customWidth="1"/>
    <col min="2" max="2" width="10.7265625" style="571" bestFit="1" customWidth="1"/>
    <col min="3" max="3" width="3.54296875" style="572" customWidth="1"/>
    <col min="4" max="4" width="5.1796875" style="570" customWidth="1"/>
    <col min="5" max="5" width="5.54296875" style="570" customWidth="1"/>
    <col min="6" max="6" width="6"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s="399" customFormat="1"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s="399" customFormat="1"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s="399" customFormat="1"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s="399" customFormat="1"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s="399" customFormat="1"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s="399" customFormat="1"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s="399" customFormat="1"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s="399" customFormat="1"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s="399" customFormat="1"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s="399" customFormat="1"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s="399" customFormat="1"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s="399" customFormat="1"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s="399" customFormat="1"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s="399" customFormat="1"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s="399" customFormat="1"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s="399" customFormat="1"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x14ac:dyDescent="0.25">
      <c r="A25" s="601" t="s">
        <v>327</v>
      </c>
      <c r="B25" s="602">
        <v>0.69230000000000003</v>
      </c>
      <c r="C25" s="601"/>
      <c r="D25" s="601" t="s">
        <v>319</v>
      </c>
      <c r="E25" s="601" t="s">
        <v>319</v>
      </c>
      <c r="F25" s="601" t="s">
        <v>319</v>
      </c>
      <c r="G25" s="601" t="s">
        <v>327</v>
      </c>
      <c r="H25" s="601" t="s">
        <v>322</v>
      </c>
      <c r="I25" s="601" t="s">
        <v>328</v>
      </c>
      <c r="J25" s="575"/>
      <c r="K25" s="575"/>
      <c r="L25" s="575"/>
      <c r="M25" s="575"/>
      <c r="N25" s="575"/>
      <c r="O25" s="575"/>
    </row>
    <row r="26" spans="1:15" x14ac:dyDescent="0.25">
      <c r="A26" s="601" t="s">
        <v>327</v>
      </c>
      <c r="B26" s="602">
        <v>0.73089999999999999</v>
      </c>
      <c r="C26" s="601"/>
      <c r="D26" s="601" t="s">
        <v>319</v>
      </c>
      <c r="E26" s="601" t="s">
        <v>319</v>
      </c>
      <c r="F26" s="601" t="s">
        <v>319</v>
      </c>
      <c r="G26" s="601" t="s">
        <v>327</v>
      </c>
      <c r="H26" s="601" t="s">
        <v>322</v>
      </c>
      <c r="I26" s="601" t="s">
        <v>329</v>
      </c>
      <c r="J26" s="575"/>
      <c r="K26" s="575"/>
      <c r="L26" s="575"/>
      <c r="M26" s="575"/>
      <c r="N26" s="575"/>
      <c r="O26" s="575"/>
    </row>
    <row r="27" spans="1:15" x14ac:dyDescent="0.25">
      <c r="A27" s="601" t="s">
        <v>327</v>
      </c>
      <c r="B27" s="602">
        <v>0.88480000000000003</v>
      </c>
      <c r="C27" s="601"/>
      <c r="D27" s="601" t="s">
        <v>319</v>
      </c>
      <c r="E27" s="601" t="s">
        <v>319</v>
      </c>
      <c r="F27" s="601" t="s">
        <v>319</v>
      </c>
      <c r="G27" s="601" t="s">
        <v>327</v>
      </c>
      <c r="H27" s="601" t="s">
        <v>322</v>
      </c>
      <c r="I27" s="601" t="s">
        <v>330</v>
      </c>
      <c r="J27" s="575"/>
      <c r="K27" s="575"/>
      <c r="L27" s="575"/>
      <c r="M27" s="575"/>
      <c r="N27" s="575"/>
      <c r="O27" s="575"/>
    </row>
    <row r="28" spans="1:15" x14ac:dyDescent="0.25">
      <c r="A28" s="601" t="s">
        <v>327</v>
      </c>
      <c r="B28" s="602">
        <v>1</v>
      </c>
      <c r="C28" s="601"/>
      <c r="D28" s="601" t="s">
        <v>319</v>
      </c>
      <c r="E28" s="601" t="s">
        <v>319</v>
      </c>
      <c r="F28" s="601" t="s">
        <v>319</v>
      </c>
      <c r="G28" s="601" t="s">
        <v>327</v>
      </c>
      <c r="H28" s="601" t="s">
        <v>322</v>
      </c>
      <c r="I28" s="601" t="s">
        <v>331</v>
      </c>
      <c r="J28" s="575"/>
      <c r="K28" s="575"/>
      <c r="L28" s="575"/>
      <c r="M28" s="575"/>
      <c r="N28" s="575"/>
      <c r="O28" s="575"/>
    </row>
    <row r="29" spans="1:15" x14ac:dyDescent="0.25">
      <c r="A29" s="601" t="s">
        <v>327</v>
      </c>
      <c r="B29" s="602">
        <v>1.4650000000000001</v>
      </c>
      <c r="C29" s="601"/>
      <c r="D29" s="601" t="s">
        <v>319</v>
      </c>
      <c r="E29" s="601" t="s">
        <v>319</v>
      </c>
      <c r="F29" s="601" t="s">
        <v>319</v>
      </c>
      <c r="G29" s="601" t="s">
        <v>327</v>
      </c>
      <c r="H29" s="601" t="s">
        <v>322</v>
      </c>
      <c r="I29" s="601" t="s">
        <v>332</v>
      </c>
      <c r="J29" s="575"/>
      <c r="K29" s="575"/>
      <c r="L29" s="575"/>
      <c r="M29" s="575"/>
      <c r="N29" s="575"/>
      <c r="O29" s="575"/>
    </row>
    <row r="30" spans="1:15" x14ac:dyDescent="0.25">
      <c r="A30" s="601" t="s">
        <v>327</v>
      </c>
      <c r="B30" s="602">
        <v>1.5249999999999999</v>
      </c>
      <c r="C30" s="601"/>
      <c r="D30" s="601" t="s">
        <v>319</v>
      </c>
      <c r="E30" s="601" t="s">
        <v>319</v>
      </c>
      <c r="F30" s="601" t="s">
        <v>319</v>
      </c>
      <c r="G30" s="601" t="s">
        <v>327</v>
      </c>
      <c r="H30" s="601" t="s">
        <v>322</v>
      </c>
      <c r="I30" s="601" t="s">
        <v>333</v>
      </c>
      <c r="J30" s="575"/>
      <c r="K30" s="575"/>
      <c r="L30" s="575"/>
      <c r="M30" s="575"/>
      <c r="N30" s="575"/>
      <c r="O30" s="575"/>
    </row>
    <row r="31" spans="1:15" x14ac:dyDescent="0.25">
      <c r="A31" s="601" t="s">
        <v>327</v>
      </c>
      <c r="B31" s="602">
        <v>1.925</v>
      </c>
      <c r="C31" s="601"/>
      <c r="D31" s="601" t="s">
        <v>319</v>
      </c>
      <c r="E31" s="601" t="s">
        <v>319</v>
      </c>
      <c r="F31" s="601" t="s">
        <v>319</v>
      </c>
      <c r="G31" s="601" t="s">
        <v>327</v>
      </c>
      <c r="H31" s="601" t="s">
        <v>322</v>
      </c>
      <c r="I31" s="601" t="s">
        <v>334</v>
      </c>
      <c r="J31" s="575"/>
      <c r="K31" s="575"/>
      <c r="L31" s="575"/>
      <c r="M31" s="575"/>
      <c r="N31" s="575"/>
      <c r="O31" s="575"/>
    </row>
    <row r="32" spans="1:15" x14ac:dyDescent="0.25">
      <c r="A32" s="601" t="s">
        <v>327</v>
      </c>
      <c r="B32" s="602">
        <v>3.0768</v>
      </c>
      <c r="C32" s="601"/>
      <c r="D32" s="601" t="s">
        <v>319</v>
      </c>
      <c r="E32" s="601" t="s">
        <v>319</v>
      </c>
      <c r="F32" s="601" t="s">
        <v>319</v>
      </c>
      <c r="G32" s="601" t="s">
        <v>327</v>
      </c>
      <c r="H32" s="601" t="s">
        <v>322</v>
      </c>
      <c r="I32" s="601" t="s">
        <v>335</v>
      </c>
      <c r="J32" s="575"/>
      <c r="K32" s="575"/>
      <c r="L32" s="575"/>
      <c r="M32" s="575"/>
      <c r="N32" s="575"/>
      <c r="O32" s="575"/>
    </row>
    <row r="33" spans="1:15" x14ac:dyDescent="0.25">
      <c r="A33" s="630" t="s">
        <v>336</v>
      </c>
      <c r="B33" s="629">
        <v>1.02</v>
      </c>
      <c r="C33" s="630"/>
      <c r="D33" s="630" t="s">
        <v>319</v>
      </c>
      <c r="E33" s="630" t="s">
        <v>319</v>
      </c>
      <c r="F33" s="630" t="s">
        <v>319</v>
      </c>
      <c r="G33" s="630" t="s">
        <v>324</v>
      </c>
      <c r="H33" s="601" t="s">
        <v>325</v>
      </c>
      <c r="I33" s="601" t="s">
        <v>337</v>
      </c>
      <c r="J33" s="630" t="s">
        <v>338</v>
      </c>
      <c r="K33" s="630" t="s">
        <v>339</v>
      </c>
      <c r="L33" s="630" t="s">
        <v>320</v>
      </c>
      <c r="M33" s="630" t="s">
        <v>321</v>
      </c>
      <c r="N33" s="630" t="s">
        <v>340</v>
      </c>
      <c r="O33" s="630" t="s">
        <v>341</v>
      </c>
    </row>
    <row r="34" spans="1:15" x14ac:dyDescent="0.25">
      <c r="A34" s="630" t="s">
        <v>336</v>
      </c>
      <c r="B34" s="629">
        <v>1.02</v>
      </c>
      <c r="C34" s="630"/>
      <c r="D34" s="630" t="s">
        <v>319</v>
      </c>
      <c r="E34" s="630" t="s">
        <v>319</v>
      </c>
      <c r="F34" s="630" t="s">
        <v>319</v>
      </c>
      <c r="G34" s="630" t="s">
        <v>324</v>
      </c>
      <c r="H34" s="601" t="s">
        <v>325</v>
      </c>
      <c r="I34" s="601" t="s">
        <v>342</v>
      </c>
      <c r="J34" s="630" t="s">
        <v>338</v>
      </c>
      <c r="K34" s="630" t="s">
        <v>339</v>
      </c>
      <c r="L34" s="630" t="s">
        <v>320</v>
      </c>
      <c r="M34" s="630" t="s">
        <v>321</v>
      </c>
      <c r="N34" s="630" t="s">
        <v>340</v>
      </c>
      <c r="O34" s="630" t="s">
        <v>341</v>
      </c>
    </row>
    <row r="35" spans="1:15" x14ac:dyDescent="0.25">
      <c r="A35" s="630" t="s">
        <v>336</v>
      </c>
      <c r="B35" s="629">
        <v>1.02</v>
      </c>
      <c r="C35" s="630"/>
      <c r="D35" s="630" t="s">
        <v>319</v>
      </c>
      <c r="E35" s="630" t="s">
        <v>319</v>
      </c>
      <c r="F35" s="630" t="s">
        <v>319</v>
      </c>
      <c r="G35" s="630" t="s">
        <v>324</v>
      </c>
      <c r="H35" s="601" t="s">
        <v>325</v>
      </c>
      <c r="I35" s="601" t="s">
        <v>343</v>
      </c>
      <c r="J35" s="630" t="s">
        <v>338</v>
      </c>
      <c r="K35" s="630" t="s">
        <v>339</v>
      </c>
      <c r="L35" s="630" t="s">
        <v>320</v>
      </c>
      <c r="M35" s="630" t="s">
        <v>321</v>
      </c>
      <c r="N35" s="630" t="s">
        <v>340</v>
      </c>
      <c r="O35" s="630" t="s">
        <v>341</v>
      </c>
    </row>
    <row r="36" spans="1:15" x14ac:dyDescent="0.25">
      <c r="A36" s="630" t="s">
        <v>336</v>
      </c>
      <c r="B36" s="629">
        <v>1.02</v>
      </c>
      <c r="C36" s="630"/>
      <c r="D36" s="630" t="s">
        <v>319</v>
      </c>
      <c r="E36" s="630" t="s">
        <v>319</v>
      </c>
      <c r="F36" s="630" t="s">
        <v>319</v>
      </c>
      <c r="G36" s="630" t="s">
        <v>324</v>
      </c>
      <c r="H36" s="601" t="s">
        <v>325</v>
      </c>
      <c r="I36" s="601" t="s">
        <v>344</v>
      </c>
      <c r="J36" s="630" t="s">
        <v>338</v>
      </c>
      <c r="K36" s="630" t="s">
        <v>339</v>
      </c>
      <c r="L36" s="630" t="s">
        <v>320</v>
      </c>
      <c r="M36" s="630" t="s">
        <v>321</v>
      </c>
      <c r="N36" s="630" t="s">
        <v>340</v>
      </c>
      <c r="O36" s="630" t="s">
        <v>341</v>
      </c>
    </row>
    <row r="37" spans="1:15" x14ac:dyDescent="0.25">
      <c r="A37" s="630" t="s">
        <v>336</v>
      </c>
      <c r="B37" s="629">
        <v>1.02</v>
      </c>
      <c r="C37" s="630"/>
      <c r="D37" s="630" t="s">
        <v>319</v>
      </c>
      <c r="E37" s="630" t="s">
        <v>319</v>
      </c>
      <c r="F37" s="630" t="s">
        <v>319</v>
      </c>
      <c r="G37" s="630" t="s">
        <v>324</v>
      </c>
      <c r="H37" s="601" t="s">
        <v>325</v>
      </c>
      <c r="I37" s="601" t="s">
        <v>345</v>
      </c>
      <c r="J37" s="630" t="s">
        <v>338</v>
      </c>
      <c r="K37" s="630" t="s">
        <v>339</v>
      </c>
      <c r="L37" s="630" t="s">
        <v>320</v>
      </c>
      <c r="M37" s="630" t="s">
        <v>321</v>
      </c>
      <c r="N37" s="630" t="s">
        <v>340</v>
      </c>
      <c r="O37" s="630" t="s">
        <v>341</v>
      </c>
    </row>
    <row r="38" spans="1:15" x14ac:dyDescent="0.25">
      <c r="A38" s="630" t="s">
        <v>336</v>
      </c>
      <c r="B38" s="629">
        <v>1.08</v>
      </c>
      <c r="C38" s="630"/>
      <c r="D38" s="630" t="s">
        <v>319</v>
      </c>
      <c r="E38" s="630" t="s">
        <v>319</v>
      </c>
      <c r="F38" s="630" t="s">
        <v>319</v>
      </c>
      <c r="G38" s="630" t="s">
        <v>324</v>
      </c>
      <c r="H38" s="601" t="s">
        <v>325</v>
      </c>
      <c r="I38" s="601" t="s">
        <v>346</v>
      </c>
      <c r="J38" s="630" t="s">
        <v>338</v>
      </c>
      <c r="K38" s="630" t="s">
        <v>339</v>
      </c>
      <c r="L38" s="630" t="s">
        <v>320</v>
      </c>
      <c r="M38" s="630" t="s">
        <v>321</v>
      </c>
      <c r="N38" s="630" t="s">
        <v>340</v>
      </c>
      <c r="O38" s="630" t="s">
        <v>341</v>
      </c>
    </row>
    <row r="39" spans="1:15" x14ac:dyDescent="0.25">
      <c r="A39" s="630" t="s">
        <v>336</v>
      </c>
      <c r="B39" s="629">
        <v>1.08</v>
      </c>
      <c r="C39" s="630"/>
      <c r="D39" s="630" t="s">
        <v>319</v>
      </c>
      <c r="E39" s="630" t="s">
        <v>319</v>
      </c>
      <c r="F39" s="630" t="s">
        <v>319</v>
      </c>
      <c r="G39" s="630" t="s">
        <v>324</v>
      </c>
      <c r="H39" s="601" t="s">
        <v>325</v>
      </c>
      <c r="I39" s="601" t="s">
        <v>347</v>
      </c>
      <c r="J39" s="630" t="s">
        <v>338</v>
      </c>
      <c r="K39" s="630" t="s">
        <v>339</v>
      </c>
      <c r="L39" s="630" t="s">
        <v>320</v>
      </c>
      <c r="M39" s="630" t="s">
        <v>321</v>
      </c>
      <c r="N39" s="630" t="s">
        <v>340</v>
      </c>
      <c r="O39" s="630" t="s">
        <v>341</v>
      </c>
    </row>
    <row r="40" spans="1:15" x14ac:dyDescent="0.25">
      <c r="A40" s="630" t="s">
        <v>336</v>
      </c>
      <c r="B40" s="629">
        <v>1.08</v>
      </c>
      <c r="C40" s="630"/>
      <c r="D40" s="630" t="s">
        <v>319</v>
      </c>
      <c r="E40" s="630" t="s">
        <v>319</v>
      </c>
      <c r="F40" s="630" t="s">
        <v>319</v>
      </c>
      <c r="G40" s="630" t="s">
        <v>324</v>
      </c>
      <c r="H40" s="601" t="s">
        <v>325</v>
      </c>
      <c r="I40" s="601" t="s">
        <v>348</v>
      </c>
      <c r="J40" s="630" t="s">
        <v>338</v>
      </c>
      <c r="K40" s="630" t="s">
        <v>339</v>
      </c>
      <c r="L40" s="630" t="s">
        <v>320</v>
      </c>
      <c r="M40" s="630" t="s">
        <v>321</v>
      </c>
      <c r="N40" s="630" t="s">
        <v>340</v>
      </c>
      <c r="O40" s="630" t="s">
        <v>341</v>
      </c>
    </row>
    <row r="41" spans="1:15" x14ac:dyDescent="0.25">
      <c r="A41" s="630" t="s">
        <v>336</v>
      </c>
      <c r="B41" s="629">
        <v>1.08</v>
      </c>
      <c r="C41" s="630"/>
      <c r="D41" s="630" t="s">
        <v>319</v>
      </c>
      <c r="E41" s="630" t="s">
        <v>319</v>
      </c>
      <c r="F41" s="630" t="s">
        <v>319</v>
      </c>
      <c r="G41" s="630" t="s">
        <v>324</v>
      </c>
      <c r="H41" s="601" t="s">
        <v>325</v>
      </c>
      <c r="I41" s="601" t="s">
        <v>349</v>
      </c>
      <c r="J41" s="630" t="s">
        <v>338</v>
      </c>
      <c r="K41" s="630" t="s">
        <v>339</v>
      </c>
      <c r="L41" s="630" t="s">
        <v>320</v>
      </c>
      <c r="M41" s="630" t="s">
        <v>321</v>
      </c>
      <c r="N41" s="630" t="s">
        <v>340</v>
      </c>
      <c r="O41" s="630" t="s">
        <v>341</v>
      </c>
    </row>
    <row r="42" spans="1:15" x14ac:dyDescent="0.25">
      <c r="A42" s="630" t="s">
        <v>336</v>
      </c>
      <c r="B42" s="629">
        <v>1.08</v>
      </c>
      <c r="C42" s="630"/>
      <c r="D42" s="630" t="s">
        <v>319</v>
      </c>
      <c r="E42" s="630" t="s">
        <v>319</v>
      </c>
      <c r="F42" s="630" t="s">
        <v>319</v>
      </c>
      <c r="G42" s="630" t="s">
        <v>324</v>
      </c>
      <c r="H42" s="601" t="s">
        <v>325</v>
      </c>
      <c r="I42" s="601" t="s">
        <v>350</v>
      </c>
      <c r="J42" s="630" t="s">
        <v>338</v>
      </c>
      <c r="K42" s="630" t="s">
        <v>339</v>
      </c>
      <c r="L42" s="630" t="s">
        <v>320</v>
      </c>
      <c r="M42" s="630" t="s">
        <v>321</v>
      </c>
      <c r="N42" s="630" t="s">
        <v>340</v>
      </c>
      <c r="O42" s="630" t="s">
        <v>341</v>
      </c>
    </row>
    <row r="43" spans="1:15" x14ac:dyDescent="0.25">
      <c r="A43" s="630" t="s">
        <v>336</v>
      </c>
      <c r="B43" s="629">
        <v>1.08</v>
      </c>
      <c r="C43" s="630"/>
      <c r="D43" s="630" t="s">
        <v>319</v>
      </c>
      <c r="E43" s="630" t="s">
        <v>319</v>
      </c>
      <c r="F43" s="630" t="s">
        <v>319</v>
      </c>
      <c r="G43" s="630" t="s">
        <v>324</v>
      </c>
      <c r="H43" s="601" t="s">
        <v>325</v>
      </c>
      <c r="I43" s="601" t="s">
        <v>351</v>
      </c>
      <c r="J43" s="630" t="s">
        <v>338</v>
      </c>
      <c r="K43" s="630" t="s">
        <v>339</v>
      </c>
      <c r="L43" s="630" t="s">
        <v>320</v>
      </c>
      <c r="M43" s="630" t="s">
        <v>321</v>
      </c>
      <c r="N43" s="630" t="s">
        <v>340</v>
      </c>
      <c r="O43" s="630" t="s">
        <v>341</v>
      </c>
    </row>
    <row r="44" spans="1:15" x14ac:dyDescent="0.25">
      <c r="A44" s="630" t="s">
        <v>336</v>
      </c>
      <c r="B44" s="629">
        <v>1.08</v>
      </c>
      <c r="C44" s="630"/>
      <c r="D44" s="630" t="s">
        <v>319</v>
      </c>
      <c r="E44" s="630" t="s">
        <v>319</v>
      </c>
      <c r="F44" s="630" t="s">
        <v>319</v>
      </c>
      <c r="G44" s="630" t="s">
        <v>324</v>
      </c>
      <c r="H44" s="601" t="s">
        <v>325</v>
      </c>
      <c r="I44" s="601" t="s">
        <v>352</v>
      </c>
      <c r="J44" s="630" t="s">
        <v>338</v>
      </c>
      <c r="K44" s="630" t="s">
        <v>339</v>
      </c>
      <c r="L44" s="630" t="s">
        <v>320</v>
      </c>
      <c r="M44" s="630" t="s">
        <v>321</v>
      </c>
      <c r="N44" s="630" t="s">
        <v>340</v>
      </c>
      <c r="O44" s="630" t="s">
        <v>341</v>
      </c>
    </row>
    <row r="45" spans="1:15" x14ac:dyDescent="0.25">
      <c r="A45" s="630" t="s">
        <v>336</v>
      </c>
      <c r="B45" s="629">
        <v>1.08</v>
      </c>
      <c r="C45" s="630"/>
      <c r="D45" s="630" t="s">
        <v>319</v>
      </c>
      <c r="E45" s="630" t="s">
        <v>319</v>
      </c>
      <c r="F45" s="630" t="s">
        <v>319</v>
      </c>
      <c r="G45" s="630" t="s">
        <v>324</v>
      </c>
      <c r="H45" s="601" t="s">
        <v>325</v>
      </c>
      <c r="I45" s="601" t="s">
        <v>353</v>
      </c>
      <c r="J45" s="630" t="s">
        <v>338</v>
      </c>
      <c r="K45" s="630" t="s">
        <v>339</v>
      </c>
      <c r="L45" s="630" t="s">
        <v>320</v>
      </c>
      <c r="M45" s="630" t="s">
        <v>321</v>
      </c>
      <c r="N45" s="630" t="s">
        <v>340</v>
      </c>
      <c r="O45" s="630" t="s">
        <v>341</v>
      </c>
    </row>
    <row r="46" spans="1:15" x14ac:dyDescent="0.25">
      <c r="A46" s="630" t="s">
        <v>336</v>
      </c>
      <c r="B46" s="629">
        <v>1.08</v>
      </c>
      <c r="C46" s="630"/>
      <c r="D46" s="630" t="s">
        <v>319</v>
      </c>
      <c r="E46" s="630" t="s">
        <v>319</v>
      </c>
      <c r="F46" s="630" t="s">
        <v>319</v>
      </c>
      <c r="G46" s="630" t="s">
        <v>324</v>
      </c>
      <c r="H46" s="601" t="s">
        <v>325</v>
      </c>
      <c r="I46" s="601" t="s">
        <v>354</v>
      </c>
      <c r="J46" s="630" t="s">
        <v>338</v>
      </c>
      <c r="K46" s="630" t="s">
        <v>339</v>
      </c>
      <c r="L46" s="630" t="s">
        <v>320</v>
      </c>
      <c r="M46" s="630" t="s">
        <v>321</v>
      </c>
      <c r="N46" s="630" t="s">
        <v>340</v>
      </c>
      <c r="O46" s="630" t="s">
        <v>341</v>
      </c>
    </row>
    <row r="47" spans="1:15" x14ac:dyDescent="0.25">
      <c r="A47" s="630" t="s">
        <v>336</v>
      </c>
      <c r="B47" s="629">
        <v>1.08</v>
      </c>
      <c r="C47" s="630"/>
      <c r="D47" s="630" t="s">
        <v>319</v>
      </c>
      <c r="E47" s="630" t="s">
        <v>319</v>
      </c>
      <c r="F47" s="630" t="s">
        <v>319</v>
      </c>
      <c r="G47" s="630" t="s">
        <v>324</v>
      </c>
      <c r="H47" s="601" t="s">
        <v>325</v>
      </c>
      <c r="I47" s="601" t="s">
        <v>355</v>
      </c>
      <c r="J47" s="630" t="s">
        <v>338</v>
      </c>
      <c r="K47" s="630" t="s">
        <v>339</v>
      </c>
      <c r="L47" s="630" t="s">
        <v>320</v>
      </c>
      <c r="M47" s="630" t="s">
        <v>321</v>
      </c>
      <c r="N47" s="630" t="s">
        <v>340</v>
      </c>
      <c r="O47" s="630" t="s">
        <v>341</v>
      </c>
    </row>
    <row r="48" spans="1:15" x14ac:dyDescent="0.25">
      <c r="A48" s="630" t="s">
        <v>336</v>
      </c>
      <c r="B48" s="629">
        <v>1.2</v>
      </c>
      <c r="C48" s="630"/>
      <c r="D48" s="630" t="s">
        <v>319</v>
      </c>
      <c r="E48" s="630" t="s">
        <v>319</v>
      </c>
      <c r="F48" s="630" t="s">
        <v>319</v>
      </c>
      <c r="G48" s="630" t="s">
        <v>324</v>
      </c>
      <c r="H48" s="601" t="s">
        <v>325</v>
      </c>
      <c r="I48" s="601" t="s">
        <v>356</v>
      </c>
      <c r="J48" s="630" t="s">
        <v>338</v>
      </c>
      <c r="K48" s="630" t="s">
        <v>339</v>
      </c>
      <c r="L48" s="630" t="s">
        <v>320</v>
      </c>
      <c r="M48" s="630" t="s">
        <v>321</v>
      </c>
      <c r="N48" s="630" t="s">
        <v>340</v>
      </c>
      <c r="O48" s="630" t="s">
        <v>341</v>
      </c>
    </row>
    <row r="49" spans="1:15" x14ac:dyDescent="0.25">
      <c r="A49" s="630" t="s">
        <v>336</v>
      </c>
      <c r="B49" s="629">
        <v>1.2</v>
      </c>
      <c r="C49" s="630"/>
      <c r="D49" s="630" t="s">
        <v>319</v>
      </c>
      <c r="E49" s="630" t="s">
        <v>319</v>
      </c>
      <c r="F49" s="630" t="s">
        <v>319</v>
      </c>
      <c r="G49" s="630" t="s">
        <v>324</v>
      </c>
      <c r="H49" s="601" t="s">
        <v>325</v>
      </c>
      <c r="I49" s="601" t="s">
        <v>357</v>
      </c>
      <c r="J49" s="630" t="s">
        <v>338</v>
      </c>
      <c r="K49" s="630" t="s">
        <v>339</v>
      </c>
      <c r="L49" s="630" t="s">
        <v>320</v>
      </c>
      <c r="M49" s="630" t="s">
        <v>321</v>
      </c>
      <c r="N49" s="630" t="s">
        <v>340</v>
      </c>
      <c r="O49" s="630" t="s">
        <v>341</v>
      </c>
    </row>
    <row r="50" spans="1:15" x14ac:dyDescent="0.25">
      <c r="A50" s="630" t="s">
        <v>336</v>
      </c>
      <c r="B50" s="629">
        <v>1.2</v>
      </c>
      <c r="C50" s="630"/>
      <c r="D50" s="630" t="s">
        <v>319</v>
      </c>
      <c r="E50" s="630" t="s">
        <v>319</v>
      </c>
      <c r="F50" s="630" t="s">
        <v>319</v>
      </c>
      <c r="G50" s="630" t="s">
        <v>324</v>
      </c>
      <c r="H50" s="601" t="s">
        <v>325</v>
      </c>
      <c r="I50" s="601" t="s">
        <v>358</v>
      </c>
      <c r="J50" s="630" t="s">
        <v>338</v>
      </c>
      <c r="K50" s="630" t="s">
        <v>339</v>
      </c>
      <c r="L50" s="630" t="s">
        <v>320</v>
      </c>
      <c r="M50" s="630" t="s">
        <v>321</v>
      </c>
      <c r="N50" s="630" t="s">
        <v>340</v>
      </c>
      <c r="O50" s="630" t="s">
        <v>341</v>
      </c>
    </row>
    <row r="51" spans="1:15" x14ac:dyDescent="0.25">
      <c r="A51" s="630" t="s">
        <v>336</v>
      </c>
      <c r="B51" s="629">
        <v>1.2</v>
      </c>
      <c r="C51" s="630"/>
      <c r="D51" s="630" t="s">
        <v>319</v>
      </c>
      <c r="E51" s="630" t="s">
        <v>319</v>
      </c>
      <c r="F51" s="630" t="s">
        <v>319</v>
      </c>
      <c r="G51" s="630" t="s">
        <v>324</v>
      </c>
      <c r="H51" s="601" t="s">
        <v>325</v>
      </c>
      <c r="I51" s="601" t="s">
        <v>359</v>
      </c>
      <c r="J51" s="630" t="s">
        <v>338</v>
      </c>
      <c r="K51" s="630" t="s">
        <v>339</v>
      </c>
      <c r="L51" s="630" t="s">
        <v>320</v>
      </c>
      <c r="M51" s="630" t="s">
        <v>321</v>
      </c>
      <c r="N51" s="630" t="s">
        <v>340</v>
      </c>
      <c r="O51" s="630" t="s">
        <v>341</v>
      </c>
    </row>
    <row r="52" spans="1:15" x14ac:dyDescent="0.25">
      <c r="A52" s="630" t="s">
        <v>336</v>
      </c>
      <c r="B52" s="629">
        <v>1.2</v>
      </c>
      <c r="C52" s="630"/>
      <c r="D52" s="630" t="s">
        <v>319</v>
      </c>
      <c r="E52" s="630" t="s">
        <v>319</v>
      </c>
      <c r="F52" s="630" t="s">
        <v>319</v>
      </c>
      <c r="G52" s="630" t="s">
        <v>324</v>
      </c>
      <c r="H52" s="601" t="s">
        <v>325</v>
      </c>
      <c r="I52" s="601" t="s">
        <v>360</v>
      </c>
      <c r="J52" s="630" t="s">
        <v>338</v>
      </c>
      <c r="K52" s="630" t="s">
        <v>339</v>
      </c>
      <c r="L52" s="630" t="s">
        <v>320</v>
      </c>
      <c r="M52" s="630" t="s">
        <v>321</v>
      </c>
      <c r="N52" s="630" t="s">
        <v>340</v>
      </c>
      <c r="O52" s="630" t="s">
        <v>341</v>
      </c>
    </row>
    <row r="53" spans="1:15" x14ac:dyDescent="0.25">
      <c r="A53" s="630" t="s">
        <v>336</v>
      </c>
      <c r="B53" s="629">
        <v>1.2</v>
      </c>
      <c r="C53" s="630"/>
      <c r="D53" s="630" t="s">
        <v>319</v>
      </c>
      <c r="E53" s="630" t="s">
        <v>319</v>
      </c>
      <c r="F53" s="630" t="s">
        <v>319</v>
      </c>
      <c r="G53" s="630" t="s">
        <v>324</v>
      </c>
      <c r="H53" s="601" t="s">
        <v>325</v>
      </c>
      <c r="I53" s="601" t="s">
        <v>361</v>
      </c>
      <c r="J53" s="630" t="s">
        <v>338</v>
      </c>
      <c r="K53" s="630" t="s">
        <v>339</v>
      </c>
      <c r="L53" s="630" t="s">
        <v>320</v>
      </c>
      <c r="M53" s="630" t="s">
        <v>321</v>
      </c>
      <c r="N53" s="630" t="s">
        <v>340</v>
      </c>
      <c r="O53" s="630" t="s">
        <v>341</v>
      </c>
    </row>
    <row r="54" spans="1:15" x14ac:dyDescent="0.25">
      <c r="A54" s="630" t="s">
        <v>336</v>
      </c>
      <c r="B54" s="629">
        <v>1.2</v>
      </c>
      <c r="C54" s="630"/>
      <c r="D54" s="630" t="s">
        <v>319</v>
      </c>
      <c r="E54" s="630" t="s">
        <v>319</v>
      </c>
      <c r="F54" s="630" t="s">
        <v>319</v>
      </c>
      <c r="G54" s="630" t="s">
        <v>324</v>
      </c>
      <c r="H54" s="601" t="s">
        <v>325</v>
      </c>
      <c r="I54" s="601" t="s">
        <v>362</v>
      </c>
      <c r="J54" s="630" t="s">
        <v>338</v>
      </c>
      <c r="K54" s="630" t="s">
        <v>339</v>
      </c>
      <c r="L54" s="630" t="s">
        <v>320</v>
      </c>
      <c r="M54" s="630" t="s">
        <v>321</v>
      </c>
      <c r="N54" s="630" t="s">
        <v>340</v>
      </c>
      <c r="O54" s="630" t="s">
        <v>341</v>
      </c>
    </row>
    <row r="55" spans="1:15" x14ac:dyDescent="0.25">
      <c r="A55" s="630" t="s">
        <v>336</v>
      </c>
      <c r="B55" s="629">
        <v>1.2</v>
      </c>
      <c r="C55" s="630"/>
      <c r="D55" s="630" t="s">
        <v>319</v>
      </c>
      <c r="E55" s="630" t="s">
        <v>319</v>
      </c>
      <c r="F55" s="630" t="s">
        <v>319</v>
      </c>
      <c r="G55" s="630" t="s">
        <v>324</v>
      </c>
      <c r="H55" s="601" t="s">
        <v>325</v>
      </c>
      <c r="I55" s="601" t="s">
        <v>363</v>
      </c>
      <c r="J55" s="630" t="s">
        <v>338</v>
      </c>
      <c r="K55" s="630" t="s">
        <v>339</v>
      </c>
      <c r="L55" s="630" t="s">
        <v>320</v>
      </c>
      <c r="M55" s="630" t="s">
        <v>321</v>
      </c>
      <c r="N55" s="630" t="s">
        <v>340</v>
      </c>
      <c r="O55" s="630" t="s">
        <v>341</v>
      </c>
    </row>
    <row r="56" spans="1:15" x14ac:dyDescent="0.25">
      <c r="A56" s="630" t="s">
        <v>336</v>
      </c>
      <c r="B56" s="629">
        <v>1.2</v>
      </c>
      <c r="C56" s="630"/>
      <c r="D56" s="630" t="s">
        <v>319</v>
      </c>
      <c r="E56" s="630" t="s">
        <v>319</v>
      </c>
      <c r="F56" s="630" t="s">
        <v>319</v>
      </c>
      <c r="G56" s="630" t="s">
        <v>324</v>
      </c>
      <c r="H56" s="601" t="s">
        <v>325</v>
      </c>
      <c r="I56" s="601" t="s">
        <v>364</v>
      </c>
      <c r="J56" s="630" t="s">
        <v>338</v>
      </c>
      <c r="K56" s="630" t="s">
        <v>339</v>
      </c>
      <c r="L56" s="630" t="s">
        <v>320</v>
      </c>
      <c r="M56" s="630" t="s">
        <v>321</v>
      </c>
      <c r="N56" s="630" t="s">
        <v>340</v>
      </c>
      <c r="O56" s="630" t="s">
        <v>341</v>
      </c>
    </row>
    <row r="57" spans="1:15" x14ac:dyDescent="0.25">
      <c r="A57" s="630" t="s">
        <v>336</v>
      </c>
      <c r="B57" s="629">
        <v>1.2</v>
      </c>
      <c r="C57" s="630"/>
      <c r="D57" s="630" t="s">
        <v>319</v>
      </c>
      <c r="E57" s="630" t="s">
        <v>319</v>
      </c>
      <c r="F57" s="630" t="s">
        <v>319</v>
      </c>
      <c r="G57" s="630" t="s">
        <v>324</v>
      </c>
      <c r="H57" s="601" t="s">
        <v>325</v>
      </c>
      <c r="I57" s="601" t="s">
        <v>365</v>
      </c>
      <c r="J57" s="630" t="s">
        <v>338</v>
      </c>
      <c r="K57" s="630" t="s">
        <v>339</v>
      </c>
      <c r="L57" s="630" t="s">
        <v>320</v>
      </c>
      <c r="M57" s="630" t="s">
        <v>321</v>
      </c>
      <c r="N57" s="630" t="s">
        <v>340</v>
      </c>
      <c r="O57" s="630" t="s">
        <v>341</v>
      </c>
    </row>
    <row r="58" spans="1:15" x14ac:dyDescent="0.25">
      <c r="A58" s="630" t="s">
        <v>336</v>
      </c>
      <c r="B58" s="629">
        <v>1.38</v>
      </c>
      <c r="C58" s="630"/>
      <c r="D58" s="630" t="s">
        <v>319</v>
      </c>
      <c r="E58" s="630" t="s">
        <v>319</v>
      </c>
      <c r="F58" s="630" t="s">
        <v>319</v>
      </c>
      <c r="G58" s="630" t="s">
        <v>324</v>
      </c>
      <c r="H58" s="601" t="s">
        <v>325</v>
      </c>
      <c r="I58" s="601" t="s">
        <v>366</v>
      </c>
      <c r="J58" s="630" t="s">
        <v>338</v>
      </c>
      <c r="K58" s="630" t="s">
        <v>339</v>
      </c>
      <c r="L58" s="630" t="s">
        <v>320</v>
      </c>
      <c r="M58" s="630" t="s">
        <v>321</v>
      </c>
      <c r="N58" s="630" t="s">
        <v>340</v>
      </c>
      <c r="O58" s="630" t="s">
        <v>341</v>
      </c>
    </row>
    <row r="59" spans="1:15" x14ac:dyDescent="0.25">
      <c r="A59" s="630" t="s">
        <v>336</v>
      </c>
      <c r="B59" s="629">
        <v>1.38</v>
      </c>
      <c r="C59" s="630"/>
      <c r="D59" s="630" t="s">
        <v>319</v>
      </c>
      <c r="E59" s="630" t="s">
        <v>319</v>
      </c>
      <c r="F59" s="630" t="s">
        <v>319</v>
      </c>
      <c r="G59" s="630" t="s">
        <v>324</v>
      </c>
      <c r="H59" s="601" t="s">
        <v>325</v>
      </c>
      <c r="I59" s="601" t="s">
        <v>367</v>
      </c>
      <c r="J59" s="630" t="s">
        <v>338</v>
      </c>
      <c r="K59" s="630" t="s">
        <v>339</v>
      </c>
      <c r="L59" s="630" t="s">
        <v>320</v>
      </c>
      <c r="M59" s="630" t="s">
        <v>321</v>
      </c>
      <c r="N59" s="630" t="s">
        <v>340</v>
      </c>
      <c r="O59" s="630" t="s">
        <v>341</v>
      </c>
    </row>
    <row r="60" spans="1:15" x14ac:dyDescent="0.25">
      <c r="A60" s="630" t="s">
        <v>336</v>
      </c>
      <c r="B60" s="629">
        <v>1.38</v>
      </c>
      <c r="C60" s="630"/>
      <c r="D60" s="630" t="s">
        <v>319</v>
      </c>
      <c r="E60" s="630" t="s">
        <v>319</v>
      </c>
      <c r="F60" s="630" t="s">
        <v>319</v>
      </c>
      <c r="G60" s="630" t="s">
        <v>324</v>
      </c>
      <c r="H60" s="601" t="s">
        <v>325</v>
      </c>
      <c r="I60" s="601" t="s">
        <v>368</v>
      </c>
      <c r="J60" s="630" t="s">
        <v>338</v>
      </c>
      <c r="K60" s="630" t="s">
        <v>339</v>
      </c>
      <c r="L60" s="630" t="s">
        <v>320</v>
      </c>
      <c r="M60" s="630" t="s">
        <v>321</v>
      </c>
      <c r="N60" s="630" t="s">
        <v>340</v>
      </c>
      <c r="O60" s="630" t="s">
        <v>341</v>
      </c>
    </row>
    <row r="61" spans="1:15" x14ac:dyDescent="0.25">
      <c r="A61" s="630" t="s">
        <v>336</v>
      </c>
      <c r="B61" s="629">
        <v>1.38</v>
      </c>
      <c r="C61" s="630"/>
      <c r="D61" s="630" t="s">
        <v>319</v>
      </c>
      <c r="E61" s="630" t="s">
        <v>319</v>
      </c>
      <c r="F61" s="630" t="s">
        <v>319</v>
      </c>
      <c r="G61" s="630" t="s">
        <v>324</v>
      </c>
      <c r="H61" s="601" t="s">
        <v>325</v>
      </c>
      <c r="I61" s="601" t="s">
        <v>369</v>
      </c>
      <c r="J61" s="630" t="s">
        <v>338</v>
      </c>
      <c r="K61" s="630" t="s">
        <v>339</v>
      </c>
      <c r="L61" s="630" t="s">
        <v>320</v>
      </c>
      <c r="M61" s="630" t="s">
        <v>321</v>
      </c>
      <c r="N61" s="630" t="s">
        <v>340</v>
      </c>
      <c r="O61" s="630" t="s">
        <v>341</v>
      </c>
    </row>
    <row r="62" spans="1:15" x14ac:dyDescent="0.25">
      <c r="A62" s="630" t="s">
        <v>336</v>
      </c>
      <c r="B62" s="629">
        <v>1.38</v>
      </c>
      <c r="C62" s="630"/>
      <c r="D62" s="630" t="s">
        <v>319</v>
      </c>
      <c r="E62" s="630" t="s">
        <v>319</v>
      </c>
      <c r="F62" s="630" t="s">
        <v>319</v>
      </c>
      <c r="G62" s="630" t="s">
        <v>324</v>
      </c>
      <c r="H62" s="601" t="s">
        <v>325</v>
      </c>
      <c r="I62" s="601" t="s">
        <v>370</v>
      </c>
      <c r="J62" s="630" t="s">
        <v>338</v>
      </c>
      <c r="K62" s="630" t="s">
        <v>339</v>
      </c>
      <c r="L62" s="630" t="s">
        <v>320</v>
      </c>
      <c r="M62" s="630" t="s">
        <v>321</v>
      </c>
      <c r="N62" s="630" t="s">
        <v>340</v>
      </c>
      <c r="O62" s="630" t="s">
        <v>341</v>
      </c>
    </row>
    <row r="63" spans="1:15" x14ac:dyDescent="0.25">
      <c r="A63" s="630" t="s">
        <v>336</v>
      </c>
      <c r="B63" s="629">
        <v>1.38</v>
      </c>
      <c r="C63" s="630"/>
      <c r="D63" s="630" t="s">
        <v>319</v>
      </c>
      <c r="E63" s="630" t="s">
        <v>319</v>
      </c>
      <c r="F63" s="630" t="s">
        <v>319</v>
      </c>
      <c r="G63" s="630" t="s">
        <v>324</v>
      </c>
      <c r="H63" s="601" t="s">
        <v>325</v>
      </c>
      <c r="I63" s="601" t="s">
        <v>371</v>
      </c>
      <c r="J63" s="630" t="s">
        <v>338</v>
      </c>
      <c r="K63" s="630" t="s">
        <v>339</v>
      </c>
      <c r="L63" s="630" t="s">
        <v>320</v>
      </c>
      <c r="M63" s="630" t="s">
        <v>321</v>
      </c>
      <c r="N63" s="630" t="s">
        <v>340</v>
      </c>
      <c r="O63" s="630" t="s">
        <v>341</v>
      </c>
    </row>
    <row r="64" spans="1:15" x14ac:dyDescent="0.25">
      <c r="A64" s="630" t="s">
        <v>336</v>
      </c>
      <c r="B64" s="629">
        <v>1.38</v>
      </c>
      <c r="C64" s="630"/>
      <c r="D64" s="630" t="s">
        <v>319</v>
      </c>
      <c r="E64" s="630" t="s">
        <v>319</v>
      </c>
      <c r="F64" s="630" t="s">
        <v>319</v>
      </c>
      <c r="G64" s="630" t="s">
        <v>324</v>
      </c>
      <c r="H64" s="601" t="s">
        <v>325</v>
      </c>
      <c r="I64" s="601" t="s">
        <v>372</v>
      </c>
      <c r="J64" s="630" t="s">
        <v>338</v>
      </c>
      <c r="K64" s="630" t="s">
        <v>339</v>
      </c>
      <c r="L64" s="630" t="s">
        <v>320</v>
      </c>
      <c r="M64" s="630" t="s">
        <v>321</v>
      </c>
      <c r="N64" s="630" t="s">
        <v>340</v>
      </c>
      <c r="O64" s="630" t="s">
        <v>341</v>
      </c>
    </row>
    <row r="65" spans="1:15" x14ac:dyDescent="0.25">
      <c r="A65" s="630" t="s">
        <v>336</v>
      </c>
      <c r="B65" s="629">
        <v>1.38</v>
      </c>
      <c r="C65" s="630"/>
      <c r="D65" s="630" t="s">
        <v>319</v>
      </c>
      <c r="E65" s="630" t="s">
        <v>319</v>
      </c>
      <c r="F65" s="630" t="s">
        <v>319</v>
      </c>
      <c r="G65" s="630" t="s">
        <v>324</v>
      </c>
      <c r="H65" s="601" t="s">
        <v>325</v>
      </c>
      <c r="I65" s="601" t="s">
        <v>373</v>
      </c>
      <c r="J65" s="630" t="s">
        <v>338</v>
      </c>
      <c r="K65" s="630" t="s">
        <v>339</v>
      </c>
      <c r="L65" s="630" t="s">
        <v>320</v>
      </c>
      <c r="M65" s="630" t="s">
        <v>321</v>
      </c>
      <c r="N65" s="630" t="s">
        <v>340</v>
      </c>
      <c r="O65" s="630" t="s">
        <v>341</v>
      </c>
    </row>
    <row r="66" spans="1:15" x14ac:dyDescent="0.25">
      <c r="A66" s="630" t="s">
        <v>336</v>
      </c>
      <c r="B66" s="629">
        <v>1.38</v>
      </c>
      <c r="C66" s="630"/>
      <c r="D66" s="630" t="s">
        <v>319</v>
      </c>
      <c r="E66" s="630" t="s">
        <v>319</v>
      </c>
      <c r="F66" s="630" t="s">
        <v>319</v>
      </c>
      <c r="G66" s="630" t="s">
        <v>324</v>
      </c>
      <c r="H66" s="601" t="s">
        <v>325</v>
      </c>
      <c r="I66" s="601" t="s">
        <v>374</v>
      </c>
      <c r="J66" s="630" t="s">
        <v>338</v>
      </c>
      <c r="K66" s="630" t="s">
        <v>339</v>
      </c>
      <c r="L66" s="630" t="s">
        <v>320</v>
      </c>
      <c r="M66" s="630" t="s">
        <v>321</v>
      </c>
      <c r="N66" s="630" t="s">
        <v>340</v>
      </c>
      <c r="O66" s="630" t="s">
        <v>341</v>
      </c>
    </row>
    <row r="67" spans="1:15" x14ac:dyDescent="0.25">
      <c r="A67" s="630" t="s">
        <v>336</v>
      </c>
      <c r="B67" s="629">
        <v>1.38</v>
      </c>
      <c r="C67" s="630"/>
      <c r="D67" s="630" t="s">
        <v>319</v>
      </c>
      <c r="E67" s="630" t="s">
        <v>319</v>
      </c>
      <c r="F67" s="630" t="s">
        <v>319</v>
      </c>
      <c r="G67" s="630" t="s">
        <v>324</v>
      </c>
      <c r="H67" s="601" t="s">
        <v>325</v>
      </c>
      <c r="I67" s="601" t="s">
        <v>375</v>
      </c>
      <c r="J67" s="630" t="s">
        <v>338</v>
      </c>
      <c r="K67" s="630" t="s">
        <v>339</v>
      </c>
      <c r="L67" s="630" t="s">
        <v>320</v>
      </c>
      <c r="M67" s="630" t="s">
        <v>321</v>
      </c>
      <c r="N67" s="630" t="s">
        <v>340</v>
      </c>
      <c r="O67" s="630" t="s">
        <v>341</v>
      </c>
    </row>
    <row r="68" spans="1:15" x14ac:dyDescent="0.25">
      <c r="A68" s="630" t="s">
        <v>336</v>
      </c>
      <c r="B68" s="629">
        <v>2.4</v>
      </c>
      <c r="C68" s="630"/>
      <c r="D68" s="630" t="s">
        <v>319</v>
      </c>
      <c r="E68" s="630" t="s">
        <v>319</v>
      </c>
      <c r="F68" s="630" t="s">
        <v>319</v>
      </c>
      <c r="G68" s="630" t="s">
        <v>324</v>
      </c>
      <c r="H68" s="601" t="s">
        <v>325</v>
      </c>
      <c r="I68" s="601" t="s">
        <v>376</v>
      </c>
      <c r="J68" s="630" t="s">
        <v>338</v>
      </c>
      <c r="K68" s="630" t="s">
        <v>339</v>
      </c>
      <c r="L68" s="630" t="s">
        <v>320</v>
      </c>
      <c r="M68" s="630" t="s">
        <v>321</v>
      </c>
      <c r="N68" s="630" t="s">
        <v>340</v>
      </c>
      <c r="O68" s="630" t="s">
        <v>341</v>
      </c>
    </row>
    <row r="69" spans="1:15" x14ac:dyDescent="0.25">
      <c r="A69" s="630" t="s">
        <v>336</v>
      </c>
      <c r="B69" s="629">
        <v>2.4</v>
      </c>
      <c r="C69" s="630"/>
      <c r="D69" s="630" t="s">
        <v>319</v>
      </c>
      <c r="E69" s="630" t="s">
        <v>319</v>
      </c>
      <c r="F69" s="630" t="s">
        <v>319</v>
      </c>
      <c r="G69" s="630" t="s">
        <v>324</v>
      </c>
      <c r="H69" s="601" t="s">
        <v>325</v>
      </c>
      <c r="I69" s="601" t="s">
        <v>377</v>
      </c>
      <c r="J69" s="630" t="s">
        <v>338</v>
      </c>
      <c r="K69" s="630" t="s">
        <v>339</v>
      </c>
      <c r="L69" s="630" t="s">
        <v>320</v>
      </c>
      <c r="M69" s="630" t="s">
        <v>321</v>
      </c>
      <c r="N69" s="630" t="s">
        <v>340</v>
      </c>
      <c r="O69" s="630" t="s">
        <v>341</v>
      </c>
    </row>
    <row r="70" spans="1:15" x14ac:dyDescent="0.25">
      <c r="A70" s="630" t="s">
        <v>336</v>
      </c>
      <c r="B70" s="629">
        <v>2.4</v>
      </c>
      <c r="C70" s="630"/>
      <c r="D70" s="630" t="s">
        <v>319</v>
      </c>
      <c r="E70" s="630" t="s">
        <v>319</v>
      </c>
      <c r="F70" s="630" t="s">
        <v>319</v>
      </c>
      <c r="G70" s="630" t="s">
        <v>324</v>
      </c>
      <c r="H70" s="601" t="s">
        <v>325</v>
      </c>
      <c r="I70" s="601" t="s">
        <v>378</v>
      </c>
      <c r="J70" s="630" t="s">
        <v>338</v>
      </c>
      <c r="K70" s="630" t="s">
        <v>339</v>
      </c>
      <c r="L70" s="630" t="s">
        <v>320</v>
      </c>
      <c r="M70" s="630" t="s">
        <v>321</v>
      </c>
      <c r="N70" s="630" t="s">
        <v>340</v>
      </c>
      <c r="O70" s="630" t="s">
        <v>341</v>
      </c>
    </row>
    <row r="71" spans="1:15" x14ac:dyDescent="0.25">
      <c r="A71" s="630" t="s">
        <v>336</v>
      </c>
      <c r="B71" s="629">
        <v>2.4</v>
      </c>
      <c r="C71" s="630"/>
      <c r="D71" s="630" t="s">
        <v>319</v>
      </c>
      <c r="E71" s="630" t="s">
        <v>319</v>
      </c>
      <c r="F71" s="630" t="s">
        <v>319</v>
      </c>
      <c r="G71" s="630" t="s">
        <v>324</v>
      </c>
      <c r="H71" s="601" t="s">
        <v>325</v>
      </c>
      <c r="I71" s="601" t="s">
        <v>379</v>
      </c>
      <c r="J71" s="630" t="s">
        <v>338</v>
      </c>
      <c r="K71" s="630" t="s">
        <v>339</v>
      </c>
      <c r="L71" s="630" t="s">
        <v>320</v>
      </c>
      <c r="M71" s="630" t="s">
        <v>321</v>
      </c>
      <c r="N71" s="630" t="s">
        <v>340</v>
      </c>
      <c r="O71" s="630" t="s">
        <v>341</v>
      </c>
    </row>
    <row r="72" spans="1:15" x14ac:dyDescent="0.25">
      <c r="A72" s="630" t="s">
        <v>336</v>
      </c>
      <c r="B72" s="629">
        <v>2.4</v>
      </c>
      <c r="C72" s="630"/>
      <c r="D72" s="630" t="s">
        <v>319</v>
      </c>
      <c r="E72" s="630" t="s">
        <v>319</v>
      </c>
      <c r="F72" s="630" t="s">
        <v>319</v>
      </c>
      <c r="G72" s="630" t="s">
        <v>324</v>
      </c>
      <c r="H72" s="601" t="s">
        <v>325</v>
      </c>
      <c r="I72" s="601" t="s">
        <v>380</v>
      </c>
      <c r="J72" s="630" t="s">
        <v>338</v>
      </c>
      <c r="K72" s="630" t="s">
        <v>339</v>
      </c>
      <c r="L72" s="630" t="s">
        <v>320</v>
      </c>
      <c r="M72" s="630" t="s">
        <v>321</v>
      </c>
      <c r="N72" s="630" t="s">
        <v>340</v>
      </c>
      <c r="O72" s="630" t="s">
        <v>341</v>
      </c>
    </row>
    <row r="73" spans="1:15" x14ac:dyDescent="0.25">
      <c r="A73" s="630" t="s">
        <v>336</v>
      </c>
      <c r="B73" s="629">
        <v>2.4</v>
      </c>
      <c r="C73" s="630"/>
      <c r="D73" s="630" t="s">
        <v>319</v>
      </c>
      <c r="E73" s="630" t="s">
        <v>319</v>
      </c>
      <c r="F73" s="630" t="s">
        <v>319</v>
      </c>
      <c r="G73" s="630" t="s">
        <v>324</v>
      </c>
      <c r="H73" s="601" t="s">
        <v>325</v>
      </c>
      <c r="I73" s="601" t="s">
        <v>381</v>
      </c>
      <c r="J73" s="630" t="s">
        <v>338</v>
      </c>
      <c r="K73" s="630" t="s">
        <v>339</v>
      </c>
      <c r="L73" s="630" t="s">
        <v>320</v>
      </c>
      <c r="M73" s="630" t="s">
        <v>321</v>
      </c>
      <c r="N73" s="630" t="s">
        <v>340</v>
      </c>
      <c r="O73" s="630" t="s">
        <v>341</v>
      </c>
    </row>
    <row r="74" spans="1:15" x14ac:dyDescent="0.25">
      <c r="A74" s="630" t="s">
        <v>336</v>
      </c>
      <c r="B74" s="629">
        <v>2.4</v>
      </c>
      <c r="C74" s="630"/>
      <c r="D74" s="630" t="s">
        <v>319</v>
      </c>
      <c r="E74" s="630" t="s">
        <v>319</v>
      </c>
      <c r="F74" s="630" t="s">
        <v>319</v>
      </c>
      <c r="G74" s="630" t="s">
        <v>324</v>
      </c>
      <c r="H74" s="601" t="s">
        <v>325</v>
      </c>
      <c r="I74" s="601" t="s">
        <v>382</v>
      </c>
      <c r="J74" s="630" t="s">
        <v>338</v>
      </c>
      <c r="K74" s="630" t="s">
        <v>339</v>
      </c>
      <c r="L74" s="630" t="s">
        <v>320</v>
      </c>
      <c r="M74" s="630" t="s">
        <v>321</v>
      </c>
      <c r="N74" s="630" t="s">
        <v>340</v>
      </c>
      <c r="O74" s="630" t="s">
        <v>341</v>
      </c>
    </row>
    <row r="75" spans="1:15" x14ac:dyDescent="0.25">
      <c r="A75" s="630" t="s">
        <v>336</v>
      </c>
      <c r="B75" s="629">
        <v>2.4</v>
      </c>
      <c r="C75" s="630"/>
      <c r="D75" s="630" t="s">
        <v>319</v>
      </c>
      <c r="E75" s="630" t="s">
        <v>319</v>
      </c>
      <c r="F75" s="630" t="s">
        <v>319</v>
      </c>
      <c r="G75" s="630" t="s">
        <v>324</v>
      </c>
      <c r="H75" s="601" t="s">
        <v>325</v>
      </c>
      <c r="I75" s="601" t="s">
        <v>383</v>
      </c>
      <c r="J75" s="630" t="s">
        <v>338</v>
      </c>
      <c r="K75" s="630" t="s">
        <v>339</v>
      </c>
      <c r="L75" s="630" t="s">
        <v>320</v>
      </c>
      <c r="M75" s="630" t="s">
        <v>321</v>
      </c>
      <c r="N75" s="630" t="s">
        <v>340</v>
      </c>
      <c r="O75" s="630" t="s">
        <v>341</v>
      </c>
    </row>
    <row r="76" spans="1:15" x14ac:dyDescent="0.25">
      <c r="A76" s="630" t="s">
        <v>336</v>
      </c>
      <c r="B76" s="629">
        <v>2.4</v>
      </c>
      <c r="C76" s="630"/>
      <c r="D76" s="630" t="s">
        <v>319</v>
      </c>
      <c r="E76" s="630" t="s">
        <v>319</v>
      </c>
      <c r="F76" s="630" t="s">
        <v>319</v>
      </c>
      <c r="G76" s="630" t="s">
        <v>324</v>
      </c>
      <c r="H76" s="601" t="s">
        <v>325</v>
      </c>
      <c r="I76" s="601" t="s">
        <v>384</v>
      </c>
      <c r="J76" s="630" t="s">
        <v>338</v>
      </c>
      <c r="K76" s="630" t="s">
        <v>339</v>
      </c>
      <c r="L76" s="630" t="s">
        <v>320</v>
      </c>
      <c r="M76" s="630" t="s">
        <v>321</v>
      </c>
      <c r="N76" s="630" t="s">
        <v>340</v>
      </c>
      <c r="O76" s="630" t="s">
        <v>341</v>
      </c>
    </row>
    <row r="77" spans="1:15" x14ac:dyDescent="0.25">
      <c r="A77" s="630" t="s">
        <v>336</v>
      </c>
      <c r="B77" s="629">
        <v>2.4</v>
      </c>
      <c r="C77" s="630"/>
      <c r="D77" s="630" t="s">
        <v>319</v>
      </c>
      <c r="E77" s="630" t="s">
        <v>319</v>
      </c>
      <c r="F77" s="630" t="s">
        <v>319</v>
      </c>
      <c r="G77" s="630" t="s">
        <v>324</v>
      </c>
      <c r="H77" s="601" t="s">
        <v>325</v>
      </c>
      <c r="I77" s="601" t="s">
        <v>385</v>
      </c>
      <c r="J77" s="630" t="s">
        <v>338</v>
      </c>
      <c r="K77" s="630" t="s">
        <v>339</v>
      </c>
      <c r="L77" s="630" t="s">
        <v>320</v>
      </c>
      <c r="M77" s="630" t="s">
        <v>321</v>
      </c>
      <c r="N77" s="630" t="s">
        <v>340</v>
      </c>
      <c r="O77" s="630" t="s">
        <v>341</v>
      </c>
    </row>
    <row r="78" spans="1:15" x14ac:dyDescent="0.25">
      <c r="A78" s="630" t="s">
        <v>336</v>
      </c>
      <c r="B78" s="629">
        <v>3</v>
      </c>
      <c r="C78" s="630"/>
      <c r="D78" s="630" t="s">
        <v>319</v>
      </c>
      <c r="E78" s="630" t="s">
        <v>319</v>
      </c>
      <c r="F78" s="630" t="s">
        <v>319</v>
      </c>
      <c r="G78" s="630" t="s">
        <v>324</v>
      </c>
      <c r="H78" s="601" t="s">
        <v>325</v>
      </c>
      <c r="I78" s="601" t="s">
        <v>386</v>
      </c>
      <c r="J78" s="630" t="s">
        <v>338</v>
      </c>
      <c r="K78" s="630" t="s">
        <v>339</v>
      </c>
      <c r="L78" s="630" t="s">
        <v>320</v>
      </c>
      <c r="M78" s="630" t="s">
        <v>321</v>
      </c>
      <c r="N78" s="630" t="s">
        <v>340</v>
      </c>
      <c r="O78" s="630" t="s">
        <v>341</v>
      </c>
    </row>
    <row r="79" spans="1:15" x14ac:dyDescent="0.25">
      <c r="A79" s="630" t="s">
        <v>336</v>
      </c>
      <c r="B79" s="629">
        <v>3</v>
      </c>
      <c r="C79" s="630"/>
      <c r="D79" s="630" t="s">
        <v>319</v>
      </c>
      <c r="E79" s="630" t="s">
        <v>319</v>
      </c>
      <c r="F79" s="630" t="s">
        <v>319</v>
      </c>
      <c r="G79" s="630" t="s">
        <v>324</v>
      </c>
      <c r="H79" s="601" t="s">
        <v>325</v>
      </c>
      <c r="I79" s="601" t="s">
        <v>387</v>
      </c>
      <c r="J79" s="630" t="s">
        <v>338</v>
      </c>
      <c r="K79" s="630" t="s">
        <v>339</v>
      </c>
      <c r="L79" s="630" t="s">
        <v>320</v>
      </c>
      <c r="M79" s="630" t="s">
        <v>321</v>
      </c>
      <c r="N79" s="630" t="s">
        <v>340</v>
      </c>
      <c r="O79" s="630" t="s">
        <v>341</v>
      </c>
    </row>
    <row r="80" spans="1:15" x14ac:dyDescent="0.25">
      <c r="A80" s="630" t="s">
        <v>336</v>
      </c>
      <c r="B80" s="629">
        <v>3</v>
      </c>
      <c r="C80" s="630"/>
      <c r="D80" s="630" t="s">
        <v>319</v>
      </c>
      <c r="E80" s="630" t="s">
        <v>319</v>
      </c>
      <c r="F80" s="630" t="s">
        <v>319</v>
      </c>
      <c r="G80" s="630" t="s">
        <v>324</v>
      </c>
      <c r="H80" s="601" t="s">
        <v>325</v>
      </c>
      <c r="I80" s="601" t="s">
        <v>388</v>
      </c>
      <c r="J80" s="630" t="s">
        <v>338</v>
      </c>
      <c r="K80" s="630" t="s">
        <v>339</v>
      </c>
      <c r="L80" s="630" t="s">
        <v>320</v>
      </c>
      <c r="M80" s="630" t="s">
        <v>321</v>
      </c>
      <c r="N80" s="630" t="s">
        <v>340</v>
      </c>
      <c r="O80" s="630" t="s">
        <v>341</v>
      </c>
    </row>
    <row r="81" spans="1:15" x14ac:dyDescent="0.25">
      <c r="A81" s="630" t="s">
        <v>336</v>
      </c>
      <c r="B81" s="629">
        <v>3</v>
      </c>
      <c r="C81" s="630"/>
      <c r="D81" s="630" t="s">
        <v>319</v>
      </c>
      <c r="E81" s="630" t="s">
        <v>319</v>
      </c>
      <c r="F81" s="630" t="s">
        <v>319</v>
      </c>
      <c r="G81" s="630" t="s">
        <v>324</v>
      </c>
      <c r="H81" s="601" t="s">
        <v>325</v>
      </c>
      <c r="I81" s="601" t="s">
        <v>389</v>
      </c>
      <c r="J81" s="630" t="s">
        <v>338</v>
      </c>
      <c r="K81" s="630" t="s">
        <v>339</v>
      </c>
      <c r="L81" s="630" t="s">
        <v>320</v>
      </c>
      <c r="M81" s="630" t="s">
        <v>321</v>
      </c>
      <c r="N81" s="630" t="s">
        <v>340</v>
      </c>
      <c r="O81" s="630" t="s">
        <v>341</v>
      </c>
    </row>
    <row r="82" spans="1:15" x14ac:dyDescent="0.25">
      <c r="A82" s="630" t="s">
        <v>336</v>
      </c>
      <c r="B82" s="629">
        <v>3</v>
      </c>
      <c r="C82" s="630"/>
      <c r="D82" s="630" t="s">
        <v>319</v>
      </c>
      <c r="E82" s="630" t="s">
        <v>319</v>
      </c>
      <c r="F82" s="630" t="s">
        <v>319</v>
      </c>
      <c r="G82" s="630" t="s">
        <v>324</v>
      </c>
      <c r="H82" s="601" t="s">
        <v>325</v>
      </c>
      <c r="I82" s="601" t="s">
        <v>390</v>
      </c>
      <c r="J82" s="630" t="s">
        <v>338</v>
      </c>
      <c r="K82" s="630" t="s">
        <v>339</v>
      </c>
      <c r="L82" s="630" t="s">
        <v>320</v>
      </c>
      <c r="M82" s="630" t="s">
        <v>321</v>
      </c>
      <c r="N82" s="630" t="s">
        <v>340</v>
      </c>
      <c r="O82" s="630" t="s">
        <v>341</v>
      </c>
    </row>
    <row r="83" spans="1:15" x14ac:dyDescent="0.25">
      <c r="A83" s="630" t="s">
        <v>336</v>
      </c>
      <c r="B83" s="629">
        <v>3</v>
      </c>
      <c r="C83" s="630"/>
      <c r="D83" s="630" t="s">
        <v>319</v>
      </c>
      <c r="E83" s="630" t="s">
        <v>319</v>
      </c>
      <c r="F83" s="630" t="s">
        <v>319</v>
      </c>
      <c r="G83" s="630" t="s">
        <v>324</v>
      </c>
      <c r="H83" s="601" t="s">
        <v>325</v>
      </c>
      <c r="I83" s="601" t="s">
        <v>391</v>
      </c>
      <c r="J83" s="630" t="s">
        <v>338</v>
      </c>
      <c r="K83" s="630" t="s">
        <v>339</v>
      </c>
      <c r="L83" s="630" t="s">
        <v>320</v>
      </c>
      <c r="M83" s="630" t="s">
        <v>321</v>
      </c>
      <c r="N83" s="630" t="s">
        <v>340</v>
      </c>
      <c r="O83" s="630" t="s">
        <v>341</v>
      </c>
    </row>
    <row r="84" spans="1:15" x14ac:dyDescent="0.25">
      <c r="A84" s="630" t="s">
        <v>336</v>
      </c>
      <c r="B84" s="629">
        <v>3</v>
      </c>
      <c r="C84" s="630"/>
      <c r="D84" s="630" t="s">
        <v>319</v>
      </c>
      <c r="E84" s="630" t="s">
        <v>319</v>
      </c>
      <c r="F84" s="630" t="s">
        <v>319</v>
      </c>
      <c r="G84" s="630" t="s">
        <v>324</v>
      </c>
      <c r="H84" s="601" t="s">
        <v>325</v>
      </c>
      <c r="I84" s="601" t="s">
        <v>392</v>
      </c>
      <c r="J84" s="630" t="s">
        <v>338</v>
      </c>
      <c r="K84" s="630" t="s">
        <v>339</v>
      </c>
      <c r="L84" s="630" t="s">
        <v>320</v>
      </c>
      <c r="M84" s="630" t="s">
        <v>321</v>
      </c>
      <c r="N84" s="630" t="s">
        <v>340</v>
      </c>
      <c r="O84" s="630" t="s">
        <v>341</v>
      </c>
    </row>
    <row r="85" spans="1:15" x14ac:dyDescent="0.25">
      <c r="A85" s="630" t="s">
        <v>336</v>
      </c>
      <c r="B85" s="629">
        <v>3</v>
      </c>
      <c r="C85" s="630"/>
      <c r="D85" s="630" t="s">
        <v>319</v>
      </c>
      <c r="E85" s="630" t="s">
        <v>319</v>
      </c>
      <c r="F85" s="630" t="s">
        <v>319</v>
      </c>
      <c r="G85" s="630" t="s">
        <v>324</v>
      </c>
      <c r="H85" s="601" t="s">
        <v>325</v>
      </c>
      <c r="I85" s="601" t="s">
        <v>393</v>
      </c>
      <c r="J85" s="630" t="s">
        <v>338</v>
      </c>
      <c r="K85" s="630" t="s">
        <v>339</v>
      </c>
      <c r="L85" s="630" t="s">
        <v>320</v>
      </c>
      <c r="M85" s="630" t="s">
        <v>321</v>
      </c>
      <c r="N85" s="630" t="s">
        <v>340</v>
      </c>
      <c r="O85" s="630" t="s">
        <v>341</v>
      </c>
    </row>
    <row r="86" spans="1:15" x14ac:dyDescent="0.25">
      <c r="A86" s="630" t="s">
        <v>336</v>
      </c>
      <c r="B86" s="629">
        <v>3</v>
      </c>
      <c r="C86" s="630"/>
      <c r="D86" s="630" t="s">
        <v>319</v>
      </c>
      <c r="E86" s="630" t="s">
        <v>319</v>
      </c>
      <c r="F86" s="630" t="s">
        <v>319</v>
      </c>
      <c r="G86" s="630" t="s">
        <v>324</v>
      </c>
      <c r="H86" s="601" t="s">
        <v>325</v>
      </c>
      <c r="I86" s="601" t="s">
        <v>394</v>
      </c>
      <c r="J86" s="630" t="s">
        <v>338</v>
      </c>
      <c r="K86" s="630" t="s">
        <v>339</v>
      </c>
      <c r="L86" s="630" t="s">
        <v>320</v>
      </c>
      <c r="M86" s="630" t="s">
        <v>321</v>
      </c>
      <c r="N86" s="630" t="s">
        <v>340</v>
      </c>
      <c r="O86" s="630" t="s">
        <v>341</v>
      </c>
    </row>
    <row r="87" spans="1:15" x14ac:dyDescent="0.25">
      <c r="A87" s="630" t="s">
        <v>336</v>
      </c>
      <c r="B87" s="629">
        <v>3</v>
      </c>
      <c r="C87" s="630"/>
      <c r="D87" s="630" t="s">
        <v>319</v>
      </c>
      <c r="E87" s="630" t="s">
        <v>319</v>
      </c>
      <c r="F87" s="630" t="s">
        <v>319</v>
      </c>
      <c r="G87" s="630" t="s">
        <v>324</v>
      </c>
      <c r="H87" s="601" t="s">
        <v>325</v>
      </c>
      <c r="I87" s="601" t="s">
        <v>395</v>
      </c>
      <c r="J87" s="630" t="s">
        <v>338</v>
      </c>
      <c r="K87" s="630" t="s">
        <v>339</v>
      </c>
      <c r="L87" s="630" t="s">
        <v>320</v>
      </c>
      <c r="M87" s="630" t="s">
        <v>321</v>
      </c>
      <c r="N87" s="630" t="s">
        <v>340</v>
      </c>
      <c r="O87" s="630" t="s">
        <v>341</v>
      </c>
    </row>
    <row r="88" spans="1:15" x14ac:dyDescent="0.25">
      <c r="A88" s="630" t="s">
        <v>336</v>
      </c>
      <c r="B88" s="629">
        <v>3</v>
      </c>
      <c r="C88" s="630"/>
      <c r="D88" s="630" t="s">
        <v>319</v>
      </c>
      <c r="E88" s="630" t="s">
        <v>319</v>
      </c>
      <c r="F88" s="630" t="s">
        <v>319</v>
      </c>
      <c r="G88" s="630" t="s">
        <v>324</v>
      </c>
      <c r="H88" s="601" t="s">
        <v>325</v>
      </c>
      <c r="I88" s="601" t="s">
        <v>396</v>
      </c>
      <c r="J88" s="630" t="s">
        <v>338</v>
      </c>
      <c r="K88" s="630" t="s">
        <v>339</v>
      </c>
      <c r="L88" s="630" t="s">
        <v>320</v>
      </c>
      <c r="M88" s="630" t="s">
        <v>321</v>
      </c>
      <c r="N88" s="630" t="s">
        <v>340</v>
      </c>
      <c r="O88" s="630" t="s">
        <v>341</v>
      </c>
    </row>
    <row r="89" spans="1:15" x14ac:dyDescent="0.25">
      <c r="A89" s="630" t="s">
        <v>336</v>
      </c>
      <c r="B89" s="629">
        <v>3</v>
      </c>
      <c r="C89" s="630"/>
      <c r="D89" s="630" t="s">
        <v>319</v>
      </c>
      <c r="E89" s="630" t="s">
        <v>319</v>
      </c>
      <c r="F89" s="630" t="s">
        <v>319</v>
      </c>
      <c r="G89" s="630" t="s">
        <v>324</v>
      </c>
      <c r="H89" s="601" t="s">
        <v>325</v>
      </c>
      <c r="I89" s="601" t="s">
        <v>397</v>
      </c>
      <c r="J89" s="630" t="s">
        <v>338</v>
      </c>
      <c r="K89" s="630" t="s">
        <v>339</v>
      </c>
      <c r="L89" s="630" t="s">
        <v>320</v>
      </c>
      <c r="M89" s="630" t="s">
        <v>321</v>
      </c>
      <c r="N89" s="630" t="s">
        <v>340</v>
      </c>
      <c r="O89" s="630" t="s">
        <v>341</v>
      </c>
    </row>
    <row r="90" spans="1:15" x14ac:dyDescent="0.25">
      <c r="A90" s="630" t="s">
        <v>336</v>
      </c>
      <c r="B90" s="629">
        <v>3</v>
      </c>
      <c r="C90" s="630"/>
      <c r="D90" s="630" t="s">
        <v>319</v>
      </c>
      <c r="E90" s="630" t="s">
        <v>319</v>
      </c>
      <c r="F90" s="630" t="s">
        <v>319</v>
      </c>
      <c r="G90" s="630" t="s">
        <v>324</v>
      </c>
      <c r="H90" s="601" t="s">
        <v>325</v>
      </c>
      <c r="I90" s="601" t="s">
        <v>398</v>
      </c>
      <c r="J90" s="630" t="s">
        <v>338</v>
      </c>
      <c r="K90" s="630" t="s">
        <v>339</v>
      </c>
      <c r="L90" s="630" t="s">
        <v>320</v>
      </c>
      <c r="M90" s="630" t="s">
        <v>321</v>
      </c>
      <c r="N90" s="630" t="s">
        <v>340</v>
      </c>
      <c r="O90" s="630" t="s">
        <v>341</v>
      </c>
    </row>
    <row r="91" spans="1:15" x14ac:dyDescent="0.25">
      <c r="A91" s="630" t="s">
        <v>336</v>
      </c>
      <c r="B91" s="629">
        <v>3</v>
      </c>
      <c r="C91" s="630"/>
      <c r="D91" s="630" t="s">
        <v>319</v>
      </c>
      <c r="E91" s="630" t="s">
        <v>319</v>
      </c>
      <c r="F91" s="630" t="s">
        <v>319</v>
      </c>
      <c r="G91" s="630" t="s">
        <v>324</v>
      </c>
      <c r="H91" s="601" t="s">
        <v>325</v>
      </c>
      <c r="I91" s="601" t="s">
        <v>399</v>
      </c>
      <c r="J91" s="630" t="s">
        <v>338</v>
      </c>
      <c r="K91" s="630" t="s">
        <v>339</v>
      </c>
      <c r="L91" s="630" t="s">
        <v>320</v>
      </c>
      <c r="M91" s="630" t="s">
        <v>321</v>
      </c>
      <c r="N91" s="630" t="s">
        <v>340</v>
      </c>
      <c r="O91" s="630" t="s">
        <v>341</v>
      </c>
    </row>
    <row r="92" spans="1:15" x14ac:dyDescent="0.25">
      <c r="A92" s="630" t="s">
        <v>336</v>
      </c>
      <c r="B92" s="629">
        <v>3</v>
      </c>
      <c r="C92" s="630"/>
      <c r="D92" s="630" t="s">
        <v>319</v>
      </c>
      <c r="E92" s="630" t="s">
        <v>319</v>
      </c>
      <c r="F92" s="630" t="s">
        <v>319</v>
      </c>
      <c r="G92" s="630" t="s">
        <v>324</v>
      </c>
      <c r="H92" s="601" t="s">
        <v>325</v>
      </c>
      <c r="I92" s="601" t="s">
        <v>400</v>
      </c>
      <c r="J92" s="630" t="s">
        <v>338</v>
      </c>
      <c r="K92" s="630" t="s">
        <v>339</v>
      </c>
      <c r="L92" s="630" t="s">
        <v>320</v>
      </c>
      <c r="M92" s="630" t="s">
        <v>321</v>
      </c>
      <c r="N92" s="630" t="s">
        <v>340</v>
      </c>
      <c r="O92" s="630" t="s">
        <v>341</v>
      </c>
    </row>
    <row r="93" spans="1:15" x14ac:dyDescent="0.25">
      <c r="A93" s="630" t="s">
        <v>336</v>
      </c>
      <c r="B93" s="629">
        <v>3</v>
      </c>
      <c r="C93" s="630"/>
      <c r="D93" s="630" t="s">
        <v>319</v>
      </c>
      <c r="E93" s="630" t="s">
        <v>319</v>
      </c>
      <c r="F93" s="630" t="s">
        <v>319</v>
      </c>
      <c r="G93" s="630" t="s">
        <v>324</v>
      </c>
      <c r="H93" s="601" t="s">
        <v>325</v>
      </c>
      <c r="I93" s="601" t="s">
        <v>401</v>
      </c>
      <c r="J93" s="630" t="s">
        <v>338</v>
      </c>
      <c r="K93" s="630" t="s">
        <v>339</v>
      </c>
      <c r="L93" s="630" t="s">
        <v>320</v>
      </c>
      <c r="M93" s="630" t="s">
        <v>321</v>
      </c>
      <c r="N93" s="630" t="s">
        <v>340</v>
      </c>
      <c r="O93" s="630" t="s">
        <v>341</v>
      </c>
    </row>
    <row r="94" spans="1:15" x14ac:dyDescent="0.25">
      <c r="A94" s="630" t="s">
        <v>336</v>
      </c>
      <c r="B94" s="629">
        <v>3</v>
      </c>
      <c r="C94" s="630"/>
      <c r="D94" s="630" t="s">
        <v>319</v>
      </c>
      <c r="E94" s="630" t="s">
        <v>319</v>
      </c>
      <c r="F94" s="630" t="s">
        <v>319</v>
      </c>
      <c r="G94" s="630" t="s">
        <v>324</v>
      </c>
      <c r="H94" s="601" t="s">
        <v>325</v>
      </c>
      <c r="I94" s="601" t="s">
        <v>402</v>
      </c>
      <c r="J94" s="630" t="s">
        <v>338</v>
      </c>
      <c r="K94" s="630" t="s">
        <v>339</v>
      </c>
      <c r="L94" s="630" t="s">
        <v>320</v>
      </c>
      <c r="M94" s="630" t="s">
        <v>321</v>
      </c>
      <c r="N94" s="630" t="s">
        <v>340</v>
      </c>
      <c r="O94" s="630" t="s">
        <v>341</v>
      </c>
    </row>
    <row r="95" spans="1:15" x14ac:dyDescent="0.25">
      <c r="A95" s="630" t="s">
        <v>336</v>
      </c>
      <c r="B95" s="629">
        <v>3</v>
      </c>
      <c r="C95" s="630"/>
      <c r="D95" s="630" t="s">
        <v>319</v>
      </c>
      <c r="E95" s="630" t="s">
        <v>319</v>
      </c>
      <c r="F95" s="630" t="s">
        <v>319</v>
      </c>
      <c r="G95" s="630" t="s">
        <v>324</v>
      </c>
      <c r="H95" s="601" t="s">
        <v>325</v>
      </c>
      <c r="I95" s="601" t="s">
        <v>403</v>
      </c>
      <c r="J95" s="630" t="s">
        <v>338</v>
      </c>
      <c r="K95" s="630" t="s">
        <v>339</v>
      </c>
      <c r="L95" s="630" t="s">
        <v>320</v>
      </c>
      <c r="M95" s="630" t="s">
        <v>321</v>
      </c>
      <c r="N95" s="630" t="s">
        <v>340</v>
      </c>
      <c r="O95" s="630" t="s">
        <v>341</v>
      </c>
    </row>
    <row r="96" spans="1:15" x14ac:dyDescent="0.25">
      <c r="A96" s="630" t="s">
        <v>336</v>
      </c>
      <c r="B96" s="629">
        <v>3</v>
      </c>
      <c r="C96" s="630"/>
      <c r="D96" s="630" t="s">
        <v>319</v>
      </c>
      <c r="E96" s="630" t="s">
        <v>319</v>
      </c>
      <c r="F96" s="630" t="s">
        <v>319</v>
      </c>
      <c r="G96" s="630" t="s">
        <v>324</v>
      </c>
      <c r="H96" s="601" t="s">
        <v>325</v>
      </c>
      <c r="I96" s="601" t="s">
        <v>404</v>
      </c>
      <c r="J96" s="630" t="s">
        <v>338</v>
      </c>
      <c r="K96" s="630" t="s">
        <v>339</v>
      </c>
      <c r="L96" s="630" t="s">
        <v>320</v>
      </c>
      <c r="M96" s="630" t="s">
        <v>321</v>
      </c>
      <c r="N96" s="630" t="s">
        <v>340</v>
      </c>
      <c r="O96" s="630" t="s">
        <v>341</v>
      </c>
    </row>
    <row r="97" spans="1:15" x14ac:dyDescent="0.25">
      <c r="A97" s="630" t="s">
        <v>336</v>
      </c>
      <c r="B97" s="629">
        <v>3</v>
      </c>
      <c r="C97" s="630"/>
      <c r="D97" s="630" t="s">
        <v>319</v>
      </c>
      <c r="E97" s="630" t="s">
        <v>319</v>
      </c>
      <c r="F97" s="630" t="s">
        <v>319</v>
      </c>
      <c r="G97" s="630" t="s">
        <v>324</v>
      </c>
      <c r="H97" s="601" t="s">
        <v>325</v>
      </c>
      <c r="I97" s="601" t="s">
        <v>405</v>
      </c>
      <c r="J97" s="630" t="s">
        <v>338</v>
      </c>
      <c r="K97" s="630" t="s">
        <v>339</v>
      </c>
      <c r="L97" s="630" t="s">
        <v>320</v>
      </c>
      <c r="M97" s="630" t="s">
        <v>321</v>
      </c>
      <c r="N97" s="630" t="s">
        <v>340</v>
      </c>
      <c r="O97" s="630" t="s">
        <v>341</v>
      </c>
    </row>
    <row r="98" spans="1:15" x14ac:dyDescent="0.25">
      <c r="A98" s="630" t="s">
        <v>336</v>
      </c>
      <c r="B98" s="629">
        <v>3</v>
      </c>
      <c r="C98" s="630"/>
      <c r="D98" s="630" t="s">
        <v>319</v>
      </c>
      <c r="E98" s="630" t="s">
        <v>319</v>
      </c>
      <c r="F98" s="630" t="s">
        <v>319</v>
      </c>
      <c r="G98" s="630" t="s">
        <v>324</v>
      </c>
      <c r="H98" s="601" t="s">
        <v>325</v>
      </c>
      <c r="I98" s="601" t="s">
        <v>406</v>
      </c>
      <c r="J98" s="630" t="s">
        <v>338</v>
      </c>
      <c r="K98" s="630" t="s">
        <v>339</v>
      </c>
      <c r="L98" s="630" t="s">
        <v>320</v>
      </c>
      <c r="M98" s="630" t="s">
        <v>321</v>
      </c>
      <c r="N98" s="630" t="s">
        <v>340</v>
      </c>
      <c r="O98" s="630" t="s">
        <v>341</v>
      </c>
    </row>
    <row r="99" spans="1:15" x14ac:dyDescent="0.25">
      <c r="A99" s="630" t="s">
        <v>336</v>
      </c>
      <c r="B99" s="629">
        <v>3</v>
      </c>
      <c r="C99" s="630"/>
      <c r="D99" s="630" t="s">
        <v>319</v>
      </c>
      <c r="E99" s="630" t="s">
        <v>319</v>
      </c>
      <c r="F99" s="630" t="s">
        <v>319</v>
      </c>
      <c r="G99" s="630" t="s">
        <v>324</v>
      </c>
      <c r="H99" s="601" t="s">
        <v>325</v>
      </c>
      <c r="I99" s="601" t="s">
        <v>407</v>
      </c>
      <c r="J99" s="630" t="s">
        <v>338</v>
      </c>
      <c r="K99" s="630" t="s">
        <v>339</v>
      </c>
      <c r="L99" s="630" t="s">
        <v>320</v>
      </c>
      <c r="M99" s="630" t="s">
        <v>321</v>
      </c>
      <c r="N99" s="630" t="s">
        <v>340</v>
      </c>
      <c r="O99" s="630" t="s">
        <v>341</v>
      </c>
    </row>
    <row r="100" spans="1:15" x14ac:dyDescent="0.25">
      <c r="A100" s="630" t="s">
        <v>336</v>
      </c>
      <c r="B100" s="629">
        <v>3</v>
      </c>
      <c r="C100" s="630"/>
      <c r="D100" s="630" t="s">
        <v>319</v>
      </c>
      <c r="E100" s="630" t="s">
        <v>319</v>
      </c>
      <c r="F100" s="630" t="s">
        <v>319</v>
      </c>
      <c r="G100" s="630" t="s">
        <v>324</v>
      </c>
      <c r="H100" s="601" t="s">
        <v>325</v>
      </c>
      <c r="I100" s="601" t="s">
        <v>408</v>
      </c>
      <c r="J100" s="630" t="s">
        <v>338</v>
      </c>
      <c r="K100" s="630" t="s">
        <v>339</v>
      </c>
      <c r="L100" s="630" t="s">
        <v>320</v>
      </c>
      <c r="M100" s="630" t="s">
        <v>321</v>
      </c>
      <c r="N100" s="630" t="s">
        <v>340</v>
      </c>
      <c r="O100" s="630" t="s">
        <v>341</v>
      </c>
    </row>
    <row r="101" spans="1:15" x14ac:dyDescent="0.25">
      <c r="A101" s="630" t="s">
        <v>336</v>
      </c>
      <c r="B101" s="629">
        <v>3</v>
      </c>
      <c r="C101" s="630"/>
      <c r="D101" s="630" t="s">
        <v>319</v>
      </c>
      <c r="E101" s="630" t="s">
        <v>319</v>
      </c>
      <c r="F101" s="630" t="s">
        <v>319</v>
      </c>
      <c r="G101" s="630" t="s">
        <v>324</v>
      </c>
      <c r="H101" s="601" t="s">
        <v>325</v>
      </c>
      <c r="I101" s="601" t="s">
        <v>409</v>
      </c>
      <c r="J101" s="630" t="s">
        <v>338</v>
      </c>
      <c r="K101" s="630" t="s">
        <v>339</v>
      </c>
      <c r="L101" s="630" t="s">
        <v>320</v>
      </c>
      <c r="M101" s="630" t="s">
        <v>321</v>
      </c>
      <c r="N101" s="630" t="s">
        <v>340</v>
      </c>
      <c r="O101" s="630" t="s">
        <v>341</v>
      </c>
    </row>
    <row r="102" spans="1:15" x14ac:dyDescent="0.25">
      <c r="A102" s="630" t="s">
        <v>336</v>
      </c>
      <c r="B102" s="629">
        <v>3</v>
      </c>
      <c r="C102" s="630"/>
      <c r="D102" s="630" t="s">
        <v>319</v>
      </c>
      <c r="E102" s="630" t="s">
        <v>319</v>
      </c>
      <c r="F102" s="630" t="s">
        <v>319</v>
      </c>
      <c r="G102" s="630" t="s">
        <v>324</v>
      </c>
      <c r="H102" s="601" t="s">
        <v>325</v>
      </c>
      <c r="I102" s="601" t="s">
        <v>410</v>
      </c>
      <c r="J102" s="630" t="s">
        <v>338</v>
      </c>
      <c r="K102" s="630" t="s">
        <v>339</v>
      </c>
      <c r="L102" s="630" t="s">
        <v>320</v>
      </c>
      <c r="M102" s="630" t="s">
        <v>321</v>
      </c>
      <c r="N102" s="630" t="s">
        <v>340</v>
      </c>
      <c r="O102" s="630" t="s">
        <v>341</v>
      </c>
    </row>
    <row r="103" spans="1:15" x14ac:dyDescent="0.25">
      <c r="A103" s="630" t="s">
        <v>336</v>
      </c>
      <c r="B103" s="629">
        <v>3</v>
      </c>
      <c r="C103" s="630"/>
      <c r="D103" s="630" t="s">
        <v>319</v>
      </c>
      <c r="E103" s="630" t="s">
        <v>319</v>
      </c>
      <c r="F103" s="630" t="s">
        <v>319</v>
      </c>
      <c r="G103" s="630" t="s">
        <v>324</v>
      </c>
      <c r="H103" s="601" t="s">
        <v>325</v>
      </c>
      <c r="I103" s="601" t="s">
        <v>411</v>
      </c>
      <c r="J103" s="630" t="s">
        <v>338</v>
      </c>
      <c r="K103" s="630" t="s">
        <v>339</v>
      </c>
      <c r="L103" s="630" t="s">
        <v>320</v>
      </c>
      <c r="M103" s="630" t="s">
        <v>321</v>
      </c>
      <c r="N103" s="630" t="s">
        <v>340</v>
      </c>
      <c r="O103" s="630" t="s">
        <v>341</v>
      </c>
    </row>
    <row r="104" spans="1:15" x14ac:dyDescent="0.25">
      <c r="A104" s="630" t="s">
        <v>336</v>
      </c>
      <c r="B104" s="629">
        <v>3</v>
      </c>
      <c r="C104" s="630"/>
      <c r="D104" s="630" t="s">
        <v>319</v>
      </c>
      <c r="E104" s="630" t="s">
        <v>319</v>
      </c>
      <c r="F104" s="630" t="s">
        <v>319</v>
      </c>
      <c r="G104" s="630" t="s">
        <v>324</v>
      </c>
      <c r="H104" s="601" t="s">
        <v>325</v>
      </c>
      <c r="I104" s="601" t="s">
        <v>412</v>
      </c>
      <c r="J104" s="630" t="s">
        <v>338</v>
      </c>
      <c r="K104" s="630" t="s">
        <v>339</v>
      </c>
      <c r="L104" s="630" t="s">
        <v>320</v>
      </c>
      <c r="M104" s="630" t="s">
        <v>321</v>
      </c>
      <c r="N104" s="630" t="s">
        <v>340</v>
      </c>
      <c r="O104" s="630" t="s">
        <v>341</v>
      </c>
    </row>
    <row r="105" spans="1:15" x14ac:dyDescent="0.25">
      <c r="A105" s="630" t="s">
        <v>336</v>
      </c>
      <c r="B105" s="629">
        <v>3</v>
      </c>
      <c r="C105" s="630"/>
      <c r="D105" s="630" t="s">
        <v>319</v>
      </c>
      <c r="E105" s="630" t="s">
        <v>319</v>
      </c>
      <c r="F105" s="630" t="s">
        <v>319</v>
      </c>
      <c r="G105" s="630" t="s">
        <v>324</v>
      </c>
      <c r="H105" s="601" t="s">
        <v>325</v>
      </c>
      <c r="I105" s="601" t="s">
        <v>413</v>
      </c>
      <c r="J105" s="630" t="s">
        <v>338</v>
      </c>
      <c r="K105" s="630" t="s">
        <v>339</v>
      </c>
      <c r="L105" s="630" t="s">
        <v>320</v>
      </c>
      <c r="M105" s="630" t="s">
        <v>321</v>
      </c>
      <c r="N105" s="630" t="s">
        <v>340</v>
      </c>
      <c r="O105" s="630" t="s">
        <v>341</v>
      </c>
    </row>
    <row r="106" spans="1:15" x14ac:dyDescent="0.25">
      <c r="A106" s="630" t="s">
        <v>336</v>
      </c>
      <c r="B106" s="629">
        <v>3</v>
      </c>
      <c r="C106" s="630"/>
      <c r="D106" s="630" t="s">
        <v>319</v>
      </c>
      <c r="E106" s="630" t="s">
        <v>319</v>
      </c>
      <c r="F106" s="630" t="s">
        <v>319</v>
      </c>
      <c r="G106" s="630" t="s">
        <v>324</v>
      </c>
      <c r="H106" s="601" t="s">
        <v>325</v>
      </c>
      <c r="I106" s="601" t="s">
        <v>414</v>
      </c>
      <c r="J106" s="630" t="s">
        <v>338</v>
      </c>
      <c r="K106" s="630" t="s">
        <v>339</v>
      </c>
      <c r="L106" s="630" t="s">
        <v>320</v>
      </c>
      <c r="M106" s="630" t="s">
        <v>321</v>
      </c>
      <c r="N106" s="630" t="s">
        <v>340</v>
      </c>
      <c r="O106" s="630" t="s">
        <v>341</v>
      </c>
    </row>
    <row r="107" spans="1:15" x14ac:dyDescent="0.25">
      <c r="A107" s="630" t="s">
        <v>336</v>
      </c>
      <c r="B107" s="629">
        <v>3</v>
      </c>
      <c r="C107" s="630"/>
      <c r="D107" s="630" t="s">
        <v>319</v>
      </c>
      <c r="E107" s="630" t="s">
        <v>319</v>
      </c>
      <c r="F107" s="630" t="s">
        <v>319</v>
      </c>
      <c r="G107" s="630" t="s">
        <v>324</v>
      </c>
      <c r="H107" s="601" t="s">
        <v>325</v>
      </c>
      <c r="I107" s="601" t="s">
        <v>415</v>
      </c>
      <c r="J107" s="630" t="s">
        <v>338</v>
      </c>
      <c r="K107" s="630" t="s">
        <v>339</v>
      </c>
      <c r="L107" s="630" t="s">
        <v>320</v>
      </c>
      <c r="M107" s="630" t="s">
        <v>321</v>
      </c>
      <c r="N107" s="630" t="s">
        <v>340</v>
      </c>
      <c r="O107" s="630" t="s">
        <v>341</v>
      </c>
    </row>
    <row r="108" spans="1:15" x14ac:dyDescent="0.25">
      <c r="A108" s="630" t="s">
        <v>336</v>
      </c>
      <c r="B108" s="629">
        <v>3</v>
      </c>
      <c r="C108" s="630"/>
      <c r="D108" s="630" t="s">
        <v>319</v>
      </c>
      <c r="E108" s="630" t="s">
        <v>319</v>
      </c>
      <c r="F108" s="630" t="s">
        <v>319</v>
      </c>
      <c r="G108" s="630" t="s">
        <v>324</v>
      </c>
      <c r="H108" s="601" t="s">
        <v>325</v>
      </c>
      <c r="I108" s="601" t="s">
        <v>416</v>
      </c>
      <c r="J108" s="630" t="s">
        <v>338</v>
      </c>
      <c r="K108" s="630" t="s">
        <v>339</v>
      </c>
      <c r="L108" s="630" t="s">
        <v>320</v>
      </c>
      <c r="M108" s="630" t="s">
        <v>321</v>
      </c>
      <c r="N108" s="630" t="s">
        <v>340</v>
      </c>
      <c r="O108" s="630" t="s">
        <v>341</v>
      </c>
    </row>
    <row r="109" spans="1:15" x14ac:dyDescent="0.25">
      <c r="A109" s="630" t="s">
        <v>336</v>
      </c>
      <c r="B109" s="629">
        <v>0.85</v>
      </c>
      <c r="C109" s="630"/>
      <c r="D109" s="630" t="s">
        <v>319</v>
      </c>
      <c r="E109" s="630" t="s">
        <v>319</v>
      </c>
      <c r="F109" s="630" t="s">
        <v>319</v>
      </c>
      <c r="G109" s="630" t="s">
        <v>324</v>
      </c>
      <c r="H109" s="601" t="s">
        <v>325</v>
      </c>
      <c r="I109" s="601" t="s">
        <v>337</v>
      </c>
      <c r="J109" s="630" t="s">
        <v>338</v>
      </c>
      <c r="K109" s="630" t="s">
        <v>339</v>
      </c>
      <c r="L109" s="630" t="b">
        <v>0</v>
      </c>
      <c r="M109" s="630" t="s">
        <v>321</v>
      </c>
      <c r="N109" s="630" t="s">
        <v>340</v>
      </c>
      <c r="O109" s="630" t="s">
        <v>341</v>
      </c>
    </row>
    <row r="110" spans="1:15" x14ac:dyDescent="0.25">
      <c r="A110" s="630" t="s">
        <v>336</v>
      </c>
      <c r="B110" s="629">
        <v>0.85</v>
      </c>
      <c r="C110" s="630"/>
      <c r="D110" s="630" t="s">
        <v>319</v>
      </c>
      <c r="E110" s="630" t="s">
        <v>319</v>
      </c>
      <c r="F110" s="630" t="s">
        <v>319</v>
      </c>
      <c r="G110" s="630" t="s">
        <v>324</v>
      </c>
      <c r="H110" s="601" t="s">
        <v>325</v>
      </c>
      <c r="I110" s="601" t="s">
        <v>342</v>
      </c>
      <c r="J110" s="630" t="s">
        <v>338</v>
      </c>
      <c r="K110" s="630" t="s">
        <v>339</v>
      </c>
      <c r="L110" s="630" t="b">
        <v>0</v>
      </c>
      <c r="M110" s="630" t="s">
        <v>321</v>
      </c>
      <c r="N110" s="630" t="s">
        <v>340</v>
      </c>
      <c r="O110" s="630" t="s">
        <v>341</v>
      </c>
    </row>
    <row r="111" spans="1:15" x14ac:dyDescent="0.25">
      <c r="A111" s="630" t="s">
        <v>336</v>
      </c>
      <c r="B111" s="629">
        <v>0.85</v>
      </c>
      <c r="C111" s="630"/>
      <c r="D111" s="630" t="s">
        <v>319</v>
      </c>
      <c r="E111" s="630" t="s">
        <v>319</v>
      </c>
      <c r="F111" s="630" t="s">
        <v>319</v>
      </c>
      <c r="G111" s="630" t="s">
        <v>324</v>
      </c>
      <c r="H111" s="601" t="s">
        <v>325</v>
      </c>
      <c r="I111" s="601" t="s">
        <v>343</v>
      </c>
      <c r="J111" s="630" t="s">
        <v>338</v>
      </c>
      <c r="K111" s="630" t="s">
        <v>339</v>
      </c>
      <c r="L111" s="630" t="b">
        <v>0</v>
      </c>
      <c r="M111" s="630" t="s">
        <v>321</v>
      </c>
      <c r="N111" s="630" t="s">
        <v>340</v>
      </c>
      <c r="O111" s="630" t="s">
        <v>341</v>
      </c>
    </row>
    <row r="112" spans="1:15" x14ac:dyDescent="0.25">
      <c r="A112" s="630" t="s">
        <v>336</v>
      </c>
      <c r="B112" s="629">
        <v>0.85</v>
      </c>
      <c r="C112" s="630"/>
      <c r="D112" s="630" t="s">
        <v>319</v>
      </c>
      <c r="E112" s="630" t="s">
        <v>319</v>
      </c>
      <c r="F112" s="630" t="s">
        <v>319</v>
      </c>
      <c r="G112" s="630" t="s">
        <v>324</v>
      </c>
      <c r="H112" s="601" t="s">
        <v>325</v>
      </c>
      <c r="I112" s="601" t="s">
        <v>344</v>
      </c>
      <c r="J112" s="630" t="s">
        <v>338</v>
      </c>
      <c r="K112" s="630" t="s">
        <v>339</v>
      </c>
      <c r="L112" s="630" t="b">
        <v>0</v>
      </c>
      <c r="M112" s="630" t="s">
        <v>321</v>
      </c>
      <c r="N112" s="630" t="s">
        <v>340</v>
      </c>
      <c r="O112" s="630" t="s">
        <v>341</v>
      </c>
    </row>
    <row r="113" spans="1:15" x14ac:dyDescent="0.25">
      <c r="A113" s="630" t="s">
        <v>336</v>
      </c>
      <c r="B113" s="629">
        <v>0.85</v>
      </c>
      <c r="C113" s="630"/>
      <c r="D113" s="630" t="s">
        <v>319</v>
      </c>
      <c r="E113" s="630" t="s">
        <v>319</v>
      </c>
      <c r="F113" s="630" t="s">
        <v>319</v>
      </c>
      <c r="G113" s="630" t="s">
        <v>324</v>
      </c>
      <c r="H113" s="601" t="s">
        <v>325</v>
      </c>
      <c r="I113" s="601" t="s">
        <v>345</v>
      </c>
      <c r="J113" s="630" t="s">
        <v>338</v>
      </c>
      <c r="K113" s="630" t="s">
        <v>339</v>
      </c>
      <c r="L113" s="630" t="b">
        <v>0</v>
      </c>
      <c r="M113" s="630" t="s">
        <v>321</v>
      </c>
      <c r="N113" s="630" t="s">
        <v>340</v>
      </c>
      <c r="O113" s="630" t="s">
        <v>341</v>
      </c>
    </row>
    <row r="114" spans="1:15" x14ac:dyDescent="0.25">
      <c r="A114" s="630" t="s">
        <v>336</v>
      </c>
      <c r="B114" s="629">
        <v>0.9</v>
      </c>
      <c r="C114" s="630"/>
      <c r="D114" s="630" t="s">
        <v>319</v>
      </c>
      <c r="E114" s="630" t="s">
        <v>319</v>
      </c>
      <c r="F114" s="630" t="s">
        <v>319</v>
      </c>
      <c r="G114" s="630" t="s">
        <v>324</v>
      </c>
      <c r="H114" s="601" t="s">
        <v>325</v>
      </c>
      <c r="I114" s="601" t="s">
        <v>346</v>
      </c>
      <c r="J114" s="630" t="s">
        <v>338</v>
      </c>
      <c r="K114" s="630" t="s">
        <v>339</v>
      </c>
      <c r="L114" s="630" t="b">
        <v>0</v>
      </c>
      <c r="M114" s="630" t="s">
        <v>321</v>
      </c>
      <c r="N114" s="630" t="s">
        <v>340</v>
      </c>
      <c r="O114" s="630" t="s">
        <v>341</v>
      </c>
    </row>
    <row r="115" spans="1:15" x14ac:dyDescent="0.25">
      <c r="A115" s="630" t="s">
        <v>336</v>
      </c>
      <c r="B115" s="629">
        <v>0.9</v>
      </c>
      <c r="C115" s="630"/>
      <c r="D115" s="630" t="s">
        <v>319</v>
      </c>
      <c r="E115" s="630" t="s">
        <v>319</v>
      </c>
      <c r="F115" s="630" t="s">
        <v>319</v>
      </c>
      <c r="G115" s="630" t="s">
        <v>324</v>
      </c>
      <c r="H115" s="601" t="s">
        <v>325</v>
      </c>
      <c r="I115" s="601" t="s">
        <v>347</v>
      </c>
      <c r="J115" s="630" t="s">
        <v>338</v>
      </c>
      <c r="K115" s="630" t="s">
        <v>339</v>
      </c>
      <c r="L115" s="630" t="b">
        <v>0</v>
      </c>
      <c r="M115" s="630" t="s">
        <v>321</v>
      </c>
      <c r="N115" s="630" t="s">
        <v>340</v>
      </c>
      <c r="O115" s="630" t="s">
        <v>341</v>
      </c>
    </row>
    <row r="116" spans="1:15" x14ac:dyDescent="0.25">
      <c r="A116" s="630" t="s">
        <v>336</v>
      </c>
      <c r="B116" s="629">
        <v>0.9</v>
      </c>
      <c r="C116" s="630"/>
      <c r="D116" s="630" t="s">
        <v>319</v>
      </c>
      <c r="E116" s="630" t="s">
        <v>319</v>
      </c>
      <c r="F116" s="630" t="s">
        <v>319</v>
      </c>
      <c r="G116" s="630" t="s">
        <v>324</v>
      </c>
      <c r="H116" s="601" t="s">
        <v>325</v>
      </c>
      <c r="I116" s="601" t="s">
        <v>348</v>
      </c>
      <c r="J116" s="630" t="s">
        <v>338</v>
      </c>
      <c r="K116" s="630" t="s">
        <v>339</v>
      </c>
      <c r="L116" s="630" t="b">
        <v>0</v>
      </c>
      <c r="M116" s="630" t="s">
        <v>321</v>
      </c>
      <c r="N116" s="630" t="s">
        <v>340</v>
      </c>
      <c r="O116" s="630" t="s">
        <v>341</v>
      </c>
    </row>
    <row r="117" spans="1:15" x14ac:dyDescent="0.25">
      <c r="A117" s="630" t="s">
        <v>336</v>
      </c>
      <c r="B117" s="629">
        <v>0.9</v>
      </c>
      <c r="C117" s="630"/>
      <c r="D117" s="630" t="s">
        <v>319</v>
      </c>
      <c r="E117" s="630" t="s">
        <v>319</v>
      </c>
      <c r="F117" s="630" t="s">
        <v>319</v>
      </c>
      <c r="G117" s="630" t="s">
        <v>324</v>
      </c>
      <c r="H117" s="601" t="s">
        <v>325</v>
      </c>
      <c r="I117" s="601" t="s">
        <v>349</v>
      </c>
      <c r="J117" s="630" t="s">
        <v>338</v>
      </c>
      <c r="K117" s="630" t="s">
        <v>339</v>
      </c>
      <c r="L117" s="630" t="b">
        <v>0</v>
      </c>
      <c r="M117" s="630" t="s">
        <v>321</v>
      </c>
      <c r="N117" s="630" t="s">
        <v>340</v>
      </c>
      <c r="O117" s="630" t="s">
        <v>341</v>
      </c>
    </row>
    <row r="118" spans="1:15" x14ac:dyDescent="0.25">
      <c r="A118" s="630" t="s">
        <v>336</v>
      </c>
      <c r="B118" s="629">
        <v>0.9</v>
      </c>
      <c r="C118" s="630"/>
      <c r="D118" s="630" t="s">
        <v>319</v>
      </c>
      <c r="E118" s="630" t="s">
        <v>319</v>
      </c>
      <c r="F118" s="630" t="s">
        <v>319</v>
      </c>
      <c r="G118" s="630" t="s">
        <v>324</v>
      </c>
      <c r="H118" s="601" t="s">
        <v>325</v>
      </c>
      <c r="I118" s="601" t="s">
        <v>350</v>
      </c>
      <c r="J118" s="630" t="s">
        <v>338</v>
      </c>
      <c r="K118" s="630" t="s">
        <v>339</v>
      </c>
      <c r="L118" s="630" t="b">
        <v>0</v>
      </c>
      <c r="M118" s="630" t="s">
        <v>321</v>
      </c>
      <c r="N118" s="630" t="s">
        <v>340</v>
      </c>
      <c r="O118" s="630" t="s">
        <v>341</v>
      </c>
    </row>
    <row r="119" spans="1:15" x14ac:dyDescent="0.25">
      <c r="A119" s="630" t="s">
        <v>336</v>
      </c>
      <c r="B119" s="629">
        <v>0.9</v>
      </c>
      <c r="C119" s="630"/>
      <c r="D119" s="630" t="s">
        <v>319</v>
      </c>
      <c r="E119" s="630" t="s">
        <v>319</v>
      </c>
      <c r="F119" s="630" t="s">
        <v>319</v>
      </c>
      <c r="G119" s="630" t="s">
        <v>324</v>
      </c>
      <c r="H119" s="601" t="s">
        <v>325</v>
      </c>
      <c r="I119" s="601" t="s">
        <v>351</v>
      </c>
      <c r="J119" s="630" t="s">
        <v>338</v>
      </c>
      <c r="K119" s="630" t="s">
        <v>339</v>
      </c>
      <c r="L119" s="630" t="b">
        <v>0</v>
      </c>
      <c r="M119" s="630" t="s">
        <v>321</v>
      </c>
      <c r="N119" s="630" t="s">
        <v>340</v>
      </c>
      <c r="O119" s="630" t="s">
        <v>341</v>
      </c>
    </row>
    <row r="120" spans="1:15" x14ac:dyDescent="0.25">
      <c r="A120" s="630" t="s">
        <v>336</v>
      </c>
      <c r="B120" s="629">
        <v>0.9</v>
      </c>
      <c r="C120" s="630"/>
      <c r="D120" s="630" t="s">
        <v>319</v>
      </c>
      <c r="E120" s="630" t="s">
        <v>319</v>
      </c>
      <c r="F120" s="630" t="s">
        <v>319</v>
      </c>
      <c r="G120" s="630" t="s">
        <v>324</v>
      </c>
      <c r="H120" s="601" t="s">
        <v>325</v>
      </c>
      <c r="I120" s="601" t="s">
        <v>352</v>
      </c>
      <c r="J120" s="630" t="s">
        <v>338</v>
      </c>
      <c r="K120" s="630" t="s">
        <v>339</v>
      </c>
      <c r="L120" s="630" t="b">
        <v>0</v>
      </c>
      <c r="M120" s="630" t="s">
        <v>321</v>
      </c>
      <c r="N120" s="630" t="s">
        <v>340</v>
      </c>
      <c r="O120" s="630" t="s">
        <v>341</v>
      </c>
    </row>
    <row r="121" spans="1:15" x14ac:dyDescent="0.25">
      <c r="A121" s="630" t="s">
        <v>336</v>
      </c>
      <c r="B121" s="629">
        <v>0.9</v>
      </c>
      <c r="C121" s="630"/>
      <c r="D121" s="630" t="s">
        <v>319</v>
      </c>
      <c r="E121" s="630" t="s">
        <v>319</v>
      </c>
      <c r="F121" s="630" t="s">
        <v>319</v>
      </c>
      <c r="G121" s="630" t="s">
        <v>324</v>
      </c>
      <c r="H121" s="601" t="s">
        <v>325</v>
      </c>
      <c r="I121" s="601" t="s">
        <v>353</v>
      </c>
      <c r="J121" s="630" t="s">
        <v>338</v>
      </c>
      <c r="K121" s="630" t="s">
        <v>339</v>
      </c>
      <c r="L121" s="630" t="b">
        <v>0</v>
      </c>
      <c r="M121" s="630" t="s">
        <v>321</v>
      </c>
      <c r="N121" s="630" t="s">
        <v>340</v>
      </c>
      <c r="O121" s="630" t="s">
        <v>341</v>
      </c>
    </row>
    <row r="122" spans="1:15" x14ac:dyDescent="0.25">
      <c r="A122" s="630" t="s">
        <v>336</v>
      </c>
      <c r="B122" s="629">
        <v>0.9</v>
      </c>
      <c r="C122" s="630"/>
      <c r="D122" s="630" t="s">
        <v>319</v>
      </c>
      <c r="E122" s="630" t="s">
        <v>319</v>
      </c>
      <c r="F122" s="630" t="s">
        <v>319</v>
      </c>
      <c r="G122" s="630" t="s">
        <v>324</v>
      </c>
      <c r="H122" s="601" t="s">
        <v>325</v>
      </c>
      <c r="I122" s="601" t="s">
        <v>354</v>
      </c>
      <c r="J122" s="630" t="s">
        <v>338</v>
      </c>
      <c r="K122" s="630" t="s">
        <v>339</v>
      </c>
      <c r="L122" s="630" t="b">
        <v>0</v>
      </c>
      <c r="M122" s="630" t="s">
        <v>321</v>
      </c>
      <c r="N122" s="630" t="s">
        <v>340</v>
      </c>
      <c r="O122" s="630" t="s">
        <v>341</v>
      </c>
    </row>
    <row r="123" spans="1:15" x14ac:dyDescent="0.25">
      <c r="A123" s="630" t="s">
        <v>336</v>
      </c>
      <c r="B123" s="629">
        <v>0.9</v>
      </c>
      <c r="C123" s="630"/>
      <c r="D123" s="630" t="s">
        <v>319</v>
      </c>
      <c r="E123" s="630" t="s">
        <v>319</v>
      </c>
      <c r="F123" s="630" t="s">
        <v>319</v>
      </c>
      <c r="G123" s="630" t="s">
        <v>324</v>
      </c>
      <c r="H123" s="601" t="s">
        <v>325</v>
      </c>
      <c r="I123" s="601" t="s">
        <v>355</v>
      </c>
      <c r="J123" s="630" t="s">
        <v>338</v>
      </c>
      <c r="K123" s="630" t="s">
        <v>339</v>
      </c>
      <c r="L123" s="630" t="b">
        <v>0</v>
      </c>
      <c r="M123" s="630" t="s">
        <v>321</v>
      </c>
      <c r="N123" s="630" t="s">
        <v>340</v>
      </c>
      <c r="O123" s="630" t="s">
        <v>341</v>
      </c>
    </row>
    <row r="124" spans="1:15" x14ac:dyDescent="0.25">
      <c r="A124" s="630" t="s">
        <v>336</v>
      </c>
      <c r="B124" s="629">
        <v>1</v>
      </c>
      <c r="C124" s="630"/>
      <c r="D124" s="630" t="s">
        <v>319</v>
      </c>
      <c r="E124" s="630" t="s">
        <v>319</v>
      </c>
      <c r="F124" s="630" t="s">
        <v>319</v>
      </c>
      <c r="G124" s="630" t="s">
        <v>324</v>
      </c>
      <c r="H124" s="601" t="s">
        <v>325</v>
      </c>
      <c r="I124" s="601" t="s">
        <v>356</v>
      </c>
      <c r="J124" s="630" t="s">
        <v>338</v>
      </c>
      <c r="K124" s="630" t="s">
        <v>339</v>
      </c>
      <c r="L124" s="630" t="b">
        <v>0</v>
      </c>
      <c r="M124" s="630" t="s">
        <v>321</v>
      </c>
      <c r="N124" s="630" t="s">
        <v>340</v>
      </c>
      <c r="O124" s="630" t="s">
        <v>341</v>
      </c>
    </row>
    <row r="125" spans="1:15" x14ac:dyDescent="0.25">
      <c r="A125" s="630" t="s">
        <v>336</v>
      </c>
      <c r="B125" s="629">
        <v>1</v>
      </c>
      <c r="C125" s="630"/>
      <c r="D125" s="630" t="s">
        <v>319</v>
      </c>
      <c r="E125" s="630" t="s">
        <v>319</v>
      </c>
      <c r="F125" s="630" t="s">
        <v>319</v>
      </c>
      <c r="G125" s="630" t="s">
        <v>324</v>
      </c>
      <c r="H125" s="601" t="s">
        <v>325</v>
      </c>
      <c r="I125" s="601" t="s">
        <v>357</v>
      </c>
      <c r="J125" s="630" t="s">
        <v>338</v>
      </c>
      <c r="K125" s="630" t="s">
        <v>339</v>
      </c>
      <c r="L125" s="630" t="b">
        <v>0</v>
      </c>
      <c r="M125" s="630" t="s">
        <v>321</v>
      </c>
      <c r="N125" s="630" t="s">
        <v>340</v>
      </c>
      <c r="O125" s="630" t="s">
        <v>341</v>
      </c>
    </row>
    <row r="126" spans="1:15" x14ac:dyDescent="0.25">
      <c r="A126" s="630" t="s">
        <v>336</v>
      </c>
      <c r="B126" s="629">
        <v>1</v>
      </c>
      <c r="C126" s="630"/>
      <c r="D126" s="630" t="s">
        <v>319</v>
      </c>
      <c r="E126" s="630" t="s">
        <v>319</v>
      </c>
      <c r="F126" s="630" t="s">
        <v>319</v>
      </c>
      <c r="G126" s="630" t="s">
        <v>324</v>
      </c>
      <c r="H126" s="601" t="s">
        <v>325</v>
      </c>
      <c r="I126" s="601" t="s">
        <v>358</v>
      </c>
      <c r="J126" s="630" t="s">
        <v>338</v>
      </c>
      <c r="K126" s="630" t="s">
        <v>339</v>
      </c>
      <c r="L126" s="630" t="b">
        <v>0</v>
      </c>
      <c r="M126" s="630" t="s">
        <v>321</v>
      </c>
      <c r="N126" s="630" t="s">
        <v>340</v>
      </c>
      <c r="O126" s="630" t="s">
        <v>341</v>
      </c>
    </row>
    <row r="127" spans="1:15" x14ac:dyDescent="0.25">
      <c r="A127" s="630" t="s">
        <v>336</v>
      </c>
      <c r="B127" s="629">
        <v>1</v>
      </c>
      <c r="C127" s="630"/>
      <c r="D127" s="630" t="s">
        <v>319</v>
      </c>
      <c r="E127" s="630" t="s">
        <v>319</v>
      </c>
      <c r="F127" s="630" t="s">
        <v>319</v>
      </c>
      <c r="G127" s="630" t="s">
        <v>324</v>
      </c>
      <c r="H127" s="601" t="s">
        <v>325</v>
      </c>
      <c r="I127" s="601" t="s">
        <v>359</v>
      </c>
      <c r="J127" s="630" t="s">
        <v>338</v>
      </c>
      <c r="K127" s="630" t="s">
        <v>339</v>
      </c>
      <c r="L127" s="630" t="b">
        <v>0</v>
      </c>
      <c r="M127" s="630" t="s">
        <v>321</v>
      </c>
      <c r="N127" s="630" t="s">
        <v>340</v>
      </c>
      <c r="O127" s="630" t="s">
        <v>341</v>
      </c>
    </row>
    <row r="128" spans="1:15" x14ac:dyDescent="0.25">
      <c r="A128" s="630" t="s">
        <v>336</v>
      </c>
      <c r="B128" s="629">
        <v>1</v>
      </c>
      <c r="C128" s="630"/>
      <c r="D128" s="630" t="s">
        <v>319</v>
      </c>
      <c r="E128" s="630" t="s">
        <v>319</v>
      </c>
      <c r="F128" s="630" t="s">
        <v>319</v>
      </c>
      <c r="G128" s="630" t="s">
        <v>324</v>
      </c>
      <c r="H128" s="601" t="s">
        <v>325</v>
      </c>
      <c r="I128" s="601" t="s">
        <v>360</v>
      </c>
      <c r="J128" s="630" t="s">
        <v>338</v>
      </c>
      <c r="K128" s="630" t="s">
        <v>339</v>
      </c>
      <c r="L128" s="630" t="b">
        <v>0</v>
      </c>
      <c r="M128" s="630" t="s">
        <v>321</v>
      </c>
      <c r="N128" s="630" t="s">
        <v>340</v>
      </c>
      <c r="O128" s="630" t="s">
        <v>341</v>
      </c>
    </row>
    <row r="129" spans="1:15" x14ac:dyDescent="0.25">
      <c r="A129" s="630" t="s">
        <v>336</v>
      </c>
      <c r="B129" s="629">
        <v>1</v>
      </c>
      <c r="C129" s="630"/>
      <c r="D129" s="630" t="s">
        <v>319</v>
      </c>
      <c r="E129" s="630" t="s">
        <v>319</v>
      </c>
      <c r="F129" s="630" t="s">
        <v>319</v>
      </c>
      <c r="G129" s="630" t="s">
        <v>324</v>
      </c>
      <c r="H129" s="601" t="s">
        <v>325</v>
      </c>
      <c r="I129" s="601" t="s">
        <v>361</v>
      </c>
      <c r="J129" s="630" t="s">
        <v>338</v>
      </c>
      <c r="K129" s="630" t="s">
        <v>339</v>
      </c>
      <c r="L129" s="630" t="b">
        <v>0</v>
      </c>
      <c r="M129" s="630" t="s">
        <v>321</v>
      </c>
      <c r="N129" s="630" t="s">
        <v>340</v>
      </c>
      <c r="O129" s="630" t="s">
        <v>341</v>
      </c>
    </row>
    <row r="130" spans="1:15" x14ac:dyDescent="0.25">
      <c r="A130" s="630" t="s">
        <v>336</v>
      </c>
      <c r="B130" s="629">
        <v>1</v>
      </c>
      <c r="C130" s="630"/>
      <c r="D130" s="630" t="s">
        <v>319</v>
      </c>
      <c r="E130" s="630" t="s">
        <v>319</v>
      </c>
      <c r="F130" s="630" t="s">
        <v>319</v>
      </c>
      <c r="G130" s="630" t="s">
        <v>324</v>
      </c>
      <c r="H130" s="601" t="s">
        <v>325</v>
      </c>
      <c r="I130" s="601" t="s">
        <v>362</v>
      </c>
      <c r="J130" s="630" t="s">
        <v>338</v>
      </c>
      <c r="K130" s="630" t="s">
        <v>339</v>
      </c>
      <c r="L130" s="630" t="b">
        <v>0</v>
      </c>
      <c r="M130" s="630" t="s">
        <v>321</v>
      </c>
      <c r="N130" s="630" t="s">
        <v>340</v>
      </c>
      <c r="O130" s="630" t="s">
        <v>341</v>
      </c>
    </row>
    <row r="131" spans="1:15" x14ac:dyDescent="0.25">
      <c r="A131" s="630" t="s">
        <v>336</v>
      </c>
      <c r="B131" s="629">
        <v>1</v>
      </c>
      <c r="C131" s="630"/>
      <c r="D131" s="630" t="s">
        <v>319</v>
      </c>
      <c r="E131" s="630" t="s">
        <v>319</v>
      </c>
      <c r="F131" s="630" t="s">
        <v>319</v>
      </c>
      <c r="G131" s="630" t="s">
        <v>324</v>
      </c>
      <c r="H131" s="601" t="s">
        <v>325</v>
      </c>
      <c r="I131" s="601" t="s">
        <v>363</v>
      </c>
      <c r="J131" s="630" t="s">
        <v>338</v>
      </c>
      <c r="K131" s="630" t="s">
        <v>339</v>
      </c>
      <c r="L131" s="630" t="b">
        <v>0</v>
      </c>
      <c r="M131" s="630" t="s">
        <v>321</v>
      </c>
      <c r="N131" s="630" t="s">
        <v>340</v>
      </c>
      <c r="O131" s="630" t="s">
        <v>341</v>
      </c>
    </row>
    <row r="132" spans="1:15" x14ac:dyDescent="0.25">
      <c r="A132" s="630" t="s">
        <v>336</v>
      </c>
      <c r="B132" s="629">
        <v>1</v>
      </c>
      <c r="C132" s="630"/>
      <c r="D132" s="630" t="s">
        <v>319</v>
      </c>
      <c r="E132" s="630" t="s">
        <v>319</v>
      </c>
      <c r="F132" s="630" t="s">
        <v>319</v>
      </c>
      <c r="G132" s="630" t="s">
        <v>324</v>
      </c>
      <c r="H132" s="601" t="s">
        <v>325</v>
      </c>
      <c r="I132" s="601" t="s">
        <v>364</v>
      </c>
      <c r="J132" s="630" t="s">
        <v>338</v>
      </c>
      <c r="K132" s="630" t="s">
        <v>339</v>
      </c>
      <c r="L132" s="630" t="b">
        <v>0</v>
      </c>
      <c r="M132" s="630" t="s">
        <v>321</v>
      </c>
      <c r="N132" s="630" t="s">
        <v>340</v>
      </c>
      <c r="O132" s="630" t="s">
        <v>341</v>
      </c>
    </row>
    <row r="133" spans="1:15" x14ac:dyDescent="0.25">
      <c r="A133" s="630" t="s">
        <v>336</v>
      </c>
      <c r="B133" s="629">
        <v>1</v>
      </c>
      <c r="C133" s="630"/>
      <c r="D133" s="630" t="s">
        <v>319</v>
      </c>
      <c r="E133" s="630" t="s">
        <v>319</v>
      </c>
      <c r="F133" s="630" t="s">
        <v>319</v>
      </c>
      <c r="G133" s="630" t="s">
        <v>324</v>
      </c>
      <c r="H133" s="601" t="s">
        <v>325</v>
      </c>
      <c r="I133" s="601" t="s">
        <v>365</v>
      </c>
      <c r="J133" s="630" t="s">
        <v>338</v>
      </c>
      <c r="K133" s="630" t="s">
        <v>339</v>
      </c>
      <c r="L133" s="630" t="b">
        <v>0</v>
      </c>
      <c r="M133" s="630" t="s">
        <v>321</v>
      </c>
      <c r="N133" s="630" t="s">
        <v>340</v>
      </c>
      <c r="O133" s="630" t="s">
        <v>341</v>
      </c>
    </row>
    <row r="134" spans="1:15" x14ac:dyDescent="0.25">
      <c r="A134" s="630" t="s">
        <v>336</v>
      </c>
      <c r="B134" s="629">
        <v>1.1499999999999999</v>
      </c>
      <c r="C134" s="630"/>
      <c r="D134" s="630" t="s">
        <v>319</v>
      </c>
      <c r="E134" s="630" t="s">
        <v>319</v>
      </c>
      <c r="F134" s="630" t="s">
        <v>319</v>
      </c>
      <c r="G134" s="630" t="s">
        <v>324</v>
      </c>
      <c r="H134" s="601" t="s">
        <v>325</v>
      </c>
      <c r="I134" s="601" t="s">
        <v>366</v>
      </c>
      <c r="J134" s="630" t="s">
        <v>338</v>
      </c>
      <c r="K134" s="630" t="s">
        <v>339</v>
      </c>
      <c r="L134" s="630" t="b">
        <v>0</v>
      </c>
      <c r="M134" s="630" t="s">
        <v>321</v>
      </c>
      <c r="N134" s="630" t="s">
        <v>340</v>
      </c>
      <c r="O134" s="630" t="s">
        <v>341</v>
      </c>
    </row>
    <row r="135" spans="1:15" x14ac:dyDescent="0.25">
      <c r="A135" s="630" t="s">
        <v>336</v>
      </c>
      <c r="B135" s="629">
        <v>1.1499999999999999</v>
      </c>
      <c r="C135" s="630"/>
      <c r="D135" s="630" t="s">
        <v>319</v>
      </c>
      <c r="E135" s="630" t="s">
        <v>319</v>
      </c>
      <c r="F135" s="630" t="s">
        <v>319</v>
      </c>
      <c r="G135" s="630" t="s">
        <v>324</v>
      </c>
      <c r="H135" s="601" t="s">
        <v>325</v>
      </c>
      <c r="I135" s="601" t="s">
        <v>367</v>
      </c>
      <c r="J135" s="630" t="s">
        <v>338</v>
      </c>
      <c r="K135" s="630" t="s">
        <v>339</v>
      </c>
      <c r="L135" s="630" t="b">
        <v>0</v>
      </c>
      <c r="M135" s="630" t="s">
        <v>321</v>
      </c>
      <c r="N135" s="630" t="s">
        <v>340</v>
      </c>
      <c r="O135" s="630" t="s">
        <v>341</v>
      </c>
    </row>
    <row r="136" spans="1:15" x14ac:dyDescent="0.25">
      <c r="A136" s="630" t="s">
        <v>336</v>
      </c>
      <c r="B136" s="629">
        <v>1.1499999999999999</v>
      </c>
      <c r="C136" s="630"/>
      <c r="D136" s="630" t="s">
        <v>319</v>
      </c>
      <c r="E136" s="630" t="s">
        <v>319</v>
      </c>
      <c r="F136" s="630" t="s">
        <v>319</v>
      </c>
      <c r="G136" s="630" t="s">
        <v>324</v>
      </c>
      <c r="H136" s="601" t="s">
        <v>325</v>
      </c>
      <c r="I136" s="601" t="s">
        <v>368</v>
      </c>
      <c r="J136" s="630" t="s">
        <v>338</v>
      </c>
      <c r="K136" s="630" t="s">
        <v>339</v>
      </c>
      <c r="L136" s="630" t="b">
        <v>0</v>
      </c>
      <c r="M136" s="630" t="s">
        <v>321</v>
      </c>
      <c r="N136" s="630" t="s">
        <v>340</v>
      </c>
      <c r="O136" s="630" t="s">
        <v>341</v>
      </c>
    </row>
    <row r="137" spans="1:15" x14ac:dyDescent="0.25">
      <c r="A137" s="630" t="s">
        <v>336</v>
      </c>
      <c r="B137" s="629">
        <v>1.1499999999999999</v>
      </c>
      <c r="C137" s="630"/>
      <c r="D137" s="630" t="s">
        <v>319</v>
      </c>
      <c r="E137" s="630" t="s">
        <v>319</v>
      </c>
      <c r="F137" s="630" t="s">
        <v>319</v>
      </c>
      <c r="G137" s="630" t="s">
        <v>324</v>
      </c>
      <c r="H137" s="601" t="s">
        <v>325</v>
      </c>
      <c r="I137" s="601" t="s">
        <v>369</v>
      </c>
      <c r="J137" s="630" t="s">
        <v>338</v>
      </c>
      <c r="K137" s="630" t="s">
        <v>339</v>
      </c>
      <c r="L137" s="630" t="b">
        <v>0</v>
      </c>
      <c r="M137" s="630" t="s">
        <v>321</v>
      </c>
      <c r="N137" s="630" t="s">
        <v>340</v>
      </c>
      <c r="O137" s="630" t="s">
        <v>341</v>
      </c>
    </row>
    <row r="138" spans="1:15" x14ac:dyDescent="0.25">
      <c r="A138" s="630" t="s">
        <v>336</v>
      </c>
      <c r="B138" s="629">
        <v>1.1499999999999999</v>
      </c>
      <c r="C138" s="630"/>
      <c r="D138" s="630" t="s">
        <v>319</v>
      </c>
      <c r="E138" s="630" t="s">
        <v>319</v>
      </c>
      <c r="F138" s="630" t="s">
        <v>319</v>
      </c>
      <c r="G138" s="630" t="s">
        <v>324</v>
      </c>
      <c r="H138" s="601" t="s">
        <v>325</v>
      </c>
      <c r="I138" s="601" t="s">
        <v>370</v>
      </c>
      <c r="J138" s="630" t="s">
        <v>338</v>
      </c>
      <c r="K138" s="630" t="s">
        <v>339</v>
      </c>
      <c r="L138" s="630" t="b">
        <v>0</v>
      </c>
      <c r="M138" s="630" t="s">
        <v>321</v>
      </c>
      <c r="N138" s="630" t="s">
        <v>340</v>
      </c>
      <c r="O138" s="630" t="s">
        <v>341</v>
      </c>
    </row>
    <row r="139" spans="1:15" x14ac:dyDescent="0.25">
      <c r="A139" s="630" t="s">
        <v>336</v>
      </c>
      <c r="B139" s="629">
        <v>1.1499999999999999</v>
      </c>
      <c r="C139" s="630"/>
      <c r="D139" s="630" t="s">
        <v>319</v>
      </c>
      <c r="E139" s="630" t="s">
        <v>319</v>
      </c>
      <c r="F139" s="630" t="s">
        <v>319</v>
      </c>
      <c r="G139" s="630" t="s">
        <v>324</v>
      </c>
      <c r="H139" s="601" t="s">
        <v>325</v>
      </c>
      <c r="I139" s="601" t="s">
        <v>371</v>
      </c>
      <c r="J139" s="630" t="s">
        <v>338</v>
      </c>
      <c r="K139" s="630" t="s">
        <v>339</v>
      </c>
      <c r="L139" s="630" t="b">
        <v>0</v>
      </c>
      <c r="M139" s="630" t="s">
        <v>321</v>
      </c>
      <c r="N139" s="630" t="s">
        <v>340</v>
      </c>
      <c r="O139" s="630" t="s">
        <v>341</v>
      </c>
    </row>
    <row r="140" spans="1:15" x14ac:dyDescent="0.25">
      <c r="A140" s="630" t="s">
        <v>336</v>
      </c>
      <c r="B140" s="629">
        <v>1.1499999999999999</v>
      </c>
      <c r="C140" s="630"/>
      <c r="D140" s="630" t="s">
        <v>319</v>
      </c>
      <c r="E140" s="630" t="s">
        <v>319</v>
      </c>
      <c r="F140" s="630" t="s">
        <v>319</v>
      </c>
      <c r="G140" s="630" t="s">
        <v>324</v>
      </c>
      <c r="H140" s="601" t="s">
        <v>325</v>
      </c>
      <c r="I140" s="601" t="s">
        <v>372</v>
      </c>
      <c r="J140" s="630" t="s">
        <v>338</v>
      </c>
      <c r="K140" s="630" t="s">
        <v>339</v>
      </c>
      <c r="L140" s="630" t="b">
        <v>0</v>
      </c>
      <c r="M140" s="630" t="s">
        <v>321</v>
      </c>
      <c r="N140" s="630" t="s">
        <v>340</v>
      </c>
      <c r="O140" s="630" t="s">
        <v>341</v>
      </c>
    </row>
    <row r="141" spans="1:15" x14ac:dyDescent="0.25">
      <c r="A141" s="630" t="s">
        <v>336</v>
      </c>
      <c r="B141" s="629">
        <v>1.1499999999999999</v>
      </c>
      <c r="C141" s="630"/>
      <c r="D141" s="630" t="s">
        <v>319</v>
      </c>
      <c r="E141" s="630" t="s">
        <v>319</v>
      </c>
      <c r="F141" s="630" t="s">
        <v>319</v>
      </c>
      <c r="G141" s="630" t="s">
        <v>324</v>
      </c>
      <c r="H141" s="601" t="s">
        <v>325</v>
      </c>
      <c r="I141" s="601" t="s">
        <v>373</v>
      </c>
      <c r="J141" s="630" t="s">
        <v>338</v>
      </c>
      <c r="K141" s="630" t="s">
        <v>339</v>
      </c>
      <c r="L141" s="630" t="b">
        <v>0</v>
      </c>
      <c r="M141" s="630" t="s">
        <v>321</v>
      </c>
      <c r="N141" s="630" t="s">
        <v>340</v>
      </c>
      <c r="O141" s="630" t="s">
        <v>341</v>
      </c>
    </row>
    <row r="142" spans="1:15" x14ac:dyDescent="0.25">
      <c r="A142" s="630" t="s">
        <v>336</v>
      </c>
      <c r="B142" s="629">
        <v>1.1499999999999999</v>
      </c>
      <c r="C142" s="630"/>
      <c r="D142" s="630" t="s">
        <v>319</v>
      </c>
      <c r="E142" s="630" t="s">
        <v>319</v>
      </c>
      <c r="F142" s="630" t="s">
        <v>319</v>
      </c>
      <c r="G142" s="630" t="s">
        <v>324</v>
      </c>
      <c r="H142" s="601" t="s">
        <v>325</v>
      </c>
      <c r="I142" s="601" t="s">
        <v>374</v>
      </c>
      <c r="J142" s="630" t="s">
        <v>338</v>
      </c>
      <c r="K142" s="630" t="s">
        <v>339</v>
      </c>
      <c r="L142" s="630" t="b">
        <v>0</v>
      </c>
      <c r="M142" s="630" t="s">
        <v>321</v>
      </c>
      <c r="N142" s="630" t="s">
        <v>340</v>
      </c>
      <c r="O142" s="630" t="s">
        <v>341</v>
      </c>
    </row>
    <row r="143" spans="1:15" x14ac:dyDescent="0.25">
      <c r="A143" s="630" t="s">
        <v>336</v>
      </c>
      <c r="B143" s="629">
        <v>1.1499999999999999</v>
      </c>
      <c r="C143" s="630"/>
      <c r="D143" s="630" t="s">
        <v>319</v>
      </c>
      <c r="E143" s="630" t="s">
        <v>319</v>
      </c>
      <c r="F143" s="630" t="s">
        <v>319</v>
      </c>
      <c r="G143" s="630" t="s">
        <v>324</v>
      </c>
      <c r="H143" s="601" t="s">
        <v>325</v>
      </c>
      <c r="I143" s="601" t="s">
        <v>375</v>
      </c>
      <c r="J143" s="630" t="s">
        <v>338</v>
      </c>
      <c r="K143" s="630" t="s">
        <v>339</v>
      </c>
      <c r="L143" s="630" t="b">
        <v>0</v>
      </c>
      <c r="M143" s="630" t="s">
        <v>321</v>
      </c>
      <c r="N143" s="630" t="s">
        <v>340</v>
      </c>
      <c r="O143" s="630" t="s">
        <v>341</v>
      </c>
    </row>
    <row r="144" spans="1:15" x14ac:dyDescent="0.25">
      <c r="A144" s="630" t="s">
        <v>336</v>
      </c>
      <c r="B144" s="629">
        <v>2</v>
      </c>
      <c r="C144" s="630"/>
      <c r="D144" s="630" t="s">
        <v>319</v>
      </c>
      <c r="E144" s="630" t="s">
        <v>319</v>
      </c>
      <c r="F144" s="630" t="s">
        <v>319</v>
      </c>
      <c r="G144" s="630" t="s">
        <v>324</v>
      </c>
      <c r="H144" s="601" t="s">
        <v>325</v>
      </c>
      <c r="I144" s="601" t="s">
        <v>376</v>
      </c>
      <c r="J144" s="630" t="s">
        <v>338</v>
      </c>
      <c r="K144" s="630" t="s">
        <v>339</v>
      </c>
      <c r="L144" s="630" t="b">
        <v>0</v>
      </c>
      <c r="M144" s="630" t="s">
        <v>321</v>
      </c>
      <c r="N144" s="630" t="s">
        <v>340</v>
      </c>
      <c r="O144" s="630" t="s">
        <v>341</v>
      </c>
    </row>
    <row r="145" spans="1:15" x14ac:dyDescent="0.25">
      <c r="A145" s="630" t="s">
        <v>336</v>
      </c>
      <c r="B145" s="629">
        <v>2</v>
      </c>
      <c r="C145" s="630"/>
      <c r="D145" s="630" t="s">
        <v>319</v>
      </c>
      <c r="E145" s="630" t="s">
        <v>319</v>
      </c>
      <c r="F145" s="630" t="s">
        <v>319</v>
      </c>
      <c r="G145" s="630" t="s">
        <v>324</v>
      </c>
      <c r="H145" s="601" t="s">
        <v>325</v>
      </c>
      <c r="I145" s="601" t="s">
        <v>377</v>
      </c>
      <c r="J145" s="630" t="s">
        <v>338</v>
      </c>
      <c r="K145" s="630" t="s">
        <v>339</v>
      </c>
      <c r="L145" s="630" t="b">
        <v>0</v>
      </c>
      <c r="M145" s="630" t="s">
        <v>321</v>
      </c>
      <c r="N145" s="630" t="s">
        <v>340</v>
      </c>
      <c r="O145" s="630" t="s">
        <v>341</v>
      </c>
    </row>
    <row r="146" spans="1:15" x14ac:dyDescent="0.25">
      <c r="A146" s="630" t="s">
        <v>336</v>
      </c>
      <c r="B146" s="629">
        <v>2</v>
      </c>
      <c r="C146" s="630"/>
      <c r="D146" s="630" t="s">
        <v>319</v>
      </c>
      <c r="E146" s="630" t="s">
        <v>319</v>
      </c>
      <c r="F146" s="630" t="s">
        <v>319</v>
      </c>
      <c r="G146" s="630" t="s">
        <v>324</v>
      </c>
      <c r="H146" s="601" t="s">
        <v>325</v>
      </c>
      <c r="I146" s="601" t="s">
        <v>378</v>
      </c>
      <c r="J146" s="630" t="s">
        <v>338</v>
      </c>
      <c r="K146" s="630" t="s">
        <v>339</v>
      </c>
      <c r="L146" s="630" t="b">
        <v>0</v>
      </c>
      <c r="M146" s="630" t="s">
        <v>321</v>
      </c>
      <c r="N146" s="630" t="s">
        <v>340</v>
      </c>
      <c r="O146" s="630" t="s">
        <v>341</v>
      </c>
    </row>
    <row r="147" spans="1:15" x14ac:dyDescent="0.25">
      <c r="A147" s="630" t="s">
        <v>336</v>
      </c>
      <c r="B147" s="629">
        <v>2</v>
      </c>
      <c r="C147" s="630"/>
      <c r="D147" s="630" t="s">
        <v>319</v>
      </c>
      <c r="E147" s="630" t="s">
        <v>319</v>
      </c>
      <c r="F147" s="630" t="s">
        <v>319</v>
      </c>
      <c r="G147" s="630" t="s">
        <v>324</v>
      </c>
      <c r="H147" s="601" t="s">
        <v>325</v>
      </c>
      <c r="I147" s="601" t="s">
        <v>379</v>
      </c>
      <c r="J147" s="630" t="s">
        <v>338</v>
      </c>
      <c r="K147" s="630" t="s">
        <v>339</v>
      </c>
      <c r="L147" s="630" t="b">
        <v>0</v>
      </c>
      <c r="M147" s="630" t="s">
        <v>321</v>
      </c>
      <c r="N147" s="630" t="s">
        <v>340</v>
      </c>
      <c r="O147" s="630" t="s">
        <v>341</v>
      </c>
    </row>
    <row r="148" spans="1:15" x14ac:dyDescent="0.25">
      <c r="A148" s="630" t="s">
        <v>336</v>
      </c>
      <c r="B148" s="629">
        <v>2</v>
      </c>
      <c r="C148" s="630"/>
      <c r="D148" s="630" t="s">
        <v>319</v>
      </c>
      <c r="E148" s="630" t="s">
        <v>319</v>
      </c>
      <c r="F148" s="630" t="s">
        <v>319</v>
      </c>
      <c r="G148" s="630" t="s">
        <v>324</v>
      </c>
      <c r="H148" s="601" t="s">
        <v>325</v>
      </c>
      <c r="I148" s="601" t="s">
        <v>380</v>
      </c>
      <c r="J148" s="630" t="s">
        <v>338</v>
      </c>
      <c r="K148" s="630" t="s">
        <v>339</v>
      </c>
      <c r="L148" s="630" t="b">
        <v>0</v>
      </c>
      <c r="M148" s="630" t="s">
        <v>321</v>
      </c>
      <c r="N148" s="630" t="s">
        <v>340</v>
      </c>
      <c r="O148" s="630" t="s">
        <v>341</v>
      </c>
    </row>
    <row r="149" spans="1:15" x14ac:dyDescent="0.25">
      <c r="A149" s="630" t="s">
        <v>336</v>
      </c>
      <c r="B149" s="629">
        <v>2</v>
      </c>
      <c r="C149" s="630"/>
      <c r="D149" s="630" t="s">
        <v>319</v>
      </c>
      <c r="E149" s="630" t="s">
        <v>319</v>
      </c>
      <c r="F149" s="630" t="s">
        <v>319</v>
      </c>
      <c r="G149" s="630" t="s">
        <v>324</v>
      </c>
      <c r="H149" s="601" t="s">
        <v>325</v>
      </c>
      <c r="I149" s="601" t="s">
        <v>381</v>
      </c>
      <c r="J149" s="630" t="s">
        <v>338</v>
      </c>
      <c r="K149" s="630" t="s">
        <v>339</v>
      </c>
      <c r="L149" s="630" t="b">
        <v>0</v>
      </c>
      <c r="M149" s="630" t="s">
        <v>321</v>
      </c>
      <c r="N149" s="630" t="s">
        <v>340</v>
      </c>
      <c r="O149" s="630" t="s">
        <v>341</v>
      </c>
    </row>
    <row r="150" spans="1:15" x14ac:dyDescent="0.25">
      <c r="A150" s="630" t="s">
        <v>336</v>
      </c>
      <c r="B150" s="629">
        <v>2</v>
      </c>
      <c r="C150" s="630"/>
      <c r="D150" s="630" t="s">
        <v>319</v>
      </c>
      <c r="E150" s="630" t="s">
        <v>319</v>
      </c>
      <c r="F150" s="630" t="s">
        <v>319</v>
      </c>
      <c r="G150" s="630" t="s">
        <v>324</v>
      </c>
      <c r="H150" s="601" t="s">
        <v>325</v>
      </c>
      <c r="I150" s="601" t="s">
        <v>382</v>
      </c>
      <c r="J150" s="630" t="s">
        <v>338</v>
      </c>
      <c r="K150" s="630" t="s">
        <v>339</v>
      </c>
      <c r="L150" s="630" t="b">
        <v>0</v>
      </c>
      <c r="M150" s="630" t="s">
        <v>321</v>
      </c>
      <c r="N150" s="630" t="s">
        <v>340</v>
      </c>
      <c r="O150" s="630" t="s">
        <v>341</v>
      </c>
    </row>
    <row r="151" spans="1:15" x14ac:dyDescent="0.25">
      <c r="A151" s="630" t="s">
        <v>336</v>
      </c>
      <c r="B151" s="629">
        <v>2</v>
      </c>
      <c r="C151" s="630"/>
      <c r="D151" s="630" t="s">
        <v>319</v>
      </c>
      <c r="E151" s="630" t="s">
        <v>319</v>
      </c>
      <c r="F151" s="630" t="s">
        <v>319</v>
      </c>
      <c r="G151" s="630" t="s">
        <v>324</v>
      </c>
      <c r="H151" s="601" t="s">
        <v>325</v>
      </c>
      <c r="I151" s="601" t="s">
        <v>383</v>
      </c>
      <c r="J151" s="630" t="s">
        <v>338</v>
      </c>
      <c r="K151" s="630" t="s">
        <v>339</v>
      </c>
      <c r="L151" s="630" t="b">
        <v>0</v>
      </c>
      <c r="M151" s="630" t="s">
        <v>321</v>
      </c>
      <c r="N151" s="630" t="s">
        <v>340</v>
      </c>
      <c r="O151" s="630" t="s">
        <v>341</v>
      </c>
    </row>
    <row r="152" spans="1:15" x14ac:dyDescent="0.25">
      <c r="A152" s="630" t="s">
        <v>336</v>
      </c>
      <c r="B152" s="629">
        <v>2</v>
      </c>
      <c r="C152" s="630"/>
      <c r="D152" s="630" t="s">
        <v>319</v>
      </c>
      <c r="E152" s="630" t="s">
        <v>319</v>
      </c>
      <c r="F152" s="630" t="s">
        <v>319</v>
      </c>
      <c r="G152" s="630" t="s">
        <v>324</v>
      </c>
      <c r="H152" s="601" t="s">
        <v>325</v>
      </c>
      <c r="I152" s="601" t="s">
        <v>384</v>
      </c>
      <c r="J152" s="630" t="s">
        <v>338</v>
      </c>
      <c r="K152" s="630" t="s">
        <v>339</v>
      </c>
      <c r="L152" s="630" t="b">
        <v>0</v>
      </c>
      <c r="M152" s="630" t="s">
        <v>321</v>
      </c>
      <c r="N152" s="630" t="s">
        <v>340</v>
      </c>
      <c r="O152" s="630" t="s">
        <v>341</v>
      </c>
    </row>
    <row r="153" spans="1:15" x14ac:dyDescent="0.25">
      <c r="A153" s="630" t="s">
        <v>336</v>
      </c>
      <c r="B153" s="629">
        <v>2</v>
      </c>
      <c r="C153" s="630"/>
      <c r="D153" s="630" t="s">
        <v>319</v>
      </c>
      <c r="E153" s="630" t="s">
        <v>319</v>
      </c>
      <c r="F153" s="630" t="s">
        <v>319</v>
      </c>
      <c r="G153" s="630" t="s">
        <v>324</v>
      </c>
      <c r="H153" s="601" t="s">
        <v>325</v>
      </c>
      <c r="I153" s="601" t="s">
        <v>385</v>
      </c>
      <c r="J153" s="630" t="s">
        <v>338</v>
      </c>
      <c r="K153" s="630" t="s">
        <v>339</v>
      </c>
      <c r="L153" s="630" t="b">
        <v>0</v>
      </c>
      <c r="M153" s="630" t="s">
        <v>321</v>
      </c>
      <c r="N153" s="630" t="s">
        <v>340</v>
      </c>
      <c r="O153" s="630" t="s">
        <v>341</v>
      </c>
    </row>
    <row r="154" spans="1:15" x14ac:dyDescent="0.25">
      <c r="A154" s="630" t="s">
        <v>336</v>
      </c>
      <c r="B154" s="629">
        <v>2.5</v>
      </c>
      <c r="C154" s="630"/>
      <c r="D154" s="630" t="s">
        <v>319</v>
      </c>
      <c r="E154" s="630" t="s">
        <v>319</v>
      </c>
      <c r="F154" s="630" t="s">
        <v>319</v>
      </c>
      <c r="G154" s="630" t="s">
        <v>324</v>
      </c>
      <c r="H154" s="601" t="s">
        <v>325</v>
      </c>
      <c r="I154" s="601" t="s">
        <v>386</v>
      </c>
      <c r="J154" s="630" t="s">
        <v>338</v>
      </c>
      <c r="K154" s="630" t="s">
        <v>339</v>
      </c>
      <c r="L154" s="630" t="b">
        <v>0</v>
      </c>
      <c r="M154" s="630" t="s">
        <v>321</v>
      </c>
      <c r="N154" s="630" t="s">
        <v>340</v>
      </c>
      <c r="O154" s="630" t="s">
        <v>341</v>
      </c>
    </row>
    <row r="155" spans="1:15" x14ac:dyDescent="0.25">
      <c r="A155" s="630" t="s">
        <v>336</v>
      </c>
      <c r="B155" s="629">
        <v>2.5</v>
      </c>
      <c r="C155" s="630"/>
      <c r="D155" s="630" t="s">
        <v>319</v>
      </c>
      <c r="E155" s="630" t="s">
        <v>319</v>
      </c>
      <c r="F155" s="630" t="s">
        <v>319</v>
      </c>
      <c r="G155" s="630" t="s">
        <v>324</v>
      </c>
      <c r="H155" s="601" t="s">
        <v>325</v>
      </c>
      <c r="I155" s="601" t="s">
        <v>387</v>
      </c>
      <c r="J155" s="630" t="s">
        <v>338</v>
      </c>
      <c r="K155" s="630" t="s">
        <v>339</v>
      </c>
      <c r="L155" s="630" t="b">
        <v>0</v>
      </c>
      <c r="M155" s="630" t="s">
        <v>321</v>
      </c>
      <c r="N155" s="630" t="s">
        <v>340</v>
      </c>
      <c r="O155" s="630" t="s">
        <v>341</v>
      </c>
    </row>
    <row r="156" spans="1:15" x14ac:dyDescent="0.25">
      <c r="A156" s="630" t="s">
        <v>336</v>
      </c>
      <c r="B156" s="629">
        <v>2.5</v>
      </c>
      <c r="C156" s="630"/>
      <c r="D156" s="630" t="s">
        <v>319</v>
      </c>
      <c r="E156" s="630" t="s">
        <v>319</v>
      </c>
      <c r="F156" s="630" t="s">
        <v>319</v>
      </c>
      <c r="G156" s="630" t="s">
        <v>324</v>
      </c>
      <c r="H156" s="601" t="s">
        <v>325</v>
      </c>
      <c r="I156" s="601" t="s">
        <v>388</v>
      </c>
      <c r="J156" s="630" t="s">
        <v>338</v>
      </c>
      <c r="K156" s="630" t="s">
        <v>339</v>
      </c>
      <c r="L156" s="630" t="b">
        <v>0</v>
      </c>
      <c r="M156" s="630" t="s">
        <v>321</v>
      </c>
      <c r="N156" s="630" t="s">
        <v>340</v>
      </c>
      <c r="O156" s="630" t="s">
        <v>341</v>
      </c>
    </row>
    <row r="157" spans="1:15" x14ac:dyDescent="0.25">
      <c r="A157" s="630" t="s">
        <v>336</v>
      </c>
      <c r="B157" s="629">
        <v>2.5</v>
      </c>
      <c r="C157" s="630"/>
      <c r="D157" s="630" t="s">
        <v>319</v>
      </c>
      <c r="E157" s="630" t="s">
        <v>319</v>
      </c>
      <c r="F157" s="630" t="s">
        <v>319</v>
      </c>
      <c r="G157" s="630" t="s">
        <v>324</v>
      </c>
      <c r="H157" s="601" t="s">
        <v>325</v>
      </c>
      <c r="I157" s="601" t="s">
        <v>389</v>
      </c>
      <c r="J157" s="630" t="s">
        <v>338</v>
      </c>
      <c r="K157" s="630" t="s">
        <v>339</v>
      </c>
      <c r="L157" s="630" t="b">
        <v>0</v>
      </c>
      <c r="M157" s="630" t="s">
        <v>321</v>
      </c>
      <c r="N157" s="630" t="s">
        <v>340</v>
      </c>
      <c r="O157" s="630" t="s">
        <v>341</v>
      </c>
    </row>
    <row r="158" spans="1:15" x14ac:dyDescent="0.25">
      <c r="A158" s="630" t="s">
        <v>336</v>
      </c>
      <c r="B158" s="629">
        <v>2.5</v>
      </c>
      <c r="C158" s="630"/>
      <c r="D158" s="630" t="s">
        <v>319</v>
      </c>
      <c r="E158" s="630" t="s">
        <v>319</v>
      </c>
      <c r="F158" s="630" t="s">
        <v>319</v>
      </c>
      <c r="G158" s="630" t="s">
        <v>324</v>
      </c>
      <c r="H158" s="601" t="s">
        <v>325</v>
      </c>
      <c r="I158" s="601" t="s">
        <v>390</v>
      </c>
      <c r="J158" s="630" t="s">
        <v>338</v>
      </c>
      <c r="K158" s="630" t="s">
        <v>339</v>
      </c>
      <c r="L158" s="630" t="b">
        <v>0</v>
      </c>
      <c r="M158" s="630" t="s">
        <v>321</v>
      </c>
      <c r="N158" s="630" t="s">
        <v>340</v>
      </c>
      <c r="O158" s="630" t="s">
        <v>341</v>
      </c>
    </row>
    <row r="159" spans="1:15" x14ac:dyDescent="0.25">
      <c r="A159" s="630" t="s">
        <v>336</v>
      </c>
      <c r="B159" s="629">
        <v>2.5</v>
      </c>
      <c r="C159" s="630"/>
      <c r="D159" s="630" t="s">
        <v>319</v>
      </c>
      <c r="E159" s="630" t="s">
        <v>319</v>
      </c>
      <c r="F159" s="630" t="s">
        <v>319</v>
      </c>
      <c r="G159" s="630" t="s">
        <v>324</v>
      </c>
      <c r="H159" s="601" t="s">
        <v>325</v>
      </c>
      <c r="I159" s="601" t="s">
        <v>391</v>
      </c>
      <c r="J159" s="630" t="s">
        <v>338</v>
      </c>
      <c r="K159" s="630" t="s">
        <v>339</v>
      </c>
      <c r="L159" s="630" t="b">
        <v>0</v>
      </c>
      <c r="M159" s="630" t="s">
        <v>321</v>
      </c>
      <c r="N159" s="630" t="s">
        <v>340</v>
      </c>
      <c r="O159" s="630" t="s">
        <v>341</v>
      </c>
    </row>
    <row r="160" spans="1:15" x14ac:dyDescent="0.25">
      <c r="A160" s="630" t="s">
        <v>336</v>
      </c>
      <c r="B160" s="629">
        <v>2.5</v>
      </c>
      <c r="C160" s="630"/>
      <c r="D160" s="630" t="s">
        <v>319</v>
      </c>
      <c r="E160" s="630" t="s">
        <v>319</v>
      </c>
      <c r="F160" s="630" t="s">
        <v>319</v>
      </c>
      <c r="G160" s="630" t="s">
        <v>324</v>
      </c>
      <c r="H160" s="601" t="s">
        <v>325</v>
      </c>
      <c r="I160" s="601" t="s">
        <v>392</v>
      </c>
      <c r="J160" s="630" t="s">
        <v>338</v>
      </c>
      <c r="K160" s="630" t="s">
        <v>339</v>
      </c>
      <c r="L160" s="630" t="b">
        <v>0</v>
      </c>
      <c r="M160" s="630" t="s">
        <v>321</v>
      </c>
      <c r="N160" s="630" t="s">
        <v>340</v>
      </c>
      <c r="O160" s="630" t="s">
        <v>341</v>
      </c>
    </row>
    <row r="161" spans="1:15" x14ac:dyDescent="0.25">
      <c r="A161" s="630" t="s">
        <v>336</v>
      </c>
      <c r="B161" s="629">
        <v>2.5</v>
      </c>
      <c r="C161" s="630"/>
      <c r="D161" s="630" t="s">
        <v>319</v>
      </c>
      <c r="E161" s="630" t="s">
        <v>319</v>
      </c>
      <c r="F161" s="630" t="s">
        <v>319</v>
      </c>
      <c r="G161" s="630" t="s">
        <v>324</v>
      </c>
      <c r="H161" s="601" t="s">
        <v>325</v>
      </c>
      <c r="I161" s="601" t="s">
        <v>393</v>
      </c>
      <c r="J161" s="630" t="s">
        <v>338</v>
      </c>
      <c r="K161" s="630" t="s">
        <v>339</v>
      </c>
      <c r="L161" s="630" t="b">
        <v>0</v>
      </c>
      <c r="M161" s="630" t="s">
        <v>321</v>
      </c>
      <c r="N161" s="630" t="s">
        <v>340</v>
      </c>
      <c r="O161" s="630" t="s">
        <v>341</v>
      </c>
    </row>
    <row r="162" spans="1:15" x14ac:dyDescent="0.25">
      <c r="A162" s="630" t="s">
        <v>336</v>
      </c>
      <c r="B162" s="629">
        <v>2.5</v>
      </c>
      <c r="C162" s="630"/>
      <c r="D162" s="630" t="s">
        <v>319</v>
      </c>
      <c r="E162" s="630" t="s">
        <v>319</v>
      </c>
      <c r="F162" s="630" t="s">
        <v>319</v>
      </c>
      <c r="G162" s="630" t="s">
        <v>324</v>
      </c>
      <c r="H162" s="601" t="s">
        <v>325</v>
      </c>
      <c r="I162" s="601" t="s">
        <v>394</v>
      </c>
      <c r="J162" s="630" t="s">
        <v>338</v>
      </c>
      <c r="K162" s="630" t="s">
        <v>339</v>
      </c>
      <c r="L162" s="630" t="b">
        <v>0</v>
      </c>
      <c r="M162" s="630" t="s">
        <v>321</v>
      </c>
      <c r="N162" s="630" t="s">
        <v>340</v>
      </c>
      <c r="O162" s="630" t="s">
        <v>341</v>
      </c>
    </row>
    <row r="163" spans="1:15" x14ac:dyDescent="0.25">
      <c r="A163" s="630" t="s">
        <v>336</v>
      </c>
      <c r="B163" s="629">
        <v>2.5</v>
      </c>
      <c r="C163" s="630"/>
      <c r="D163" s="630" t="s">
        <v>319</v>
      </c>
      <c r="E163" s="630" t="s">
        <v>319</v>
      </c>
      <c r="F163" s="630" t="s">
        <v>319</v>
      </c>
      <c r="G163" s="630" t="s">
        <v>324</v>
      </c>
      <c r="H163" s="601" t="s">
        <v>325</v>
      </c>
      <c r="I163" s="601" t="s">
        <v>395</v>
      </c>
      <c r="J163" s="630" t="s">
        <v>338</v>
      </c>
      <c r="K163" s="630" t="s">
        <v>339</v>
      </c>
      <c r="L163" s="630" t="b">
        <v>0</v>
      </c>
      <c r="M163" s="630" t="s">
        <v>321</v>
      </c>
      <c r="N163" s="630" t="s">
        <v>340</v>
      </c>
      <c r="O163" s="630" t="s">
        <v>341</v>
      </c>
    </row>
    <row r="164" spans="1:15" x14ac:dyDescent="0.25">
      <c r="A164" s="630" t="s">
        <v>336</v>
      </c>
      <c r="B164" s="629">
        <v>2.5</v>
      </c>
      <c r="C164" s="630"/>
      <c r="D164" s="630" t="s">
        <v>319</v>
      </c>
      <c r="E164" s="630" t="s">
        <v>319</v>
      </c>
      <c r="F164" s="630" t="s">
        <v>319</v>
      </c>
      <c r="G164" s="630" t="s">
        <v>324</v>
      </c>
      <c r="H164" s="601" t="s">
        <v>325</v>
      </c>
      <c r="I164" s="601" t="s">
        <v>396</v>
      </c>
      <c r="J164" s="630" t="s">
        <v>338</v>
      </c>
      <c r="K164" s="630" t="s">
        <v>339</v>
      </c>
      <c r="L164" s="630" t="b">
        <v>0</v>
      </c>
      <c r="M164" s="630" t="s">
        <v>321</v>
      </c>
      <c r="N164" s="630" t="s">
        <v>340</v>
      </c>
      <c r="O164" s="630" t="s">
        <v>341</v>
      </c>
    </row>
    <row r="165" spans="1:15" x14ac:dyDescent="0.25">
      <c r="A165" s="630" t="s">
        <v>336</v>
      </c>
      <c r="B165" s="629">
        <v>2.5</v>
      </c>
      <c r="C165" s="630"/>
      <c r="D165" s="630" t="s">
        <v>319</v>
      </c>
      <c r="E165" s="630" t="s">
        <v>319</v>
      </c>
      <c r="F165" s="630" t="s">
        <v>319</v>
      </c>
      <c r="G165" s="630" t="s">
        <v>324</v>
      </c>
      <c r="H165" s="601" t="s">
        <v>325</v>
      </c>
      <c r="I165" s="601" t="s">
        <v>397</v>
      </c>
      <c r="J165" s="630" t="s">
        <v>338</v>
      </c>
      <c r="K165" s="630" t="s">
        <v>339</v>
      </c>
      <c r="L165" s="630" t="b">
        <v>0</v>
      </c>
      <c r="M165" s="630" t="s">
        <v>321</v>
      </c>
      <c r="N165" s="630" t="s">
        <v>340</v>
      </c>
      <c r="O165" s="630" t="s">
        <v>341</v>
      </c>
    </row>
    <row r="166" spans="1:15" x14ac:dyDescent="0.25">
      <c r="A166" s="630" t="s">
        <v>336</v>
      </c>
      <c r="B166" s="629">
        <v>2.5</v>
      </c>
      <c r="C166" s="630"/>
      <c r="D166" s="630" t="s">
        <v>319</v>
      </c>
      <c r="E166" s="630" t="s">
        <v>319</v>
      </c>
      <c r="F166" s="630" t="s">
        <v>319</v>
      </c>
      <c r="G166" s="630" t="s">
        <v>324</v>
      </c>
      <c r="H166" s="601" t="s">
        <v>325</v>
      </c>
      <c r="I166" s="601" t="s">
        <v>398</v>
      </c>
      <c r="J166" s="630" t="s">
        <v>338</v>
      </c>
      <c r="K166" s="630" t="s">
        <v>339</v>
      </c>
      <c r="L166" s="630" t="b">
        <v>0</v>
      </c>
      <c r="M166" s="630" t="s">
        <v>321</v>
      </c>
      <c r="N166" s="630" t="s">
        <v>340</v>
      </c>
      <c r="O166" s="630" t="s">
        <v>341</v>
      </c>
    </row>
    <row r="167" spans="1:15" x14ac:dyDescent="0.25">
      <c r="A167" s="630" t="s">
        <v>336</v>
      </c>
      <c r="B167" s="629">
        <v>2.5</v>
      </c>
      <c r="C167" s="630"/>
      <c r="D167" s="630" t="s">
        <v>319</v>
      </c>
      <c r="E167" s="630" t="s">
        <v>319</v>
      </c>
      <c r="F167" s="630" t="s">
        <v>319</v>
      </c>
      <c r="G167" s="630" t="s">
        <v>324</v>
      </c>
      <c r="H167" s="601" t="s">
        <v>325</v>
      </c>
      <c r="I167" s="601" t="s">
        <v>399</v>
      </c>
      <c r="J167" s="630" t="s">
        <v>338</v>
      </c>
      <c r="K167" s="630" t="s">
        <v>339</v>
      </c>
      <c r="L167" s="630" t="b">
        <v>0</v>
      </c>
      <c r="M167" s="630" t="s">
        <v>321</v>
      </c>
      <c r="N167" s="630" t="s">
        <v>340</v>
      </c>
      <c r="O167" s="630" t="s">
        <v>341</v>
      </c>
    </row>
    <row r="168" spans="1:15" x14ac:dyDescent="0.25">
      <c r="A168" s="630" t="s">
        <v>336</v>
      </c>
      <c r="B168" s="629">
        <v>2.5</v>
      </c>
      <c r="C168" s="630"/>
      <c r="D168" s="630" t="s">
        <v>319</v>
      </c>
      <c r="E168" s="630" t="s">
        <v>319</v>
      </c>
      <c r="F168" s="630" t="s">
        <v>319</v>
      </c>
      <c r="G168" s="630" t="s">
        <v>324</v>
      </c>
      <c r="H168" s="601" t="s">
        <v>325</v>
      </c>
      <c r="I168" s="601" t="s">
        <v>400</v>
      </c>
      <c r="J168" s="630" t="s">
        <v>338</v>
      </c>
      <c r="K168" s="630" t="s">
        <v>339</v>
      </c>
      <c r="L168" s="630" t="b">
        <v>0</v>
      </c>
      <c r="M168" s="630" t="s">
        <v>321</v>
      </c>
      <c r="N168" s="630" t="s">
        <v>340</v>
      </c>
      <c r="O168" s="630" t="s">
        <v>341</v>
      </c>
    </row>
    <row r="169" spans="1:15" x14ac:dyDescent="0.25">
      <c r="A169" s="630" t="s">
        <v>336</v>
      </c>
      <c r="B169" s="629">
        <v>2.5</v>
      </c>
      <c r="C169" s="630"/>
      <c r="D169" s="630" t="s">
        <v>319</v>
      </c>
      <c r="E169" s="630" t="s">
        <v>319</v>
      </c>
      <c r="F169" s="630" t="s">
        <v>319</v>
      </c>
      <c r="G169" s="630" t="s">
        <v>324</v>
      </c>
      <c r="H169" s="601" t="s">
        <v>325</v>
      </c>
      <c r="I169" s="601" t="s">
        <v>401</v>
      </c>
      <c r="J169" s="630" t="s">
        <v>338</v>
      </c>
      <c r="K169" s="630" t="s">
        <v>339</v>
      </c>
      <c r="L169" s="630" t="b">
        <v>0</v>
      </c>
      <c r="M169" s="630" t="s">
        <v>321</v>
      </c>
      <c r="N169" s="630" t="s">
        <v>340</v>
      </c>
      <c r="O169" s="630" t="s">
        <v>341</v>
      </c>
    </row>
    <row r="170" spans="1:15" x14ac:dyDescent="0.25">
      <c r="A170" s="630" t="s">
        <v>336</v>
      </c>
      <c r="B170" s="629">
        <v>2.5</v>
      </c>
      <c r="C170" s="630"/>
      <c r="D170" s="630" t="s">
        <v>319</v>
      </c>
      <c r="E170" s="630" t="s">
        <v>319</v>
      </c>
      <c r="F170" s="630" t="s">
        <v>319</v>
      </c>
      <c r="G170" s="630" t="s">
        <v>324</v>
      </c>
      <c r="H170" s="601" t="s">
        <v>325</v>
      </c>
      <c r="I170" s="601" t="s">
        <v>402</v>
      </c>
      <c r="J170" s="630" t="s">
        <v>338</v>
      </c>
      <c r="K170" s="630" t="s">
        <v>339</v>
      </c>
      <c r="L170" s="630" t="b">
        <v>0</v>
      </c>
      <c r="M170" s="630" t="s">
        <v>321</v>
      </c>
      <c r="N170" s="630" t="s">
        <v>340</v>
      </c>
      <c r="O170" s="630" t="s">
        <v>341</v>
      </c>
    </row>
    <row r="171" spans="1:15" x14ac:dyDescent="0.25">
      <c r="A171" s="630" t="s">
        <v>336</v>
      </c>
      <c r="B171" s="629">
        <v>2.5</v>
      </c>
      <c r="C171" s="630"/>
      <c r="D171" s="630" t="s">
        <v>319</v>
      </c>
      <c r="E171" s="630" t="s">
        <v>319</v>
      </c>
      <c r="F171" s="630" t="s">
        <v>319</v>
      </c>
      <c r="G171" s="630" t="s">
        <v>324</v>
      </c>
      <c r="H171" s="601" t="s">
        <v>325</v>
      </c>
      <c r="I171" s="601" t="s">
        <v>403</v>
      </c>
      <c r="J171" s="630" t="s">
        <v>338</v>
      </c>
      <c r="K171" s="630" t="s">
        <v>339</v>
      </c>
      <c r="L171" s="630" t="b">
        <v>0</v>
      </c>
      <c r="M171" s="630" t="s">
        <v>321</v>
      </c>
      <c r="N171" s="630" t="s">
        <v>340</v>
      </c>
      <c r="O171" s="630" t="s">
        <v>341</v>
      </c>
    </row>
    <row r="172" spans="1:15" x14ac:dyDescent="0.25">
      <c r="A172" s="630" t="s">
        <v>336</v>
      </c>
      <c r="B172" s="629">
        <v>2.5</v>
      </c>
      <c r="C172" s="630"/>
      <c r="D172" s="630" t="s">
        <v>319</v>
      </c>
      <c r="E172" s="630" t="s">
        <v>319</v>
      </c>
      <c r="F172" s="630" t="s">
        <v>319</v>
      </c>
      <c r="G172" s="630" t="s">
        <v>324</v>
      </c>
      <c r="H172" s="601" t="s">
        <v>325</v>
      </c>
      <c r="I172" s="601" t="s">
        <v>404</v>
      </c>
      <c r="J172" s="630" t="s">
        <v>338</v>
      </c>
      <c r="K172" s="630" t="s">
        <v>339</v>
      </c>
      <c r="L172" s="630" t="b">
        <v>0</v>
      </c>
      <c r="M172" s="630" t="s">
        <v>321</v>
      </c>
      <c r="N172" s="630" t="s">
        <v>340</v>
      </c>
      <c r="O172" s="630" t="s">
        <v>341</v>
      </c>
    </row>
    <row r="173" spans="1:15" x14ac:dyDescent="0.25">
      <c r="A173" s="630" t="s">
        <v>336</v>
      </c>
      <c r="B173" s="629">
        <v>2.5</v>
      </c>
      <c r="C173" s="630"/>
      <c r="D173" s="630" t="s">
        <v>319</v>
      </c>
      <c r="E173" s="630" t="s">
        <v>319</v>
      </c>
      <c r="F173" s="630" t="s">
        <v>319</v>
      </c>
      <c r="G173" s="630" t="s">
        <v>324</v>
      </c>
      <c r="H173" s="601" t="s">
        <v>325</v>
      </c>
      <c r="I173" s="601" t="s">
        <v>405</v>
      </c>
      <c r="J173" s="630" t="s">
        <v>338</v>
      </c>
      <c r="K173" s="630" t="s">
        <v>339</v>
      </c>
      <c r="L173" s="630" t="b">
        <v>0</v>
      </c>
      <c r="M173" s="630" t="s">
        <v>321</v>
      </c>
      <c r="N173" s="630" t="s">
        <v>340</v>
      </c>
      <c r="O173" s="630" t="s">
        <v>341</v>
      </c>
    </row>
    <row r="174" spans="1:15" x14ac:dyDescent="0.25">
      <c r="A174" s="630" t="s">
        <v>336</v>
      </c>
      <c r="B174" s="629">
        <v>2.5</v>
      </c>
      <c r="C174" s="630"/>
      <c r="D174" s="630" t="s">
        <v>319</v>
      </c>
      <c r="E174" s="630" t="s">
        <v>319</v>
      </c>
      <c r="F174" s="630" t="s">
        <v>319</v>
      </c>
      <c r="G174" s="630" t="s">
        <v>324</v>
      </c>
      <c r="H174" s="601" t="s">
        <v>325</v>
      </c>
      <c r="I174" s="601" t="s">
        <v>406</v>
      </c>
      <c r="J174" s="630" t="s">
        <v>338</v>
      </c>
      <c r="K174" s="630" t="s">
        <v>339</v>
      </c>
      <c r="L174" s="630" t="b">
        <v>0</v>
      </c>
      <c r="M174" s="630" t="s">
        <v>321</v>
      </c>
      <c r="N174" s="630" t="s">
        <v>340</v>
      </c>
      <c r="O174" s="630" t="s">
        <v>341</v>
      </c>
    </row>
    <row r="175" spans="1:15" x14ac:dyDescent="0.25">
      <c r="A175" s="630" t="s">
        <v>336</v>
      </c>
      <c r="B175" s="629">
        <v>2.5</v>
      </c>
      <c r="C175" s="630"/>
      <c r="D175" s="630" t="s">
        <v>319</v>
      </c>
      <c r="E175" s="630" t="s">
        <v>319</v>
      </c>
      <c r="F175" s="630" t="s">
        <v>319</v>
      </c>
      <c r="G175" s="630" t="s">
        <v>324</v>
      </c>
      <c r="H175" s="601" t="s">
        <v>325</v>
      </c>
      <c r="I175" s="601" t="s">
        <v>407</v>
      </c>
      <c r="J175" s="630" t="s">
        <v>338</v>
      </c>
      <c r="K175" s="630" t="s">
        <v>339</v>
      </c>
      <c r="L175" s="630" t="b">
        <v>0</v>
      </c>
      <c r="M175" s="630" t="s">
        <v>321</v>
      </c>
      <c r="N175" s="630" t="s">
        <v>340</v>
      </c>
      <c r="O175" s="630" t="s">
        <v>341</v>
      </c>
    </row>
    <row r="176" spans="1:15" x14ac:dyDescent="0.25">
      <c r="A176" s="630" t="s">
        <v>336</v>
      </c>
      <c r="B176" s="629">
        <v>2.5</v>
      </c>
      <c r="C176" s="630"/>
      <c r="D176" s="630" t="s">
        <v>319</v>
      </c>
      <c r="E176" s="630" t="s">
        <v>319</v>
      </c>
      <c r="F176" s="630" t="s">
        <v>319</v>
      </c>
      <c r="G176" s="630" t="s">
        <v>324</v>
      </c>
      <c r="H176" s="601" t="s">
        <v>325</v>
      </c>
      <c r="I176" s="601" t="s">
        <v>408</v>
      </c>
      <c r="J176" s="630" t="s">
        <v>338</v>
      </c>
      <c r="K176" s="630" t="s">
        <v>339</v>
      </c>
      <c r="L176" s="630" t="b">
        <v>0</v>
      </c>
      <c r="M176" s="630" t="s">
        <v>321</v>
      </c>
      <c r="N176" s="630" t="s">
        <v>340</v>
      </c>
      <c r="O176" s="630" t="s">
        <v>341</v>
      </c>
    </row>
    <row r="177" spans="1:15" x14ac:dyDescent="0.25">
      <c r="A177" s="630" t="s">
        <v>336</v>
      </c>
      <c r="B177" s="629">
        <v>2.5</v>
      </c>
      <c r="C177" s="630"/>
      <c r="D177" s="630" t="s">
        <v>319</v>
      </c>
      <c r="E177" s="630" t="s">
        <v>319</v>
      </c>
      <c r="F177" s="630" t="s">
        <v>319</v>
      </c>
      <c r="G177" s="630" t="s">
        <v>324</v>
      </c>
      <c r="H177" s="601" t="s">
        <v>325</v>
      </c>
      <c r="I177" s="601" t="s">
        <v>409</v>
      </c>
      <c r="J177" s="630" t="s">
        <v>338</v>
      </c>
      <c r="K177" s="630" t="s">
        <v>339</v>
      </c>
      <c r="L177" s="630" t="b">
        <v>0</v>
      </c>
      <c r="M177" s="630" t="s">
        <v>321</v>
      </c>
      <c r="N177" s="630" t="s">
        <v>340</v>
      </c>
      <c r="O177" s="630" t="s">
        <v>341</v>
      </c>
    </row>
    <row r="178" spans="1:15" x14ac:dyDescent="0.25">
      <c r="A178" s="630" t="s">
        <v>336</v>
      </c>
      <c r="B178" s="629">
        <v>2.5</v>
      </c>
      <c r="C178" s="630"/>
      <c r="D178" s="630" t="s">
        <v>319</v>
      </c>
      <c r="E178" s="630" t="s">
        <v>319</v>
      </c>
      <c r="F178" s="630" t="s">
        <v>319</v>
      </c>
      <c r="G178" s="630" t="s">
        <v>324</v>
      </c>
      <c r="H178" s="601" t="s">
        <v>325</v>
      </c>
      <c r="I178" s="601" t="s">
        <v>410</v>
      </c>
      <c r="J178" s="630" t="s">
        <v>338</v>
      </c>
      <c r="K178" s="630" t="s">
        <v>339</v>
      </c>
      <c r="L178" s="630" t="b">
        <v>0</v>
      </c>
      <c r="M178" s="630" t="s">
        <v>321</v>
      </c>
      <c r="N178" s="630" t="s">
        <v>340</v>
      </c>
      <c r="O178" s="630" t="s">
        <v>341</v>
      </c>
    </row>
    <row r="179" spans="1:15" x14ac:dyDescent="0.25">
      <c r="A179" s="630" t="s">
        <v>336</v>
      </c>
      <c r="B179" s="629">
        <v>2.5</v>
      </c>
      <c r="C179" s="630"/>
      <c r="D179" s="630" t="s">
        <v>319</v>
      </c>
      <c r="E179" s="630" t="s">
        <v>319</v>
      </c>
      <c r="F179" s="630" t="s">
        <v>319</v>
      </c>
      <c r="G179" s="630" t="s">
        <v>324</v>
      </c>
      <c r="H179" s="601" t="s">
        <v>325</v>
      </c>
      <c r="I179" s="601" t="s">
        <v>411</v>
      </c>
      <c r="J179" s="630" t="s">
        <v>338</v>
      </c>
      <c r="K179" s="630" t="s">
        <v>339</v>
      </c>
      <c r="L179" s="630" t="b">
        <v>0</v>
      </c>
      <c r="M179" s="630" t="s">
        <v>321</v>
      </c>
      <c r="N179" s="630" t="s">
        <v>340</v>
      </c>
      <c r="O179" s="630" t="s">
        <v>341</v>
      </c>
    </row>
    <row r="180" spans="1:15" x14ac:dyDescent="0.25">
      <c r="A180" s="630" t="s">
        <v>336</v>
      </c>
      <c r="B180" s="629">
        <v>2.5</v>
      </c>
      <c r="C180" s="630"/>
      <c r="D180" s="630" t="s">
        <v>319</v>
      </c>
      <c r="E180" s="630" t="s">
        <v>319</v>
      </c>
      <c r="F180" s="630" t="s">
        <v>319</v>
      </c>
      <c r="G180" s="630" t="s">
        <v>324</v>
      </c>
      <c r="H180" s="601" t="s">
        <v>325</v>
      </c>
      <c r="I180" s="601" t="s">
        <v>412</v>
      </c>
      <c r="J180" s="630" t="s">
        <v>338</v>
      </c>
      <c r="K180" s="630" t="s">
        <v>339</v>
      </c>
      <c r="L180" s="630" t="b">
        <v>0</v>
      </c>
      <c r="M180" s="630" t="s">
        <v>321</v>
      </c>
      <c r="N180" s="630" t="s">
        <v>340</v>
      </c>
      <c r="O180" s="630" t="s">
        <v>341</v>
      </c>
    </row>
    <row r="181" spans="1:15" x14ac:dyDescent="0.25">
      <c r="A181" s="630" t="s">
        <v>336</v>
      </c>
      <c r="B181" s="629">
        <v>2.5</v>
      </c>
      <c r="C181" s="630"/>
      <c r="D181" s="630" t="s">
        <v>319</v>
      </c>
      <c r="E181" s="630" t="s">
        <v>319</v>
      </c>
      <c r="F181" s="630" t="s">
        <v>319</v>
      </c>
      <c r="G181" s="630" t="s">
        <v>324</v>
      </c>
      <c r="H181" s="601" t="s">
        <v>325</v>
      </c>
      <c r="I181" s="601" t="s">
        <v>413</v>
      </c>
      <c r="J181" s="630" t="s">
        <v>338</v>
      </c>
      <c r="K181" s="630" t="s">
        <v>339</v>
      </c>
      <c r="L181" s="630" t="b">
        <v>0</v>
      </c>
      <c r="M181" s="630" t="s">
        <v>321</v>
      </c>
      <c r="N181" s="630" t="s">
        <v>340</v>
      </c>
      <c r="O181" s="630" t="s">
        <v>341</v>
      </c>
    </row>
    <row r="182" spans="1:15" x14ac:dyDescent="0.25">
      <c r="A182" s="630" t="s">
        <v>336</v>
      </c>
      <c r="B182" s="629">
        <v>2.5</v>
      </c>
      <c r="C182" s="630"/>
      <c r="D182" s="630" t="s">
        <v>319</v>
      </c>
      <c r="E182" s="630" t="s">
        <v>319</v>
      </c>
      <c r="F182" s="630" t="s">
        <v>319</v>
      </c>
      <c r="G182" s="630" t="s">
        <v>324</v>
      </c>
      <c r="H182" s="601" t="s">
        <v>325</v>
      </c>
      <c r="I182" s="601" t="s">
        <v>414</v>
      </c>
      <c r="J182" s="630" t="s">
        <v>338</v>
      </c>
      <c r="K182" s="630" t="s">
        <v>339</v>
      </c>
      <c r="L182" s="630" t="b">
        <v>0</v>
      </c>
      <c r="M182" s="630" t="s">
        <v>321</v>
      </c>
      <c r="N182" s="630" t="s">
        <v>340</v>
      </c>
      <c r="O182" s="630" t="s">
        <v>341</v>
      </c>
    </row>
    <row r="183" spans="1:15" x14ac:dyDescent="0.25">
      <c r="A183" s="630" t="s">
        <v>336</v>
      </c>
      <c r="B183" s="629">
        <v>2.5</v>
      </c>
      <c r="C183" s="630"/>
      <c r="D183" s="630" t="s">
        <v>319</v>
      </c>
      <c r="E183" s="630" t="s">
        <v>319</v>
      </c>
      <c r="F183" s="630" t="s">
        <v>319</v>
      </c>
      <c r="G183" s="630" t="s">
        <v>324</v>
      </c>
      <c r="H183" s="601" t="s">
        <v>325</v>
      </c>
      <c r="I183" s="601" t="s">
        <v>415</v>
      </c>
      <c r="J183" s="630" t="s">
        <v>338</v>
      </c>
      <c r="K183" s="630" t="s">
        <v>339</v>
      </c>
      <c r="L183" s="630" t="b">
        <v>0</v>
      </c>
      <c r="M183" s="630" t="s">
        <v>321</v>
      </c>
      <c r="N183" s="630" t="s">
        <v>340</v>
      </c>
      <c r="O183" s="630" t="s">
        <v>341</v>
      </c>
    </row>
    <row r="184" spans="1:15" x14ac:dyDescent="0.25">
      <c r="A184" s="630" t="s">
        <v>336</v>
      </c>
      <c r="B184" s="629">
        <v>2.5</v>
      </c>
      <c r="C184" s="630"/>
      <c r="D184" s="630" t="s">
        <v>319</v>
      </c>
      <c r="E184" s="630" t="s">
        <v>319</v>
      </c>
      <c r="F184" s="630" t="s">
        <v>319</v>
      </c>
      <c r="G184" s="630" t="s">
        <v>324</v>
      </c>
      <c r="H184" s="601" t="s">
        <v>325</v>
      </c>
      <c r="I184" s="601" t="s">
        <v>416</v>
      </c>
      <c r="J184" s="630" t="s">
        <v>338</v>
      </c>
      <c r="K184" s="630" t="s">
        <v>339</v>
      </c>
      <c r="L184" s="630" t="b">
        <v>0</v>
      </c>
      <c r="M184" s="630" t="s">
        <v>321</v>
      </c>
      <c r="N184" s="630" t="s">
        <v>340</v>
      </c>
      <c r="O184" s="630" t="s">
        <v>341</v>
      </c>
    </row>
    <row r="185" spans="1:15" x14ac:dyDescent="0.25">
      <c r="A185" s="630" t="s">
        <v>417</v>
      </c>
      <c r="B185" s="629">
        <v>1</v>
      </c>
      <c r="C185" s="630"/>
      <c r="D185" s="630" t="s">
        <v>319</v>
      </c>
      <c r="E185" s="630" t="s">
        <v>319</v>
      </c>
      <c r="F185" s="630" t="s">
        <v>319</v>
      </c>
      <c r="G185" s="630" t="s">
        <v>418</v>
      </c>
      <c r="H185" s="601" t="s">
        <v>325</v>
      </c>
      <c r="I185" s="601" t="s">
        <v>419</v>
      </c>
      <c r="J185" s="630"/>
      <c r="K185" s="630"/>
      <c r="L185" s="630"/>
      <c r="M185" s="630"/>
      <c r="N185" s="630"/>
      <c r="O185" s="630"/>
    </row>
    <row r="186" spans="1:15" x14ac:dyDescent="0.25">
      <c r="A186" s="630" t="s">
        <v>417</v>
      </c>
      <c r="B186" s="629">
        <v>0.89500000000000002</v>
      </c>
      <c r="C186" s="630"/>
      <c r="D186" s="630" t="s">
        <v>319</v>
      </c>
      <c r="E186" s="630" t="s">
        <v>319</v>
      </c>
      <c r="F186" s="630" t="s">
        <v>319</v>
      </c>
      <c r="G186" s="630" t="s">
        <v>418</v>
      </c>
      <c r="H186" s="601" t="s">
        <v>325</v>
      </c>
      <c r="I186" s="601" t="s">
        <v>420</v>
      </c>
      <c r="J186" s="630"/>
      <c r="K186" s="630"/>
      <c r="L186" s="630"/>
      <c r="M186" s="630"/>
      <c r="N186" s="630"/>
      <c r="O186" s="630"/>
    </row>
    <row r="187" spans="1:15" x14ac:dyDescent="0.25">
      <c r="A187" s="630" t="s">
        <v>417</v>
      </c>
      <c r="B187" s="629">
        <v>0.79</v>
      </c>
      <c r="C187" s="630"/>
      <c r="D187" s="630" t="s">
        <v>319</v>
      </c>
      <c r="E187" s="630" t="s">
        <v>319</v>
      </c>
      <c r="F187" s="630" t="s">
        <v>319</v>
      </c>
      <c r="G187" s="630" t="s">
        <v>418</v>
      </c>
      <c r="H187" s="601" t="s">
        <v>325</v>
      </c>
      <c r="I187" s="601" t="s">
        <v>421</v>
      </c>
      <c r="J187" s="630"/>
      <c r="K187" s="630"/>
      <c r="L187" s="630"/>
      <c r="M187" s="630"/>
      <c r="N187" s="630"/>
      <c r="O187" s="630"/>
    </row>
    <row r="188" spans="1:15" x14ac:dyDescent="0.25">
      <c r="A188" s="630" t="s">
        <v>417</v>
      </c>
      <c r="B188" s="629">
        <v>0.63</v>
      </c>
      <c r="C188" s="630"/>
      <c r="D188" s="630" t="s">
        <v>319</v>
      </c>
      <c r="E188" s="630" t="s">
        <v>319</v>
      </c>
      <c r="F188" s="630" t="s">
        <v>319</v>
      </c>
      <c r="G188" s="630" t="s">
        <v>418</v>
      </c>
      <c r="H188" s="601" t="s">
        <v>325</v>
      </c>
      <c r="I188" s="601" t="s">
        <v>422</v>
      </c>
      <c r="J188" s="630"/>
      <c r="K188" s="630"/>
      <c r="L188" s="630"/>
      <c r="M188" s="630"/>
      <c r="N188" s="630"/>
      <c r="O188" s="630"/>
    </row>
    <row r="189" spans="1:15" x14ac:dyDescent="0.25">
      <c r="A189" s="630" t="s">
        <v>417</v>
      </c>
      <c r="B189" s="629">
        <v>0.53849999999999998</v>
      </c>
      <c r="C189" s="630"/>
      <c r="D189" s="630" t="s">
        <v>319</v>
      </c>
      <c r="E189" s="630" t="s">
        <v>319</v>
      </c>
      <c r="F189" s="630" t="s">
        <v>319</v>
      </c>
      <c r="G189" s="630" t="s">
        <v>418</v>
      </c>
      <c r="H189" s="601" t="s">
        <v>325</v>
      </c>
      <c r="I189" s="601" t="s">
        <v>423</v>
      </c>
      <c r="J189" s="630"/>
      <c r="K189" s="630"/>
      <c r="L189" s="630"/>
      <c r="M189" s="630"/>
      <c r="N189" s="630"/>
      <c r="O189" s="630"/>
    </row>
    <row r="190" spans="1:15" x14ac:dyDescent="0.25">
      <c r="A190" s="630" t="s">
        <v>417</v>
      </c>
      <c r="B190" s="629">
        <v>0.47110000000000002</v>
      </c>
      <c r="C190" s="630"/>
      <c r="D190" s="630" t="s">
        <v>319</v>
      </c>
      <c r="E190" s="630" t="s">
        <v>319</v>
      </c>
      <c r="F190" s="630" t="s">
        <v>319</v>
      </c>
      <c r="G190" s="630" t="s">
        <v>418</v>
      </c>
      <c r="H190" s="601" t="s">
        <v>325</v>
      </c>
      <c r="I190" s="601" t="s">
        <v>424</v>
      </c>
      <c r="J190" s="630"/>
      <c r="K190" s="630"/>
      <c r="L190" s="630"/>
      <c r="M190" s="630"/>
      <c r="N190" s="630"/>
      <c r="O190" s="630"/>
    </row>
    <row r="191" spans="1:15" x14ac:dyDescent="0.25">
      <c r="A191" s="630" t="s">
        <v>417</v>
      </c>
      <c r="B191" s="629">
        <v>0.4239</v>
      </c>
      <c r="C191" s="630"/>
      <c r="D191" s="630" t="s">
        <v>319</v>
      </c>
      <c r="E191" s="630" t="s">
        <v>319</v>
      </c>
      <c r="F191" s="630" t="s">
        <v>319</v>
      </c>
      <c r="G191" s="630" t="s">
        <v>418</v>
      </c>
      <c r="H191" s="601" t="s">
        <v>325</v>
      </c>
      <c r="I191" s="601" t="s">
        <v>425</v>
      </c>
      <c r="J191" s="630"/>
      <c r="K191" s="630"/>
      <c r="L191" s="630"/>
      <c r="M191" s="630"/>
      <c r="N191" s="630"/>
      <c r="O191" s="630"/>
    </row>
    <row r="192" spans="1:15" x14ac:dyDescent="0.25">
      <c r="A192" s="630" t="s">
        <v>417</v>
      </c>
      <c r="B192" s="629">
        <v>0.38940000000000002</v>
      </c>
      <c r="C192" s="630"/>
      <c r="D192" s="630" t="s">
        <v>319</v>
      </c>
      <c r="E192" s="630" t="s">
        <v>319</v>
      </c>
      <c r="F192" s="630" t="s">
        <v>319</v>
      </c>
      <c r="G192" s="630" t="s">
        <v>418</v>
      </c>
      <c r="H192" s="601" t="s">
        <v>325</v>
      </c>
      <c r="I192" s="601" t="s">
        <v>426</v>
      </c>
      <c r="J192" s="630"/>
      <c r="K192" s="630"/>
      <c r="L192" s="630"/>
      <c r="M192" s="630"/>
      <c r="N192" s="630"/>
      <c r="O192" s="630"/>
    </row>
    <row r="193" spans="1:15" x14ac:dyDescent="0.25">
      <c r="A193" s="630" t="s">
        <v>417</v>
      </c>
      <c r="B193" s="629">
        <v>0.3634</v>
      </c>
      <c r="C193" s="630"/>
      <c r="D193" s="630" t="s">
        <v>319</v>
      </c>
      <c r="E193" s="630" t="s">
        <v>319</v>
      </c>
      <c r="F193" s="630" t="s">
        <v>319</v>
      </c>
      <c r="G193" s="630" t="s">
        <v>418</v>
      </c>
      <c r="H193" s="601" t="s">
        <v>325</v>
      </c>
      <c r="I193" s="601" t="s">
        <v>427</v>
      </c>
      <c r="J193" s="630"/>
      <c r="K193" s="630"/>
      <c r="L193" s="630"/>
      <c r="M193" s="630"/>
      <c r="N193" s="630"/>
      <c r="O193" s="630"/>
    </row>
    <row r="194" spans="1:15" x14ac:dyDescent="0.25">
      <c r="A194" s="630" t="s">
        <v>417</v>
      </c>
      <c r="B194" s="629">
        <v>0.34339999999999998</v>
      </c>
      <c r="C194" s="630"/>
      <c r="D194" s="630" t="s">
        <v>319</v>
      </c>
      <c r="E194" s="630" t="s">
        <v>319</v>
      </c>
      <c r="F194" s="630" t="s">
        <v>319</v>
      </c>
      <c r="G194" s="630" t="s">
        <v>418</v>
      </c>
      <c r="H194" s="601" t="s">
        <v>325</v>
      </c>
      <c r="I194" s="601" t="s">
        <v>428</v>
      </c>
      <c r="J194" s="630"/>
      <c r="K194" s="630"/>
      <c r="L194" s="630"/>
      <c r="M194" s="630"/>
      <c r="N194" s="630"/>
      <c r="O194" s="630"/>
    </row>
    <row r="195" spans="1:15" x14ac:dyDescent="0.25">
      <c r="A195" s="630" t="s">
        <v>417</v>
      </c>
      <c r="B195" s="629">
        <v>0.32769999999999999</v>
      </c>
      <c r="C195" s="630"/>
      <c r="D195" s="630" t="s">
        <v>319</v>
      </c>
      <c r="E195" s="630" t="s">
        <v>319</v>
      </c>
      <c r="F195" s="630" t="s">
        <v>319</v>
      </c>
      <c r="G195" s="630" t="s">
        <v>418</v>
      </c>
      <c r="H195" s="601" t="s">
        <v>325</v>
      </c>
      <c r="I195" s="601" t="s">
        <v>429</v>
      </c>
      <c r="J195" s="630"/>
      <c r="K195" s="630"/>
      <c r="L195" s="630"/>
      <c r="M195" s="630"/>
      <c r="N195" s="630"/>
      <c r="O195" s="630"/>
    </row>
    <row r="196" spans="1:15" x14ac:dyDescent="0.25">
      <c r="A196" s="630" t="s">
        <v>417</v>
      </c>
      <c r="B196" s="629">
        <v>0.31540000000000001</v>
      </c>
      <c r="C196" s="630"/>
      <c r="D196" s="630" t="s">
        <v>319</v>
      </c>
      <c r="E196" s="630" t="s">
        <v>319</v>
      </c>
      <c r="F196" s="630" t="s">
        <v>319</v>
      </c>
      <c r="G196" s="630" t="s">
        <v>418</v>
      </c>
      <c r="H196" s="601" t="s">
        <v>325</v>
      </c>
      <c r="I196" s="601" t="s">
        <v>430</v>
      </c>
      <c r="J196" s="630"/>
      <c r="K196" s="630"/>
      <c r="L196" s="630"/>
      <c r="M196" s="630"/>
      <c r="N196" s="630"/>
      <c r="O196" s="630"/>
    </row>
    <row r="197" spans="1:15" x14ac:dyDescent="0.25">
      <c r="A197" s="630" t="s">
        <v>417</v>
      </c>
      <c r="B197" s="629">
        <v>0.29959999999999998</v>
      </c>
      <c r="C197" s="630"/>
      <c r="D197" s="630" t="s">
        <v>319</v>
      </c>
      <c r="E197" s="630" t="s">
        <v>319</v>
      </c>
      <c r="F197" s="630" t="s">
        <v>319</v>
      </c>
      <c r="G197" s="630" t="s">
        <v>418</v>
      </c>
      <c r="H197" s="601" t="s">
        <v>325</v>
      </c>
      <c r="I197" s="601" t="s">
        <v>431</v>
      </c>
      <c r="J197" s="630"/>
      <c r="K197" s="630"/>
      <c r="L197" s="630"/>
      <c r="M197" s="630"/>
      <c r="N197" s="630"/>
      <c r="O197" s="630"/>
    </row>
    <row r="198" spans="1:15" x14ac:dyDescent="0.25">
      <c r="A198" s="630" t="s">
        <v>417</v>
      </c>
      <c r="B198" s="629">
        <v>0.28639999999999999</v>
      </c>
      <c r="C198" s="630"/>
      <c r="D198" s="630" t="s">
        <v>319</v>
      </c>
      <c r="E198" s="630" t="s">
        <v>319</v>
      </c>
      <c r="F198" s="630" t="s">
        <v>319</v>
      </c>
      <c r="G198" s="630" t="s">
        <v>418</v>
      </c>
      <c r="H198" s="601" t="s">
        <v>325</v>
      </c>
      <c r="I198" s="601" t="s">
        <v>432</v>
      </c>
      <c r="J198" s="630"/>
      <c r="K198" s="630"/>
      <c r="L198" s="630"/>
      <c r="M198" s="630"/>
      <c r="N198" s="630"/>
      <c r="O198" s="630"/>
    </row>
    <row r="199" spans="1:15" x14ac:dyDescent="0.25">
      <c r="A199" s="630" t="s">
        <v>417</v>
      </c>
      <c r="B199" s="629">
        <v>0.27510000000000001</v>
      </c>
      <c r="C199" s="630"/>
      <c r="D199" s="630" t="s">
        <v>319</v>
      </c>
      <c r="E199" s="630" t="s">
        <v>319</v>
      </c>
      <c r="F199" s="630" t="s">
        <v>319</v>
      </c>
      <c r="G199" s="630" t="s">
        <v>418</v>
      </c>
      <c r="H199" s="601" t="s">
        <v>325</v>
      </c>
      <c r="I199" s="601" t="s">
        <v>433</v>
      </c>
      <c r="J199" s="630"/>
      <c r="K199" s="630"/>
      <c r="L199" s="630"/>
      <c r="M199" s="630"/>
      <c r="N199" s="630"/>
      <c r="O199" s="630"/>
    </row>
    <row r="200" spans="1:15" s="399" customFormat="1" x14ac:dyDescent="0.25">
      <c r="A200" s="630" t="s">
        <v>417</v>
      </c>
      <c r="B200" s="629">
        <v>0.26550000000000001</v>
      </c>
      <c r="C200" s="630"/>
      <c r="D200" s="630" t="s">
        <v>319</v>
      </c>
      <c r="E200" s="630" t="s">
        <v>319</v>
      </c>
      <c r="F200" s="630" t="s">
        <v>319</v>
      </c>
      <c r="G200" s="630" t="s">
        <v>418</v>
      </c>
      <c r="H200" s="601" t="s">
        <v>325</v>
      </c>
      <c r="I200" s="601" t="s">
        <v>434</v>
      </c>
      <c r="J200" s="630"/>
      <c r="K200" s="630"/>
      <c r="L200" s="630"/>
      <c r="M200" s="630"/>
      <c r="N200" s="630"/>
      <c r="O200" s="630"/>
    </row>
    <row r="201" spans="1:15" s="399" customFormat="1" x14ac:dyDescent="0.25">
      <c r="A201" s="630" t="s">
        <v>417</v>
      </c>
      <c r="B201" s="629">
        <v>0.25719999999999998</v>
      </c>
      <c r="C201" s="630"/>
      <c r="D201" s="630" t="s">
        <v>319</v>
      </c>
      <c r="E201" s="630" t="s">
        <v>319</v>
      </c>
      <c r="F201" s="630" t="s">
        <v>319</v>
      </c>
      <c r="G201" s="630" t="s">
        <v>418</v>
      </c>
      <c r="H201" s="601" t="s">
        <v>325</v>
      </c>
      <c r="I201" s="601" t="s">
        <v>435</v>
      </c>
      <c r="J201" s="630"/>
      <c r="K201" s="630"/>
      <c r="L201" s="630"/>
      <c r="M201" s="630"/>
      <c r="N201" s="630"/>
      <c r="O201" s="630"/>
    </row>
    <row r="202" spans="1:15" s="399" customFormat="1" x14ac:dyDescent="0.25">
      <c r="A202" s="630" t="s">
        <v>417</v>
      </c>
      <c r="B202" s="629">
        <v>0.25</v>
      </c>
      <c r="C202" s="630"/>
      <c r="D202" s="630" t="s">
        <v>319</v>
      </c>
      <c r="E202" s="630" t="s">
        <v>319</v>
      </c>
      <c r="F202" s="630" t="s">
        <v>319</v>
      </c>
      <c r="G202" s="630" t="s">
        <v>418</v>
      </c>
      <c r="H202" s="601" t="s">
        <v>325</v>
      </c>
      <c r="I202" s="601" t="s">
        <v>436</v>
      </c>
      <c r="J202" s="630"/>
      <c r="K202" s="630"/>
      <c r="L202" s="630"/>
      <c r="M202" s="630"/>
      <c r="N202" s="630"/>
      <c r="O202" s="630"/>
    </row>
    <row r="203" spans="1:15" s="399" customFormat="1" x14ac:dyDescent="0.25">
      <c r="A203" s="630" t="s">
        <v>417</v>
      </c>
      <c r="B203" s="629">
        <v>0.24199999999999999</v>
      </c>
      <c r="C203" s="630"/>
      <c r="D203" s="630" t="s">
        <v>319</v>
      </c>
      <c r="E203" s="630" t="s">
        <v>319</v>
      </c>
      <c r="F203" s="630" t="s">
        <v>319</v>
      </c>
      <c r="G203" s="630" t="s">
        <v>418</v>
      </c>
      <c r="H203" s="601" t="s">
        <v>325</v>
      </c>
      <c r="I203" s="601" t="s">
        <v>437</v>
      </c>
      <c r="J203" s="630"/>
      <c r="K203" s="630"/>
      <c r="L203" s="630"/>
      <c r="M203" s="630"/>
      <c r="N203" s="630"/>
      <c r="O203" s="630"/>
    </row>
    <row r="204" spans="1:15" s="399" customFormat="1" x14ac:dyDescent="0.25">
      <c r="A204" s="630" t="s">
        <v>417</v>
      </c>
      <c r="B204" s="629">
        <v>0.23499999999999999</v>
      </c>
      <c r="C204" s="630"/>
      <c r="D204" s="630" t="s">
        <v>319</v>
      </c>
      <c r="E204" s="630" t="s">
        <v>319</v>
      </c>
      <c r="F204" s="630" t="s">
        <v>319</v>
      </c>
      <c r="G204" s="630" t="s">
        <v>418</v>
      </c>
      <c r="H204" s="601" t="s">
        <v>325</v>
      </c>
      <c r="I204" s="601" t="s">
        <v>438</v>
      </c>
      <c r="J204" s="630"/>
      <c r="K204" s="630"/>
      <c r="L204" s="630"/>
      <c r="M204" s="630"/>
      <c r="N204" s="630"/>
      <c r="O204" s="630"/>
    </row>
    <row r="205" spans="1:15" s="399" customFormat="1" x14ac:dyDescent="0.25">
      <c r="A205" s="630" t="s">
        <v>417</v>
      </c>
      <c r="B205" s="629">
        <v>0.2</v>
      </c>
      <c r="C205" s="630"/>
      <c r="D205" s="630" t="s">
        <v>319</v>
      </c>
      <c r="E205" s="630" t="s">
        <v>319</v>
      </c>
      <c r="F205" s="630" t="s">
        <v>319</v>
      </c>
      <c r="G205" s="630" t="s">
        <v>418</v>
      </c>
      <c r="H205" s="601" t="s">
        <v>325</v>
      </c>
      <c r="I205" s="601" t="s">
        <v>439</v>
      </c>
      <c r="J205" s="630"/>
      <c r="K205" s="630"/>
      <c r="L205" s="630"/>
      <c r="M205" s="630"/>
      <c r="N205" s="630"/>
      <c r="O205" s="630"/>
    </row>
    <row r="206" spans="1:15" s="399" customFormat="1" x14ac:dyDescent="0.25">
      <c r="A206" s="630" t="s">
        <v>417</v>
      </c>
      <c r="B206" s="629">
        <v>0.15</v>
      </c>
      <c r="C206" s="630"/>
      <c r="D206" s="630" t="s">
        <v>319</v>
      </c>
      <c r="E206" s="630" t="s">
        <v>319</v>
      </c>
      <c r="F206" s="630" t="s">
        <v>319</v>
      </c>
      <c r="G206" s="630" t="s">
        <v>418</v>
      </c>
      <c r="H206" s="601" t="s">
        <v>325</v>
      </c>
      <c r="I206" s="601" t="s">
        <v>440</v>
      </c>
      <c r="J206" s="630"/>
      <c r="K206" s="630"/>
      <c r="L206" s="630"/>
      <c r="M206" s="630"/>
      <c r="N206" s="630"/>
      <c r="O206" s="630"/>
    </row>
    <row r="207" spans="1:15" s="399" customFormat="1" x14ac:dyDescent="0.25">
      <c r="A207" s="630" t="s">
        <v>417</v>
      </c>
      <c r="B207" s="629">
        <v>0.12</v>
      </c>
      <c r="C207" s="630"/>
      <c r="D207" s="630" t="s">
        <v>319</v>
      </c>
      <c r="E207" s="630" t="s">
        <v>319</v>
      </c>
      <c r="F207" s="630" t="s">
        <v>319</v>
      </c>
      <c r="G207" s="630" t="s">
        <v>418</v>
      </c>
      <c r="H207" s="601" t="s">
        <v>325</v>
      </c>
      <c r="I207" s="601" t="s">
        <v>441</v>
      </c>
      <c r="J207" s="630"/>
      <c r="K207" s="630"/>
      <c r="L207" s="630"/>
      <c r="M207" s="630"/>
      <c r="N207" s="630"/>
      <c r="O207" s="630"/>
    </row>
    <row r="208" spans="1:15" s="399" customFormat="1" x14ac:dyDescent="0.25">
      <c r="A208" s="630" t="s">
        <v>417</v>
      </c>
      <c r="B208" s="629">
        <v>8.5999999999999993E-2</v>
      </c>
      <c r="C208" s="630"/>
      <c r="D208" s="630" t="s">
        <v>319</v>
      </c>
      <c r="E208" s="630" t="s">
        <v>319</v>
      </c>
      <c r="F208" s="630" t="s">
        <v>319</v>
      </c>
      <c r="G208" s="630" t="s">
        <v>418</v>
      </c>
      <c r="H208" s="601" t="s">
        <v>325</v>
      </c>
      <c r="I208" s="601" t="s">
        <v>442</v>
      </c>
      <c r="J208" s="630"/>
      <c r="K208" s="630"/>
      <c r="L208" s="630"/>
      <c r="M208" s="630"/>
      <c r="N208" s="630"/>
      <c r="O208" s="630"/>
    </row>
    <row r="209" spans="1:15" s="399" customFormat="1" x14ac:dyDescent="0.25">
      <c r="A209" s="630" t="s">
        <v>417</v>
      </c>
      <c r="B209" s="629">
        <v>6.2E-2</v>
      </c>
      <c r="C209" s="630"/>
      <c r="D209" s="630" t="s">
        <v>319</v>
      </c>
      <c r="E209" s="630" t="s">
        <v>319</v>
      </c>
      <c r="F209" s="630" t="s">
        <v>319</v>
      </c>
      <c r="G209" s="630" t="s">
        <v>418</v>
      </c>
      <c r="H209" s="601" t="s">
        <v>325</v>
      </c>
      <c r="I209" s="601" t="s">
        <v>443</v>
      </c>
      <c r="J209" s="630"/>
      <c r="K209" s="630"/>
      <c r="L209" s="630"/>
      <c r="M209" s="630"/>
      <c r="N209" s="630"/>
      <c r="O209" s="630"/>
    </row>
    <row r="210" spans="1:15" s="399" customFormat="1" x14ac:dyDescent="0.25">
      <c r="A210" s="630" t="s">
        <v>417</v>
      </c>
      <c r="B210" s="629">
        <v>4.3999999999999997E-2</v>
      </c>
      <c r="C210" s="630"/>
      <c r="D210" s="630" t="s">
        <v>319</v>
      </c>
      <c r="E210" s="630" t="s">
        <v>319</v>
      </c>
      <c r="F210" s="630" t="s">
        <v>319</v>
      </c>
      <c r="G210" s="630" t="s">
        <v>418</v>
      </c>
      <c r="H210" s="601" t="s">
        <v>325</v>
      </c>
      <c r="I210" s="601" t="s">
        <v>444</v>
      </c>
      <c r="J210" s="630"/>
      <c r="K210" s="630"/>
      <c r="L210" s="630"/>
      <c r="M210" s="630"/>
      <c r="N210" s="630"/>
      <c r="O210" s="630"/>
    </row>
    <row r="211" spans="1:15" s="399" customFormat="1" x14ac:dyDescent="0.25">
      <c r="A211" s="630" t="s">
        <v>417</v>
      </c>
      <c r="B211" s="629">
        <v>3.2000000000000001E-2</v>
      </c>
      <c r="C211" s="630"/>
      <c r="D211" s="630" t="s">
        <v>319</v>
      </c>
      <c r="E211" s="630" t="s">
        <v>319</v>
      </c>
      <c r="F211" s="630" t="s">
        <v>319</v>
      </c>
      <c r="G211" s="630" t="s">
        <v>418</v>
      </c>
      <c r="H211" s="601" t="s">
        <v>325</v>
      </c>
      <c r="I211" s="601" t="s">
        <v>445</v>
      </c>
      <c r="J211" s="630"/>
      <c r="K211" s="630"/>
      <c r="L211" s="630"/>
      <c r="M211" s="630"/>
      <c r="N211" s="630"/>
      <c r="O211" s="630"/>
    </row>
    <row r="212" spans="1:15" s="399" customFormat="1" x14ac:dyDescent="0.25">
      <c r="A212" s="630" t="s">
        <v>417</v>
      </c>
      <c r="B212" s="629">
        <v>2.5000000000000001E-2</v>
      </c>
      <c r="C212" s="630"/>
      <c r="D212" s="630" t="s">
        <v>319</v>
      </c>
      <c r="E212" s="630" t="s">
        <v>319</v>
      </c>
      <c r="F212" s="630" t="s">
        <v>319</v>
      </c>
      <c r="G212" s="630" t="s">
        <v>418</v>
      </c>
      <c r="H212" s="601" t="s">
        <v>325</v>
      </c>
      <c r="I212" s="601" t="s">
        <v>446</v>
      </c>
      <c r="J212" s="630"/>
      <c r="K212" s="630"/>
      <c r="L212" s="630"/>
      <c r="M212" s="630"/>
      <c r="N212" s="630"/>
      <c r="O212" s="630"/>
    </row>
    <row r="213" spans="1:15" s="399" customFormat="1" x14ac:dyDescent="0.25">
      <c r="A213" s="630" t="s">
        <v>417</v>
      </c>
      <c r="B213" s="629">
        <v>0.02</v>
      </c>
      <c r="C213" s="630"/>
      <c r="D213" s="630" t="s">
        <v>319</v>
      </c>
      <c r="E213" s="630" t="s">
        <v>319</v>
      </c>
      <c r="F213" s="630" t="s">
        <v>319</v>
      </c>
      <c r="G213" s="630" t="s">
        <v>418</v>
      </c>
      <c r="H213" s="601" t="s">
        <v>325</v>
      </c>
      <c r="I213" s="601" t="s">
        <v>447</v>
      </c>
      <c r="J213" s="630"/>
      <c r="K213" s="630"/>
      <c r="L213" s="630"/>
      <c r="M213" s="630"/>
      <c r="N213" s="630"/>
      <c r="O213" s="630"/>
    </row>
    <row r="214" spans="1:15" s="399" customFormat="1" x14ac:dyDescent="0.25">
      <c r="A214" s="601" t="s">
        <v>448</v>
      </c>
      <c r="B214" s="636">
        <v>3.4910000000000001</v>
      </c>
      <c r="C214" s="601"/>
      <c r="D214" s="601" t="s">
        <v>319</v>
      </c>
      <c r="E214" s="601" t="s">
        <v>319</v>
      </c>
      <c r="F214" s="601" t="s">
        <v>319</v>
      </c>
      <c r="G214" s="601" t="s">
        <v>449</v>
      </c>
      <c r="H214" s="601" t="s">
        <v>325</v>
      </c>
      <c r="I214" s="601" t="s">
        <v>450</v>
      </c>
      <c r="J214" s="575"/>
      <c r="K214" s="575"/>
      <c r="L214" s="575"/>
      <c r="M214" s="575"/>
      <c r="N214" s="575"/>
      <c r="O214" s="575"/>
    </row>
    <row r="215" spans="1:15" s="399" customFormat="1" x14ac:dyDescent="0.25">
      <c r="A215" s="601" t="s">
        <v>448</v>
      </c>
      <c r="B215" s="636">
        <v>3.222</v>
      </c>
      <c r="C215" s="601"/>
      <c r="D215" s="601" t="s">
        <v>319</v>
      </c>
      <c r="E215" s="601" t="s">
        <v>319</v>
      </c>
      <c r="F215" s="601" t="s">
        <v>319</v>
      </c>
      <c r="G215" s="601" t="s">
        <v>449</v>
      </c>
      <c r="H215" s="601" t="s">
        <v>325</v>
      </c>
      <c r="I215" s="601" t="s">
        <v>451</v>
      </c>
      <c r="J215" s="575"/>
      <c r="K215" s="575"/>
      <c r="L215" s="575"/>
      <c r="M215" s="575"/>
      <c r="N215" s="575"/>
      <c r="O215" s="575"/>
    </row>
    <row r="216" spans="1:15" s="399" customFormat="1" x14ac:dyDescent="0.25">
      <c r="A216" s="601" t="s">
        <v>448</v>
      </c>
      <c r="B216" s="636">
        <v>3.004</v>
      </c>
      <c r="C216" s="601"/>
      <c r="D216" s="601" t="s">
        <v>319</v>
      </c>
      <c r="E216" s="601" t="s">
        <v>319</v>
      </c>
      <c r="F216" s="601" t="s">
        <v>319</v>
      </c>
      <c r="G216" s="601" t="s">
        <v>449</v>
      </c>
      <c r="H216" s="601" t="s">
        <v>325</v>
      </c>
      <c r="I216" s="601" t="s">
        <v>452</v>
      </c>
      <c r="J216" s="575"/>
      <c r="K216" s="575"/>
      <c r="L216" s="575"/>
      <c r="M216" s="575"/>
      <c r="N216" s="575"/>
      <c r="O216" s="575"/>
    </row>
    <row r="217" spans="1:15" s="399" customFormat="1" x14ac:dyDescent="0.25">
      <c r="A217" s="601" t="s">
        <v>448</v>
      </c>
      <c r="B217" s="636">
        <v>2.8460000000000001</v>
      </c>
      <c r="C217" s="601"/>
      <c r="D217" s="601" t="s">
        <v>319</v>
      </c>
      <c r="E217" s="601" t="s">
        <v>319</v>
      </c>
      <c r="F217" s="601" t="s">
        <v>319</v>
      </c>
      <c r="G217" s="601" t="s">
        <v>449</v>
      </c>
      <c r="H217" s="601" t="s">
        <v>325</v>
      </c>
      <c r="I217" s="601" t="s">
        <v>453</v>
      </c>
      <c r="J217" s="575"/>
      <c r="K217" s="575"/>
      <c r="L217" s="575"/>
      <c r="M217" s="575"/>
      <c r="N217" s="575"/>
      <c r="O217" s="575"/>
    </row>
    <row r="218" spans="1:15" s="399" customFormat="1" x14ac:dyDescent="0.25">
      <c r="A218" s="601" t="s">
        <v>448</v>
      </c>
      <c r="B218" s="636">
        <v>2.7010000000000001</v>
      </c>
      <c r="C218" s="601"/>
      <c r="D218" s="601" t="s">
        <v>319</v>
      </c>
      <c r="E218" s="601" t="s">
        <v>319</v>
      </c>
      <c r="F218" s="601" t="s">
        <v>319</v>
      </c>
      <c r="G218" s="601" t="s">
        <v>449</v>
      </c>
      <c r="H218" s="601" t="s">
        <v>325</v>
      </c>
      <c r="I218" s="601" t="s">
        <v>454</v>
      </c>
      <c r="J218" s="575"/>
      <c r="K218" s="575"/>
      <c r="L218" s="575"/>
      <c r="M218" s="575"/>
      <c r="N218" s="575"/>
      <c r="O218" s="575"/>
    </row>
    <row r="219" spans="1:15" s="399" customFormat="1" x14ac:dyDescent="0.25">
      <c r="A219" s="601" t="s">
        <v>448</v>
      </c>
      <c r="B219" s="636">
        <v>2.5670000000000002</v>
      </c>
      <c r="C219" s="601"/>
      <c r="D219" s="601" t="s">
        <v>319</v>
      </c>
      <c r="E219" s="601" t="s">
        <v>319</v>
      </c>
      <c r="F219" s="601" t="s">
        <v>319</v>
      </c>
      <c r="G219" s="601" t="s">
        <v>449</v>
      </c>
      <c r="H219" s="601" t="s">
        <v>325</v>
      </c>
      <c r="I219" s="601" t="s">
        <v>455</v>
      </c>
      <c r="J219" s="575"/>
      <c r="K219" s="575"/>
      <c r="L219" s="575"/>
      <c r="M219" s="575"/>
      <c r="N219" s="575"/>
      <c r="O219" s="575"/>
    </row>
    <row r="220" spans="1:15" s="399" customFormat="1" x14ac:dyDescent="0.25">
      <c r="A220" s="601" t="s">
        <v>448</v>
      </c>
      <c r="B220" s="636">
        <v>2.4470000000000001</v>
      </c>
      <c r="C220" s="601"/>
      <c r="D220" s="601" t="s">
        <v>319</v>
      </c>
      <c r="E220" s="601" t="s">
        <v>319</v>
      </c>
      <c r="F220" s="601" t="s">
        <v>319</v>
      </c>
      <c r="G220" s="601" t="s">
        <v>449</v>
      </c>
      <c r="H220" s="601" t="s">
        <v>325</v>
      </c>
      <c r="I220" s="601" t="s">
        <v>456</v>
      </c>
      <c r="J220" s="575"/>
      <c r="K220" s="575"/>
      <c r="L220" s="575"/>
      <c r="M220" s="575"/>
      <c r="N220" s="575"/>
      <c r="O220" s="575"/>
    </row>
    <row r="221" spans="1:15" s="399" customFormat="1" x14ac:dyDescent="0.25">
      <c r="A221" s="601" t="s">
        <v>448</v>
      </c>
      <c r="B221" s="636">
        <v>2.3420000000000001</v>
      </c>
      <c r="C221" s="601"/>
      <c r="D221" s="601" t="s">
        <v>319</v>
      </c>
      <c r="E221" s="601" t="s">
        <v>319</v>
      </c>
      <c r="F221" s="601" t="s">
        <v>319</v>
      </c>
      <c r="G221" s="601" t="s">
        <v>449</v>
      </c>
      <c r="H221" s="601" t="s">
        <v>325</v>
      </c>
      <c r="I221" s="601" t="s">
        <v>457</v>
      </c>
      <c r="J221" s="575"/>
      <c r="K221" s="575"/>
      <c r="L221" s="575"/>
      <c r="M221" s="575"/>
      <c r="N221" s="575"/>
      <c r="O221" s="575"/>
    </row>
    <row r="222" spans="1:15" s="399" customFormat="1" x14ac:dyDescent="0.25">
      <c r="A222" s="601" t="s">
        <v>448</v>
      </c>
      <c r="B222" s="636">
        <v>2.25</v>
      </c>
      <c r="C222" s="601"/>
      <c r="D222" s="601" t="s">
        <v>319</v>
      </c>
      <c r="E222" s="601" t="s">
        <v>319</v>
      </c>
      <c r="F222" s="601" t="s">
        <v>319</v>
      </c>
      <c r="G222" s="601" t="s">
        <v>449</v>
      </c>
      <c r="H222" s="601" t="s">
        <v>325</v>
      </c>
      <c r="I222" s="601" t="s">
        <v>458</v>
      </c>
      <c r="J222" s="575"/>
      <c r="K222" s="575"/>
      <c r="L222" s="575"/>
      <c r="M222" s="575"/>
      <c r="N222" s="575"/>
      <c r="O222" s="575"/>
    </row>
    <row r="223" spans="1:15" s="399" customFormat="1" x14ac:dyDescent="0.25">
      <c r="A223" s="601" t="s">
        <v>448</v>
      </c>
      <c r="B223" s="636">
        <v>2.105</v>
      </c>
      <c r="C223" s="601"/>
      <c r="D223" s="601" t="s">
        <v>319</v>
      </c>
      <c r="E223" s="601" t="s">
        <v>319</v>
      </c>
      <c r="F223" s="601" t="s">
        <v>319</v>
      </c>
      <c r="G223" s="601" t="s">
        <v>449</v>
      </c>
      <c r="H223" s="601" t="s">
        <v>325</v>
      </c>
      <c r="I223" s="601" t="s">
        <v>459</v>
      </c>
      <c r="J223" s="575"/>
      <c r="K223" s="575"/>
      <c r="L223" s="575"/>
      <c r="M223" s="575"/>
      <c r="N223" s="575"/>
      <c r="O223" s="575"/>
    </row>
    <row r="224" spans="1:15" s="399" customFormat="1" x14ac:dyDescent="0.25">
      <c r="A224" s="601" t="s">
        <v>448</v>
      </c>
      <c r="B224" s="636">
        <v>1.889</v>
      </c>
      <c r="C224" s="601"/>
      <c r="D224" s="601" t="s">
        <v>319</v>
      </c>
      <c r="E224" s="601" t="s">
        <v>319</v>
      </c>
      <c r="F224" s="601" t="s">
        <v>319</v>
      </c>
      <c r="G224" s="601" t="s">
        <v>449</v>
      </c>
      <c r="H224" s="601" t="s">
        <v>325</v>
      </c>
      <c r="I224" s="601" t="s">
        <v>460</v>
      </c>
      <c r="J224" s="575"/>
      <c r="K224" s="575"/>
      <c r="L224" s="575"/>
      <c r="M224" s="575"/>
      <c r="N224" s="575"/>
      <c r="O224" s="575"/>
    </row>
    <row r="225" spans="1:15" s="399" customFormat="1" x14ac:dyDescent="0.25">
      <c r="A225" s="601" t="s">
        <v>448</v>
      </c>
      <c r="B225" s="636">
        <v>1.6020000000000001</v>
      </c>
      <c r="C225" s="601"/>
      <c r="D225" s="601" t="s">
        <v>319</v>
      </c>
      <c r="E225" s="601" t="s">
        <v>319</v>
      </c>
      <c r="F225" s="601" t="s">
        <v>319</v>
      </c>
      <c r="G225" s="601" t="s">
        <v>449</v>
      </c>
      <c r="H225" s="601" t="s">
        <v>325</v>
      </c>
      <c r="I225" s="601" t="s">
        <v>461</v>
      </c>
      <c r="J225" s="575"/>
      <c r="K225" s="575"/>
      <c r="L225" s="575"/>
      <c r="M225" s="575"/>
      <c r="N225" s="575"/>
      <c r="O225" s="575"/>
    </row>
    <row r="226" spans="1:15" s="399" customFormat="1" x14ac:dyDescent="0.25">
      <c r="A226" s="601" t="s">
        <v>448</v>
      </c>
      <c r="B226" s="636">
        <v>1.25</v>
      </c>
      <c r="C226" s="601"/>
      <c r="D226" s="601" t="s">
        <v>319</v>
      </c>
      <c r="E226" s="601" t="s">
        <v>319</v>
      </c>
      <c r="F226" s="601" t="s">
        <v>319</v>
      </c>
      <c r="G226" s="601" t="s">
        <v>449</v>
      </c>
      <c r="H226" s="601" t="s">
        <v>325</v>
      </c>
      <c r="I226" s="601" t="s">
        <v>462</v>
      </c>
      <c r="J226" s="575"/>
      <c r="K226" s="575"/>
      <c r="L226" s="575"/>
      <c r="M226" s="575"/>
      <c r="N226" s="575"/>
      <c r="O226" s="575"/>
    </row>
    <row r="227" spans="1:15" s="399" customFormat="1" x14ac:dyDescent="0.25">
      <c r="A227" s="601" t="s">
        <v>448</v>
      </c>
      <c r="B227" s="636">
        <v>1.25</v>
      </c>
      <c r="C227" s="601"/>
      <c r="D227" s="601" t="s">
        <v>319</v>
      </c>
      <c r="E227" s="601" t="s">
        <v>319</v>
      </c>
      <c r="F227" s="601" t="s">
        <v>319</v>
      </c>
      <c r="G227" s="601" t="s">
        <v>449</v>
      </c>
      <c r="H227" s="601" t="s">
        <v>325</v>
      </c>
      <c r="I227" s="601" t="s">
        <v>463</v>
      </c>
      <c r="J227" s="575"/>
      <c r="K227" s="575"/>
      <c r="L227" s="575"/>
      <c r="M227" s="575"/>
      <c r="N227" s="575"/>
      <c r="O227" s="575"/>
    </row>
    <row r="228" spans="1:15" s="399" customFormat="1" x14ac:dyDescent="0.25">
      <c r="A228" s="601" t="s">
        <v>448</v>
      </c>
      <c r="B228" s="636">
        <v>1.25</v>
      </c>
      <c r="C228" s="601"/>
      <c r="D228" s="601" t="s">
        <v>319</v>
      </c>
      <c r="E228" s="601" t="s">
        <v>319</v>
      </c>
      <c r="F228" s="601" t="s">
        <v>319</v>
      </c>
      <c r="G228" s="601" t="s">
        <v>449</v>
      </c>
      <c r="H228" s="601" t="s">
        <v>325</v>
      </c>
      <c r="I228" s="601" t="s">
        <v>464</v>
      </c>
      <c r="J228" s="575"/>
      <c r="K228" s="575"/>
      <c r="L228" s="575"/>
      <c r="M228" s="575"/>
      <c r="N228" s="575"/>
      <c r="O228" s="575"/>
    </row>
    <row r="229" spans="1:15" s="399" customFormat="1" x14ac:dyDescent="0.25">
      <c r="A229" s="601" t="s">
        <v>448</v>
      </c>
      <c r="B229" s="636">
        <v>1.25</v>
      </c>
      <c r="C229" s="601"/>
      <c r="D229" s="601" t="s">
        <v>319</v>
      </c>
      <c r="E229" s="601" t="s">
        <v>319</v>
      </c>
      <c r="F229" s="601" t="s">
        <v>319</v>
      </c>
      <c r="G229" s="601" t="s">
        <v>449</v>
      </c>
      <c r="H229" s="601" t="s">
        <v>325</v>
      </c>
      <c r="I229" s="601" t="s">
        <v>465</v>
      </c>
      <c r="J229" s="575"/>
      <c r="K229" s="575"/>
      <c r="L229" s="575"/>
      <c r="M229" s="575"/>
      <c r="N229" s="575"/>
      <c r="O229" s="575"/>
    </row>
    <row r="230" spans="1:15" s="399" customFormat="1" x14ac:dyDescent="0.25">
      <c r="A230" s="601" t="s">
        <v>448</v>
      </c>
      <c r="B230" s="636">
        <v>1.25</v>
      </c>
      <c r="C230" s="601"/>
      <c r="D230" s="601" t="s">
        <v>319</v>
      </c>
      <c r="E230" s="601" t="s">
        <v>319</v>
      </c>
      <c r="F230" s="601" t="s">
        <v>319</v>
      </c>
      <c r="G230" s="601" t="s">
        <v>449</v>
      </c>
      <c r="H230" s="601" t="s">
        <v>325</v>
      </c>
      <c r="I230" s="601" t="s">
        <v>466</v>
      </c>
      <c r="J230" s="575"/>
      <c r="K230" s="575"/>
      <c r="L230" s="575"/>
      <c r="M230" s="575"/>
      <c r="N230" s="575"/>
      <c r="O230" s="575"/>
    </row>
    <row r="231" spans="1:15" s="399" customFormat="1" x14ac:dyDescent="0.25">
      <c r="A231" s="601" t="s">
        <v>448</v>
      </c>
      <c r="B231" s="636">
        <v>1.1499999999999999</v>
      </c>
      <c r="C231" s="601"/>
      <c r="D231" s="601" t="s">
        <v>319</v>
      </c>
      <c r="E231" s="601" t="s">
        <v>319</v>
      </c>
      <c r="F231" s="601" t="s">
        <v>319</v>
      </c>
      <c r="G231" s="601" t="s">
        <v>449</v>
      </c>
      <c r="H231" s="601" t="s">
        <v>325</v>
      </c>
      <c r="I231" s="601" t="s">
        <v>467</v>
      </c>
      <c r="J231" s="575"/>
      <c r="K231" s="575"/>
      <c r="L231" s="575"/>
      <c r="M231" s="575"/>
      <c r="N231" s="575"/>
      <c r="O231" s="575"/>
    </row>
    <row r="232" spans="1:15" s="399" customFormat="1" x14ac:dyDescent="0.25">
      <c r="A232" s="601" t="s">
        <v>448</v>
      </c>
      <c r="B232" s="636">
        <v>1.1499999999999999</v>
      </c>
      <c r="C232" s="601"/>
      <c r="D232" s="601" t="s">
        <v>319</v>
      </c>
      <c r="E232" s="601" t="s">
        <v>319</v>
      </c>
      <c r="F232" s="601" t="s">
        <v>319</v>
      </c>
      <c r="G232" s="601" t="s">
        <v>449</v>
      </c>
      <c r="H232" s="601" t="s">
        <v>325</v>
      </c>
      <c r="I232" s="601" t="s">
        <v>468</v>
      </c>
      <c r="J232" s="575"/>
      <c r="K232" s="575"/>
      <c r="L232" s="575"/>
      <c r="M232" s="575"/>
      <c r="N232" s="575"/>
      <c r="O232" s="575"/>
    </row>
    <row r="233" spans="1:15" s="399" customFormat="1" x14ac:dyDescent="0.25">
      <c r="A233" s="601" t="s">
        <v>448</v>
      </c>
      <c r="B233" s="636">
        <v>1.1499999999999999</v>
      </c>
      <c r="C233" s="601"/>
      <c r="D233" s="601" t="s">
        <v>319</v>
      </c>
      <c r="E233" s="601" t="s">
        <v>319</v>
      </c>
      <c r="F233" s="601" t="s">
        <v>319</v>
      </c>
      <c r="G233" s="601" t="s">
        <v>449</v>
      </c>
      <c r="H233" s="601" t="s">
        <v>325</v>
      </c>
      <c r="I233" s="601" t="s">
        <v>469</v>
      </c>
      <c r="J233" s="575"/>
      <c r="K233" s="575"/>
      <c r="L233" s="575"/>
      <c r="M233" s="575"/>
      <c r="N233" s="575"/>
      <c r="O233" s="575"/>
    </row>
    <row r="234" spans="1:15" s="399" customFormat="1" x14ac:dyDescent="0.25">
      <c r="A234" s="601" t="s">
        <v>448</v>
      </c>
      <c r="B234" s="636">
        <v>1.1499999999999999</v>
      </c>
      <c r="C234" s="601"/>
      <c r="D234" s="601" t="s">
        <v>319</v>
      </c>
      <c r="E234" s="601" t="s">
        <v>319</v>
      </c>
      <c r="F234" s="601" t="s">
        <v>319</v>
      </c>
      <c r="G234" s="601" t="s">
        <v>449</v>
      </c>
      <c r="H234" s="601" t="s">
        <v>325</v>
      </c>
      <c r="I234" s="601" t="s">
        <v>470</v>
      </c>
      <c r="J234" s="575"/>
      <c r="K234" s="575"/>
      <c r="L234" s="575"/>
      <c r="M234" s="575"/>
      <c r="N234" s="575"/>
      <c r="O234" s="575"/>
    </row>
    <row r="235" spans="1:15" s="399" customFormat="1" x14ac:dyDescent="0.25">
      <c r="A235" s="601" t="s">
        <v>448</v>
      </c>
      <c r="B235" s="636">
        <v>1.1499999999999999</v>
      </c>
      <c r="C235" s="601"/>
      <c r="D235" s="601" t="s">
        <v>319</v>
      </c>
      <c r="E235" s="601" t="s">
        <v>319</v>
      </c>
      <c r="F235" s="601" t="s">
        <v>319</v>
      </c>
      <c r="G235" s="601" t="s">
        <v>449</v>
      </c>
      <c r="H235" s="601" t="s">
        <v>325</v>
      </c>
      <c r="I235" s="601" t="s">
        <v>471</v>
      </c>
      <c r="J235" s="575"/>
      <c r="K235" s="575"/>
      <c r="L235" s="575"/>
      <c r="M235" s="575"/>
      <c r="N235" s="575"/>
      <c r="O235" s="575"/>
    </row>
    <row r="236" spans="1:15" s="399" customFormat="1" x14ac:dyDescent="0.25">
      <c r="A236" s="601" t="s">
        <v>448</v>
      </c>
      <c r="B236" s="636">
        <v>1.05</v>
      </c>
      <c r="C236" s="601"/>
      <c r="D236" s="601" t="s">
        <v>319</v>
      </c>
      <c r="E236" s="601" t="s">
        <v>319</v>
      </c>
      <c r="F236" s="601" t="s">
        <v>319</v>
      </c>
      <c r="G236" s="601" t="s">
        <v>449</v>
      </c>
      <c r="H236" s="601" t="s">
        <v>325</v>
      </c>
      <c r="I236" s="601" t="s">
        <v>472</v>
      </c>
      <c r="J236" s="575"/>
      <c r="K236" s="575"/>
      <c r="L236" s="575"/>
      <c r="M236" s="575"/>
      <c r="N236" s="575"/>
      <c r="O236" s="575"/>
    </row>
    <row r="237" spans="1:15" s="399" customFormat="1" x14ac:dyDescent="0.25">
      <c r="A237" s="601" t="s">
        <v>448</v>
      </c>
      <c r="B237" s="636">
        <v>1.05</v>
      </c>
      <c r="C237" s="601"/>
      <c r="D237" s="601" t="s">
        <v>319</v>
      </c>
      <c r="E237" s="601" t="s">
        <v>319</v>
      </c>
      <c r="F237" s="601" t="s">
        <v>319</v>
      </c>
      <c r="G237" s="601" t="s">
        <v>449</v>
      </c>
      <c r="H237" s="601" t="s">
        <v>325</v>
      </c>
      <c r="I237" s="601" t="s">
        <v>473</v>
      </c>
      <c r="J237" s="575"/>
      <c r="K237" s="575"/>
      <c r="L237" s="575"/>
      <c r="M237" s="575"/>
      <c r="N237" s="575"/>
      <c r="O237" s="575"/>
    </row>
    <row r="238" spans="1:15" s="399" customFormat="1" x14ac:dyDescent="0.25">
      <c r="A238" s="601" t="s">
        <v>448</v>
      </c>
      <c r="B238" s="636">
        <v>1.05</v>
      </c>
      <c r="C238" s="601"/>
      <c r="D238" s="601" t="s">
        <v>319</v>
      </c>
      <c r="E238" s="601" t="s">
        <v>319</v>
      </c>
      <c r="F238" s="601" t="s">
        <v>319</v>
      </c>
      <c r="G238" s="601" t="s">
        <v>449</v>
      </c>
      <c r="H238" s="601" t="s">
        <v>325</v>
      </c>
      <c r="I238" s="601" t="s">
        <v>474</v>
      </c>
      <c r="J238" s="575"/>
      <c r="K238" s="575"/>
      <c r="L238" s="575"/>
      <c r="M238" s="575"/>
      <c r="N238" s="575"/>
      <c r="O238" s="575"/>
    </row>
    <row r="239" spans="1:15" s="399" customFormat="1" x14ac:dyDescent="0.25">
      <c r="A239" s="601" t="s">
        <v>448</v>
      </c>
      <c r="B239" s="636">
        <v>1.05</v>
      </c>
      <c r="C239" s="601"/>
      <c r="D239" s="601" t="s">
        <v>319</v>
      </c>
      <c r="E239" s="601" t="s">
        <v>319</v>
      </c>
      <c r="F239" s="601" t="s">
        <v>319</v>
      </c>
      <c r="G239" s="601" t="s">
        <v>449</v>
      </c>
      <c r="H239" s="601" t="s">
        <v>325</v>
      </c>
      <c r="I239" s="601" t="s">
        <v>475</v>
      </c>
      <c r="J239" s="575"/>
      <c r="K239" s="575"/>
      <c r="L239" s="575"/>
      <c r="M239" s="575"/>
      <c r="N239" s="575"/>
      <c r="O239" s="575"/>
    </row>
    <row r="240" spans="1:15" s="399" customFormat="1" x14ac:dyDescent="0.25">
      <c r="A240" s="601" t="s">
        <v>448</v>
      </c>
      <c r="B240" s="636">
        <v>1.05</v>
      </c>
      <c r="C240" s="601"/>
      <c r="D240" s="601" t="s">
        <v>319</v>
      </c>
      <c r="E240" s="601" t="s">
        <v>319</v>
      </c>
      <c r="F240" s="601" t="s">
        <v>319</v>
      </c>
      <c r="G240" s="601" t="s">
        <v>449</v>
      </c>
      <c r="H240" s="601" t="s">
        <v>325</v>
      </c>
      <c r="I240" s="601" t="s">
        <v>476</v>
      </c>
      <c r="J240" s="575"/>
      <c r="K240" s="575"/>
      <c r="L240" s="575"/>
      <c r="M240" s="575"/>
      <c r="N240" s="575"/>
      <c r="O240" s="575"/>
    </row>
    <row r="241" spans="1:15" s="399" customFormat="1" x14ac:dyDescent="0.25">
      <c r="A241" s="601" t="s">
        <v>448</v>
      </c>
      <c r="B241" s="636">
        <v>1.0249999999999999</v>
      </c>
      <c r="C241" s="601"/>
      <c r="D241" s="601" t="s">
        <v>319</v>
      </c>
      <c r="E241" s="601" t="s">
        <v>319</v>
      </c>
      <c r="F241" s="601" t="s">
        <v>319</v>
      </c>
      <c r="G241" s="601" t="s">
        <v>449</v>
      </c>
      <c r="H241" s="601" t="s">
        <v>325</v>
      </c>
      <c r="I241" s="601" t="s">
        <v>477</v>
      </c>
      <c r="J241" s="575"/>
      <c r="K241" s="575"/>
      <c r="L241" s="575"/>
      <c r="M241" s="575"/>
      <c r="N241" s="575"/>
      <c r="O241" s="575"/>
    </row>
    <row r="242" spans="1:15" s="399" customFormat="1" x14ac:dyDescent="0.25">
      <c r="A242" s="601" t="s">
        <v>448</v>
      </c>
      <c r="B242" s="636">
        <v>1.0249999999999999</v>
      </c>
      <c r="C242" s="601"/>
      <c r="D242" s="601" t="s">
        <v>319</v>
      </c>
      <c r="E242" s="601" t="s">
        <v>319</v>
      </c>
      <c r="F242" s="601" t="s">
        <v>319</v>
      </c>
      <c r="G242" s="601" t="s">
        <v>449</v>
      </c>
      <c r="H242" s="601" t="s">
        <v>325</v>
      </c>
      <c r="I242" s="601" t="s">
        <v>478</v>
      </c>
      <c r="J242" s="575"/>
      <c r="K242" s="575"/>
      <c r="L242" s="575"/>
      <c r="M242" s="575"/>
      <c r="N242" s="575"/>
      <c r="O242" s="575"/>
    </row>
    <row r="243" spans="1:15" s="399" customFormat="1" x14ac:dyDescent="0.25">
      <c r="A243" s="601" t="s">
        <v>448</v>
      </c>
      <c r="B243" s="636">
        <v>1.0249999999999999</v>
      </c>
      <c r="C243" s="601"/>
      <c r="D243" s="601" t="s">
        <v>319</v>
      </c>
      <c r="E243" s="601" t="s">
        <v>319</v>
      </c>
      <c r="F243" s="601" t="s">
        <v>319</v>
      </c>
      <c r="G243" s="601" t="s">
        <v>449</v>
      </c>
      <c r="H243" s="601" t="s">
        <v>325</v>
      </c>
      <c r="I243" s="601" t="s">
        <v>479</v>
      </c>
      <c r="J243" s="575"/>
      <c r="K243" s="575"/>
      <c r="L243" s="575"/>
      <c r="M243" s="575"/>
      <c r="N243" s="575"/>
      <c r="O243" s="575"/>
    </row>
    <row r="244" spans="1:15" s="399" customFormat="1" x14ac:dyDescent="0.25">
      <c r="A244" s="601" t="s">
        <v>448</v>
      </c>
      <c r="B244" s="636">
        <v>1.0249999999999999</v>
      </c>
      <c r="C244" s="601"/>
      <c r="D244" s="601" t="s">
        <v>319</v>
      </c>
      <c r="E244" s="601" t="s">
        <v>319</v>
      </c>
      <c r="F244" s="601" t="s">
        <v>319</v>
      </c>
      <c r="G244" s="601" t="s">
        <v>449</v>
      </c>
      <c r="H244" s="601" t="s">
        <v>325</v>
      </c>
      <c r="I244" s="601" t="s">
        <v>480</v>
      </c>
      <c r="J244" s="575"/>
      <c r="K244" s="575"/>
      <c r="L244" s="575"/>
      <c r="M244" s="575"/>
      <c r="N244" s="575"/>
      <c r="O244" s="575"/>
    </row>
    <row r="245" spans="1:15" s="399" customFormat="1" x14ac:dyDescent="0.25">
      <c r="A245" s="601" t="s">
        <v>448</v>
      </c>
      <c r="B245" s="636">
        <v>1.0249999999999999</v>
      </c>
      <c r="C245" s="601"/>
      <c r="D245" s="601" t="s">
        <v>319</v>
      </c>
      <c r="E245" s="601" t="s">
        <v>319</v>
      </c>
      <c r="F245" s="601" t="s">
        <v>319</v>
      </c>
      <c r="G245" s="601" t="s">
        <v>449</v>
      </c>
      <c r="H245" s="601" t="s">
        <v>325</v>
      </c>
      <c r="I245" s="601" t="s">
        <v>481</v>
      </c>
      <c r="J245" s="575"/>
      <c r="K245" s="575"/>
      <c r="L245" s="575"/>
      <c r="M245" s="575"/>
      <c r="N245" s="575"/>
      <c r="O245" s="575"/>
    </row>
    <row r="246" spans="1:15" s="399" customFormat="1" x14ac:dyDescent="0.25">
      <c r="A246" s="601" t="s">
        <v>448</v>
      </c>
      <c r="B246" s="636">
        <v>1</v>
      </c>
      <c r="C246" s="601"/>
      <c r="D246" s="601" t="s">
        <v>319</v>
      </c>
      <c r="E246" s="601" t="s">
        <v>319</v>
      </c>
      <c r="F246" s="601" t="s">
        <v>319</v>
      </c>
      <c r="G246" s="601" t="s">
        <v>449</v>
      </c>
      <c r="H246" s="601" t="s">
        <v>325</v>
      </c>
      <c r="I246" s="601" t="s">
        <v>482</v>
      </c>
      <c r="J246" s="575"/>
      <c r="K246" s="575"/>
      <c r="L246" s="575"/>
      <c r="M246" s="575"/>
      <c r="N246" s="575"/>
      <c r="O246" s="575"/>
    </row>
    <row r="247" spans="1:15" s="399" customFormat="1" x14ac:dyDescent="0.25">
      <c r="A247" s="601" t="s">
        <v>448</v>
      </c>
      <c r="B247" s="636">
        <v>1</v>
      </c>
      <c r="C247" s="601"/>
      <c r="D247" s="601" t="s">
        <v>319</v>
      </c>
      <c r="E247" s="601" t="s">
        <v>319</v>
      </c>
      <c r="F247" s="601" t="s">
        <v>319</v>
      </c>
      <c r="G247" s="601" t="s">
        <v>449</v>
      </c>
      <c r="H247" s="601" t="s">
        <v>325</v>
      </c>
      <c r="I247" s="601" t="s">
        <v>483</v>
      </c>
      <c r="J247" s="575"/>
      <c r="K247" s="575"/>
      <c r="L247" s="575"/>
      <c r="M247" s="575"/>
      <c r="N247" s="575"/>
      <c r="O247" s="575"/>
    </row>
    <row r="248" spans="1:15" s="399" customFormat="1" x14ac:dyDescent="0.25">
      <c r="A248" s="601" t="s">
        <v>448</v>
      </c>
      <c r="B248" s="636">
        <v>1</v>
      </c>
      <c r="C248" s="601"/>
      <c r="D248" s="601" t="s">
        <v>319</v>
      </c>
      <c r="E248" s="601" t="s">
        <v>319</v>
      </c>
      <c r="F248" s="601" t="s">
        <v>319</v>
      </c>
      <c r="G248" s="601" t="s">
        <v>449</v>
      </c>
      <c r="H248" s="601" t="s">
        <v>325</v>
      </c>
      <c r="I248" s="601" t="s">
        <v>484</v>
      </c>
      <c r="J248" s="575"/>
      <c r="K248" s="575"/>
      <c r="L248" s="575"/>
      <c r="M248" s="575"/>
      <c r="N248" s="575"/>
      <c r="O248" s="575"/>
    </row>
    <row r="249" spans="1:15" s="399" customFormat="1" x14ac:dyDescent="0.25">
      <c r="A249" s="601" t="s">
        <v>448</v>
      </c>
      <c r="B249" s="636">
        <v>1</v>
      </c>
      <c r="C249" s="601"/>
      <c r="D249" s="601" t="s">
        <v>319</v>
      </c>
      <c r="E249" s="601" t="s">
        <v>319</v>
      </c>
      <c r="F249" s="601" t="s">
        <v>319</v>
      </c>
      <c r="G249" s="601" t="s">
        <v>449</v>
      </c>
      <c r="H249" s="601" t="s">
        <v>325</v>
      </c>
      <c r="I249" s="601" t="s">
        <v>485</v>
      </c>
      <c r="J249" s="575"/>
      <c r="K249" s="575"/>
      <c r="L249" s="575"/>
      <c r="M249" s="575"/>
      <c r="N249" s="575"/>
      <c r="O249" s="575"/>
    </row>
    <row r="250" spans="1:15" s="399" customFormat="1" x14ac:dyDescent="0.25">
      <c r="A250" s="601" t="s">
        <v>448</v>
      </c>
      <c r="B250" s="636">
        <v>1</v>
      </c>
      <c r="C250" s="601"/>
      <c r="D250" s="601" t="s">
        <v>319</v>
      </c>
      <c r="E250" s="601" t="s">
        <v>319</v>
      </c>
      <c r="F250" s="601" t="s">
        <v>319</v>
      </c>
      <c r="G250" s="601" t="s">
        <v>449</v>
      </c>
      <c r="H250" s="601" t="s">
        <v>325</v>
      </c>
      <c r="I250" s="601" t="s">
        <v>486</v>
      </c>
      <c r="J250" s="575"/>
      <c r="K250" s="575"/>
      <c r="L250" s="575"/>
      <c r="M250" s="575"/>
      <c r="N250" s="575"/>
      <c r="O250" s="575"/>
    </row>
    <row r="251" spans="1:15" s="399" customFormat="1" x14ac:dyDescent="0.25">
      <c r="A251" s="601" t="s">
        <v>448</v>
      </c>
      <c r="B251" s="636">
        <v>1</v>
      </c>
      <c r="C251" s="601"/>
      <c r="D251" s="601" t="s">
        <v>319</v>
      </c>
      <c r="E251" s="601" t="s">
        <v>319</v>
      </c>
      <c r="F251" s="601" t="s">
        <v>319</v>
      </c>
      <c r="G251" s="601" t="s">
        <v>449</v>
      </c>
      <c r="H251" s="601" t="s">
        <v>325</v>
      </c>
      <c r="I251" s="601" t="s">
        <v>487</v>
      </c>
      <c r="J251" s="575"/>
      <c r="K251" s="575"/>
      <c r="L251" s="575"/>
      <c r="M251" s="575"/>
      <c r="N251" s="575"/>
      <c r="O251" s="575"/>
    </row>
    <row r="252" spans="1:15" s="399" customFormat="1" x14ac:dyDescent="0.25">
      <c r="A252" s="601" t="s">
        <v>448</v>
      </c>
      <c r="B252" s="636">
        <v>1</v>
      </c>
      <c r="C252" s="601"/>
      <c r="D252" s="601" t="s">
        <v>319</v>
      </c>
      <c r="E252" s="601" t="s">
        <v>319</v>
      </c>
      <c r="F252" s="601" t="s">
        <v>319</v>
      </c>
      <c r="G252" s="601" t="s">
        <v>449</v>
      </c>
      <c r="H252" s="601" t="s">
        <v>325</v>
      </c>
      <c r="I252" s="601" t="s">
        <v>488</v>
      </c>
      <c r="J252" s="575"/>
      <c r="K252" s="575"/>
      <c r="L252" s="575"/>
      <c r="M252" s="575"/>
      <c r="N252" s="575"/>
      <c r="O252" s="575"/>
    </row>
    <row r="253" spans="1:15" s="399" customFormat="1" x14ac:dyDescent="0.25">
      <c r="A253" s="601" t="s">
        <v>448</v>
      </c>
      <c r="B253" s="636">
        <v>1</v>
      </c>
      <c r="C253" s="601"/>
      <c r="D253" s="601" t="s">
        <v>319</v>
      </c>
      <c r="E253" s="601" t="s">
        <v>319</v>
      </c>
      <c r="F253" s="601" t="s">
        <v>319</v>
      </c>
      <c r="G253" s="601" t="s">
        <v>449</v>
      </c>
      <c r="H253" s="601" t="s">
        <v>325</v>
      </c>
      <c r="I253" s="601" t="s">
        <v>489</v>
      </c>
      <c r="J253" s="575"/>
      <c r="K253" s="575"/>
      <c r="L253" s="575"/>
      <c r="M253" s="575"/>
      <c r="N253" s="575"/>
      <c r="O253" s="575"/>
    </row>
    <row r="254" spans="1:15" s="399" customFormat="1" x14ac:dyDescent="0.25">
      <c r="A254" s="601" t="s">
        <v>448</v>
      </c>
      <c r="B254" s="636">
        <v>1</v>
      </c>
      <c r="C254" s="601"/>
      <c r="D254" s="601" t="s">
        <v>319</v>
      </c>
      <c r="E254" s="601" t="s">
        <v>319</v>
      </c>
      <c r="F254" s="601" t="s">
        <v>319</v>
      </c>
      <c r="G254" s="601" t="s">
        <v>449</v>
      </c>
      <c r="H254" s="601" t="s">
        <v>325</v>
      </c>
      <c r="I254" s="601" t="s">
        <v>490</v>
      </c>
      <c r="J254" s="575"/>
      <c r="K254" s="575"/>
      <c r="L254" s="575"/>
      <c r="M254" s="575"/>
      <c r="N254" s="575"/>
      <c r="O254" s="575"/>
    </row>
    <row r="255" spans="1:15" s="399" customFormat="1" x14ac:dyDescent="0.25">
      <c r="A255" s="601" t="s">
        <v>448</v>
      </c>
      <c r="B255" s="636">
        <v>1</v>
      </c>
      <c r="C255" s="601"/>
      <c r="D255" s="601" t="s">
        <v>319</v>
      </c>
      <c r="E255" s="601" t="s">
        <v>319</v>
      </c>
      <c r="F255" s="601" t="s">
        <v>319</v>
      </c>
      <c r="G255" s="601" t="s">
        <v>449</v>
      </c>
      <c r="H255" s="601" t="s">
        <v>325</v>
      </c>
      <c r="I255" s="601" t="s">
        <v>491</v>
      </c>
      <c r="J255" s="575"/>
      <c r="K255" s="575"/>
      <c r="L255" s="575"/>
      <c r="M255" s="575"/>
      <c r="N255" s="575"/>
      <c r="O255" s="575"/>
    </row>
    <row r="256" spans="1:15" s="399" customFormat="1" x14ac:dyDescent="0.25">
      <c r="A256" s="601" t="s">
        <v>448</v>
      </c>
      <c r="B256" s="636">
        <v>1</v>
      </c>
      <c r="C256" s="601"/>
      <c r="D256" s="601" t="s">
        <v>319</v>
      </c>
      <c r="E256" s="601" t="s">
        <v>319</v>
      </c>
      <c r="F256" s="601" t="s">
        <v>319</v>
      </c>
      <c r="G256" s="601" t="s">
        <v>449</v>
      </c>
      <c r="H256" s="601" t="s">
        <v>325</v>
      </c>
      <c r="I256" s="601" t="s">
        <v>492</v>
      </c>
      <c r="J256" s="575"/>
      <c r="K256" s="575"/>
      <c r="L256" s="575"/>
      <c r="M256" s="575"/>
      <c r="N256" s="575"/>
      <c r="O256" s="575"/>
    </row>
    <row r="257" spans="1:15" s="399" customFormat="1" x14ac:dyDescent="0.25">
      <c r="A257" s="601" t="s">
        <v>448</v>
      </c>
      <c r="B257" s="636">
        <v>1</v>
      </c>
      <c r="C257" s="601"/>
      <c r="D257" s="601" t="s">
        <v>319</v>
      </c>
      <c r="E257" s="601" t="s">
        <v>319</v>
      </c>
      <c r="F257" s="601" t="s">
        <v>319</v>
      </c>
      <c r="G257" s="601" t="s">
        <v>449</v>
      </c>
      <c r="H257" s="601" t="s">
        <v>325</v>
      </c>
      <c r="I257" s="601" t="s">
        <v>493</v>
      </c>
      <c r="J257" s="575"/>
      <c r="K257" s="575"/>
      <c r="L257" s="575"/>
      <c r="M257" s="575"/>
      <c r="N257" s="575"/>
      <c r="O257" s="575"/>
    </row>
    <row r="258" spans="1:15" s="399" customFormat="1" x14ac:dyDescent="0.25">
      <c r="A258" s="601" t="s">
        <v>448</v>
      </c>
      <c r="B258" s="636">
        <v>1</v>
      </c>
      <c r="C258" s="601"/>
      <c r="D258" s="601" t="s">
        <v>319</v>
      </c>
      <c r="E258" s="601" t="s">
        <v>319</v>
      </c>
      <c r="F258" s="601" t="s">
        <v>319</v>
      </c>
      <c r="G258" s="601" t="s">
        <v>449</v>
      </c>
      <c r="H258" s="601" t="s">
        <v>325</v>
      </c>
      <c r="I258" s="601" t="s">
        <v>494</v>
      </c>
      <c r="J258" s="575"/>
      <c r="K258" s="575"/>
      <c r="L258" s="575"/>
      <c r="M258" s="575"/>
      <c r="N258" s="575"/>
      <c r="O258" s="575"/>
    </row>
    <row r="259" spans="1:15" s="399" customFormat="1" x14ac:dyDescent="0.25">
      <c r="A259" s="601" t="s">
        <v>448</v>
      </c>
      <c r="B259" s="636">
        <v>1</v>
      </c>
      <c r="C259" s="601"/>
      <c r="D259" s="601" t="s">
        <v>319</v>
      </c>
      <c r="E259" s="601" t="s">
        <v>319</v>
      </c>
      <c r="F259" s="601" t="s">
        <v>319</v>
      </c>
      <c r="G259" s="601" t="s">
        <v>449</v>
      </c>
      <c r="H259" s="601" t="s">
        <v>325</v>
      </c>
      <c r="I259" s="601" t="s">
        <v>495</v>
      </c>
      <c r="J259" s="575"/>
      <c r="K259" s="575"/>
      <c r="L259" s="575"/>
      <c r="M259" s="575"/>
      <c r="N259" s="575"/>
      <c r="O259" s="575"/>
    </row>
    <row r="260" spans="1:15" s="399" customFormat="1" x14ac:dyDescent="0.25">
      <c r="A260" s="601" t="s">
        <v>448</v>
      </c>
      <c r="B260" s="636">
        <v>1</v>
      </c>
      <c r="C260" s="601"/>
      <c r="D260" s="601" t="s">
        <v>319</v>
      </c>
      <c r="E260" s="601" t="s">
        <v>319</v>
      </c>
      <c r="F260" s="601" t="s">
        <v>319</v>
      </c>
      <c r="G260" s="601" t="s">
        <v>449</v>
      </c>
      <c r="H260" s="601" t="s">
        <v>325</v>
      </c>
      <c r="I260" s="601" t="s">
        <v>496</v>
      </c>
      <c r="J260" s="575"/>
      <c r="K260" s="575"/>
      <c r="L260" s="575"/>
      <c r="M260" s="575"/>
      <c r="N260" s="575"/>
      <c r="O260" s="575"/>
    </row>
    <row r="261" spans="1:15" s="399" customFormat="1" x14ac:dyDescent="0.25">
      <c r="A261" s="601" t="s">
        <v>448</v>
      </c>
      <c r="B261" s="636">
        <v>1</v>
      </c>
      <c r="C261" s="601"/>
      <c r="D261" s="601" t="s">
        <v>319</v>
      </c>
      <c r="E261" s="601" t="s">
        <v>319</v>
      </c>
      <c r="F261" s="601" t="s">
        <v>319</v>
      </c>
      <c r="G261" s="601" t="s">
        <v>449</v>
      </c>
      <c r="H261" s="601" t="s">
        <v>325</v>
      </c>
      <c r="I261" s="601" t="s">
        <v>497</v>
      </c>
      <c r="J261" s="575"/>
      <c r="K261" s="575"/>
      <c r="L261" s="575"/>
      <c r="M261" s="575"/>
      <c r="N261" s="575"/>
      <c r="O261" s="575"/>
    </row>
    <row r="262" spans="1:15" s="399" customFormat="1" x14ac:dyDescent="0.25">
      <c r="A262" s="601" t="s">
        <v>448</v>
      </c>
      <c r="B262" s="636">
        <v>1</v>
      </c>
      <c r="C262" s="601"/>
      <c r="D262" s="601" t="s">
        <v>319</v>
      </c>
      <c r="E262" s="601" t="s">
        <v>319</v>
      </c>
      <c r="F262" s="601" t="s">
        <v>319</v>
      </c>
      <c r="G262" s="601" t="s">
        <v>449</v>
      </c>
      <c r="H262" s="601" t="s">
        <v>325</v>
      </c>
      <c r="I262" s="601" t="s">
        <v>498</v>
      </c>
      <c r="J262" s="575"/>
      <c r="K262" s="575"/>
      <c r="L262" s="575"/>
      <c r="M262" s="575"/>
      <c r="N262" s="575"/>
      <c r="O262" s="575"/>
    </row>
    <row r="263" spans="1:15" s="399" customFormat="1" x14ac:dyDescent="0.25">
      <c r="A263" s="601" t="s">
        <v>448</v>
      </c>
      <c r="B263" s="636">
        <v>1</v>
      </c>
      <c r="C263" s="601"/>
      <c r="D263" s="601" t="s">
        <v>319</v>
      </c>
      <c r="E263" s="601" t="s">
        <v>319</v>
      </c>
      <c r="F263" s="601" t="s">
        <v>319</v>
      </c>
      <c r="G263" s="601" t="s">
        <v>449</v>
      </c>
      <c r="H263" s="601" t="s">
        <v>325</v>
      </c>
      <c r="I263" s="601" t="s">
        <v>499</v>
      </c>
      <c r="J263" s="575"/>
      <c r="K263" s="575"/>
      <c r="L263" s="575"/>
      <c r="M263" s="575"/>
      <c r="N263" s="575"/>
      <c r="O263" s="575"/>
    </row>
    <row r="264" spans="1:15" s="399" customFormat="1" x14ac:dyDescent="0.25">
      <c r="A264" s="601" t="s">
        <v>448</v>
      </c>
      <c r="B264" s="636">
        <v>1</v>
      </c>
      <c r="C264" s="601"/>
      <c r="D264" s="601" t="s">
        <v>319</v>
      </c>
      <c r="E264" s="601" t="s">
        <v>319</v>
      </c>
      <c r="F264" s="601" t="s">
        <v>319</v>
      </c>
      <c r="G264" s="601" t="s">
        <v>449</v>
      </c>
      <c r="H264" s="601" t="s">
        <v>325</v>
      </c>
      <c r="I264" s="601" t="s">
        <v>500</v>
      </c>
      <c r="J264" s="575"/>
      <c r="K264" s="575"/>
      <c r="L264" s="575"/>
      <c r="M264" s="575"/>
      <c r="N264" s="575"/>
      <c r="O264" s="575"/>
    </row>
    <row r="265" spans="1:15" s="399" customFormat="1" x14ac:dyDescent="0.25">
      <c r="A265" s="601" t="s">
        <v>448</v>
      </c>
      <c r="B265" s="636">
        <v>1</v>
      </c>
      <c r="C265" s="601"/>
      <c r="D265" s="601" t="s">
        <v>319</v>
      </c>
      <c r="E265" s="601" t="s">
        <v>319</v>
      </c>
      <c r="F265" s="601" t="s">
        <v>319</v>
      </c>
      <c r="G265" s="601" t="s">
        <v>449</v>
      </c>
      <c r="H265" s="601" t="s">
        <v>325</v>
      </c>
      <c r="I265" s="601" t="s">
        <v>501</v>
      </c>
      <c r="J265" s="575"/>
      <c r="K265" s="575"/>
      <c r="L265" s="575"/>
      <c r="M265" s="575"/>
      <c r="N265" s="575"/>
      <c r="O265" s="575"/>
    </row>
    <row r="266" spans="1:15" s="399" customFormat="1" x14ac:dyDescent="0.25">
      <c r="A266" s="601" t="s">
        <v>448</v>
      </c>
      <c r="B266" s="636">
        <v>1</v>
      </c>
      <c r="C266" s="601"/>
      <c r="D266" s="601" t="s">
        <v>319</v>
      </c>
      <c r="E266" s="601" t="s">
        <v>319</v>
      </c>
      <c r="F266" s="601" t="s">
        <v>319</v>
      </c>
      <c r="G266" s="601" t="s">
        <v>449</v>
      </c>
      <c r="H266" s="601" t="s">
        <v>325</v>
      </c>
      <c r="I266" s="601" t="s">
        <v>502</v>
      </c>
      <c r="J266" s="575"/>
      <c r="K266" s="575"/>
      <c r="L266" s="575"/>
      <c r="M266" s="575"/>
      <c r="N266" s="575"/>
      <c r="O266" s="575"/>
    </row>
    <row r="267" spans="1:15" s="399" customFormat="1" x14ac:dyDescent="0.25">
      <c r="A267" s="601" t="s">
        <v>448</v>
      </c>
      <c r="B267" s="636">
        <v>1</v>
      </c>
      <c r="C267" s="601"/>
      <c r="D267" s="601" t="s">
        <v>319</v>
      </c>
      <c r="E267" s="601" t="s">
        <v>319</v>
      </c>
      <c r="F267" s="601" t="s">
        <v>319</v>
      </c>
      <c r="G267" s="601" t="s">
        <v>449</v>
      </c>
      <c r="H267" s="601" t="s">
        <v>325</v>
      </c>
      <c r="I267" s="601" t="s">
        <v>503</v>
      </c>
      <c r="J267" s="575"/>
      <c r="K267" s="575"/>
      <c r="L267" s="575"/>
      <c r="M267" s="575"/>
      <c r="N267" s="575"/>
      <c r="O267" s="575"/>
    </row>
    <row r="268" spans="1:15" s="399" customFormat="1" x14ac:dyDescent="0.25">
      <c r="A268" s="601" t="s">
        <v>448</v>
      </c>
      <c r="B268" s="636">
        <v>1</v>
      </c>
      <c r="C268" s="601"/>
      <c r="D268" s="601" t="s">
        <v>319</v>
      </c>
      <c r="E268" s="601" t="s">
        <v>319</v>
      </c>
      <c r="F268" s="601" t="s">
        <v>319</v>
      </c>
      <c r="G268" s="601" t="s">
        <v>449</v>
      </c>
      <c r="H268" s="601" t="s">
        <v>325</v>
      </c>
      <c r="I268" s="601" t="s">
        <v>504</v>
      </c>
      <c r="J268" s="575"/>
      <c r="K268" s="575"/>
      <c r="L268" s="575"/>
      <c r="M268" s="575"/>
      <c r="N268" s="575"/>
      <c r="O268" s="575"/>
    </row>
    <row r="269" spans="1:15" s="399" customFormat="1" x14ac:dyDescent="0.25">
      <c r="A269" s="601" t="s">
        <v>505</v>
      </c>
      <c r="B269" s="602">
        <v>1</v>
      </c>
      <c r="C269" s="601"/>
      <c r="D269" s="601" t="s">
        <v>319</v>
      </c>
      <c r="E269" s="601" t="s">
        <v>319</v>
      </c>
      <c r="F269" s="601" t="s">
        <v>319</v>
      </c>
      <c r="G269" s="601" t="s">
        <v>505</v>
      </c>
      <c r="H269" s="601" t="s">
        <v>322</v>
      </c>
      <c r="I269" s="601" t="s">
        <v>506</v>
      </c>
      <c r="J269" s="575"/>
      <c r="K269" s="575"/>
      <c r="L269" s="575"/>
      <c r="M269" s="575"/>
      <c r="N269" s="575"/>
      <c r="O269" s="575"/>
    </row>
    <row r="270" spans="1:15" x14ac:dyDescent="0.25">
      <c r="A270" s="601" t="s">
        <v>505</v>
      </c>
      <c r="B270" s="602">
        <v>1</v>
      </c>
      <c r="C270" s="601"/>
      <c r="D270" s="601" t="s">
        <v>319</v>
      </c>
      <c r="E270" s="601" t="s">
        <v>319</v>
      </c>
      <c r="F270" s="601" t="s">
        <v>319</v>
      </c>
      <c r="G270" s="601" t="s">
        <v>505</v>
      </c>
      <c r="H270" s="601" t="s">
        <v>322</v>
      </c>
      <c r="I270" s="601" t="s">
        <v>507</v>
      </c>
      <c r="J270" s="575"/>
      <c r="K270" s="575"/>
      <c r="L270" s="575"/>
      <c r="M270" s="575"/>
      <c r="N270" s="575"/>
      <c r="O270" s="575"/>
    </row>
    <row r="271" spans="1:15" x14ac:dyDescent="0.25">
      <c r="A271" s="601" t="s">
        <v>505</v>
      </c>
      <c r="B271" s="602">
        <v>1</v>
      </c>
      <c r="C271" s="601"/>
      <c r="D271" s="601" t="s">
        <v>319</v>
      </c>
      <c r="E271" s="601" t="s">
        <v>319</v>
      </c>
      <c r="F271" s="601" t="s">
        <v>319</v>
      </c>
      <c r="G271" s="601" t="s">
        <v>505</v>
      </c>
      <c r="H271" s="601" t="s">
        <v>322</v>
      </c>
      <c r="I271" s="601" t="s">
        <v>508</v>
      </c>
      <c r="J271" s="575"/>
      <c r="K271" s="575"/>
      <c r="L271" s="575"/>
      <c r="M271" s="575"/>
      <c r="N271" s="575"/>
      <c r="O271" s="575"/>
    </row>
    <row r="272" spans="1:15" x14ac:dyDescent="0.25">
      <c r="A272" s="601" t="s">
        <v>505</v>
      </c>
      <c r="B272" s="602">
        <v>1.2</v>
      </c>
      <c r="C272" s="601"/>
      <c r="D272" s="601" t="s">
        <v>319</v>
      </c>
      <c r="E272" s="601" t="s">
        <v>319</v>
      </c>
      <c r="F272" s="601" t="s">
        <v>319</v>
      </c>
      <c r="G272" s="601" t="s">
        <v>505</v>
      </c>
      <c r="H272" s="601" t="s">
        <v>322</v>
      </c>
      <c r="I272" s="601" t="s">
        <v>509</v>
      </c>
      <c r="J272" s="575"/>
      <c r="K272" s="575"/>
      <c r="L272" s="575"/>
      <c r="M272" s="575"/>
      <c r="N272" s="575"/>
      <c r="O272" s="575"/>
    </row>
    <row r="273" spans="1:15" x14ac:dyDescent="0.25">
      <c r="A273" s="634" t="s">
        <v>510</v>
      </c>
      <c r="B273" s="635">
        <v>1</v>
      </c>
      <c r="C273" s="634"/>
      <c r="D273" s="634" t="s">
        <v>319</v>
      </c>
      <c r="E273" s="634" t="s">
        <v>319</v>
      </c>
      <c r="F273" s="634" t="s">
        <v>319</v>
      </c>
      <c r="G273" s="634" t="s">
        <v>511</v>
      </c>
      <c r="H273" s="634" t="s">
        <v>322</v>
      </c>
      <c r="I273" s="634" t="s">
        <v>512</v>
      </c>
      <c r="J273" s="576"/>
      <c r="K273" s="576"/>
      <c r="L273" s="576"/>
      <c r="M273" s="576"/>
      <c r="N273" s="576"/>
      <c r="O273" s="576"/>
    </row>
    <row r="274" spans="1:15" x14ac:dyDescent="0.25">
      <c r="A274" s="634" t="s">
        <v>510</v>
      </c>
      <c r="B274" s="635">
        <v>1</v>
      </c>
      <c r="C274" s="634"/>
      <c r="D274" s="634" t="s">
        <v>319</v>
      </c>
      <c r="E274" s="634" t="s">
        <v>319</v>
      </c>
      <c r="F274" s="634" t="s">
        <v>319</v>
      </c>
      <c r="G274" s="634" t="s">
        <v>511</v>
      </c>
      <c r="H274" s="634" t="s">
        <v>322</v>
      </c>
      <c r="I274" s="634" t="s">
        <v>513</v>
      </c>
      <c r="J274" s="576"/>
      <c r="K274" s="576"/>
      <c r="L274" s="576"/>
      <c r="M274" s="576"/>
      <c r="N274" s="576"/>
      <c r="O274" s="576"/>
    </row>
    <row r="275" spans="1:15" x14ac:dyDescent="0.25">
      <c r="A275" s="634" t="s">
        <v>510</v>
      </c>
      <c r="B275" s="635">
        <v>1</v>
      </c>
      <c r="C275" s="634"/>
      <c r="D275" s="634" t="s">
        <v>319</v>
      </c>
      <c r="E275" s="634" t="s">
        <v>319</v>
      </c>
      <c r="F275" s="634" t="s">
        <v>319</v>
      </c>
      <c r="G275" s="634" t="s">
        <v>511</v>
      </c>
      <c r="H275" s="634" t="s">
        <v>322</v>
      </c>
      <c r="I275" s="634" t="s">
        <v>514</v>
      </c>
      <c r="J275" s="576"/>
      <c r="K275" s="576"/>
      <c r="L275" s="576"/>
      <c r="M275" s="576"/>
      <c r="N275" s="576"/>
      <c r="O275" s="576"/>
    </row>
    <row r="276" spans="1:15" x14ac:dyDescent="0.25">
      <c r="A276" s="634" t="s">
        <v>510</v>
      </c>
      <c r="B276" s="635">
        <v>1.1000000000000001</v>
      </c>
      <c r="C276" s="634"/>
      <c r="D276" s="634" t="s">
        <v>319</v>
      </c>
      <c r="E276" s="634" t="s">
        <v>319</v>
      </c>
      <c r="F276" s="634" t="s">
        <v>319</v>
      </c>
      <c r="G276" s="634" t="s">
        <v>511</v>
      </c>
      <c r="H276" s="634" t="s">
        <v>322</v>
      </c>
      <c r="I276" s="634" t="s">
        <v>515</v>
      </c>
      <c r="J276" s="576"/>
      <c r="K276" s="576"/>
      <c r="L276" s="576"/>
      <c r="M276" s="576"/>
      <c r="N276" s="576"/>
      <c r="O276" s="576"/>
    </row>
    <row r="277" spans="1:15" x14ac:dyDescent="0.25">
      <c r="A277" s="634" t="s">
        <v>510</v>
      </c>
      <c r="B277" s="635">
        <v>1.2</v>
      </c>
      <c r="C277" s="634"/>
      <c r="D277" s="634" t="s">
        <v>319</v>
      </c>
      <c r="E277" s="634" t="s">
        <v>319</v>
      </c>
      <c r="F277" s="634" t="s">
        <v>319</v>
      </c>
      <c r="G277" s="634" t="s">
        <v>511</v>
      </c>
      <c r="H277" s="634" t="s">
        <v>322</v>
      </c>
      <c r="I277" s="634" t="s">
        <v>516</v>
      </c>
      <c r="J277" s="576"/>
      <c r="K277" s="576"/>
      <c r="L277" s="576"/>
      <c r="M277" s="576"/>
      <c r="N277" s="576"/>
      <c r="O277" s="576"/>
    </row>
    <row r="278" spans="1:15" s="399" customFormat="1" x14ac:dyDescent="0.25">
      <c r="A278" s="634" t="s">
        <v>510</v>
      </c>
      <c r="B278" s="635">
        <v>1</v>
      </c>
      <c r="C278" s="634"/>
      <c r="D278" s="634" t="s">
        <v>319</v>
      </c>
      <c r="E278" s="634" t="s">
        <v>319</v>
      </c>
      <c r="F278" s="634" t="s">
        <v>319</v>
      </c>
      <c r="G278" s="634" t="s">
        <v>511</v>
      </c>
      <c r="H278" s="634" t="s">
        <v>322</v>
      </c>
      <c r="I278" s="634" t="s">
        <v>517</v>
      </c>
      <c r="J278" s="576"/>
      <c r="K278" s="576"/>
      <c r="L278" s="576"/>
      <c r="M278" s="576"/>
      <c r="N278" s="576"/>
      <c r="O278" s="576"/>
    </row>
    <row r="279" spans="1:15" s="399" customFormat="1" x14ac:dyDescent="0.25">
      <c r="A279" s="631" t="s">
        <v>191</v>
      </c>
      <c r="B279" s="632">
        <v>1</v>
      </c>
      <c r="C279" s="633"/>
      <c r="D279" s="631" t="s">
        <v>319</v>
      </c>
      <c r="E279" s="631" t="s">
        <v>319</v>
      </c>
      <c r="F279" s="631" t="s">
        <v>319</v>
      </c>
      <c r="G279" s="631" t="s">
        <v>321</v>
      </c>
      <c r="H279" s="631" t="s">
        <v>322</v>
      </c>
      <c r="I279" s="631" t="s">
        <v>518</v>
      </c>
      <c r="J279" s="577"/>
      <c r="K279" s="577"/>
      <c r="L279" s="577"/>
      <c r="M279" s="577"/>
      <c r="N279" s="577"/>
      <c r="O279" s="577"/>
    </row>
    <row r="280" spans="1:15" s="399" customFormat="1" x14ac:dyDescent="0.25">
      <c r="A280" s="631" t="s">
        <v>191</v>
      </c>
      <c r="B280" s="632">
        <v>1</v>
      </c>
      <c r="C280" s="633"/>
      <c r="D280" s="631" t="s">
        <v>319</v>
      </c>
      <c r="E280" s="631" t="s">
        <v>319</v>
      </c>
      <c r="F280" s="631" t="s">
        <v>319</v>
      </c>
      <c r="G280" s="631" t="s">
        <v>321</v>
      </c>
      <c r="H280" s="631" t="s">
        <v>322</v>
      </c>
      <c r="I280" s="631" t="s">
        <v>519</v>
      </c>
      <c r="J280" s="577"/>
      <c r="K280" s="577"/>
      <c r="L280" s="577"/>
      <c r="M280" s="577"/>
      <c r="N280" s="577"/>
      <c r="O280" s="577"/>
    </row>
    <row r="281" spans="1:15" s="399" customFormat="1" x14ac:dyDescent="0.25">
      <c r="A281" s="631" t="s">
        <v>191</v>
      </c>
      <c r="B281" s="632">
        <v>1</v>
      </c>
      <c r="C281" s="633"/>
      <c r="D281" s="631" t="s">
        <v>319</v>
      </c>
      <c r="E281" s="631" t="s">
        <v>319</v>
      </c>
      <c r="F281" s="631" t="s">
        <v>319</v>
      </c>
      <c r="G281" s="631" t="s">
        <v>321</v>
      </c>
      <c r="H281" s="631" t="s">
        <v>322</v>
      </c>
      <c r="I281" s="631" t="s">
        <v>520</v>
      </c>
      <c r="J281" s="577"/>
      <c r="K281" s="577"/>
      <c r="L281" s="577"/>
      <c r="M281" s="577"/>
      <c r="N281" s="577"/>
      <c r="O281" s="577"/>
    </row>
    <row r="282" spans="1:15" s="399" customFormat="1" x14ac:dyDescent="0.25">
      <c r="A282" s="631" t="s">
        <v>191</v>
      </c>
      <c r="B282" s="632">
        <v>1</v>
      </c>
      <c r="C282" s="633"/>
      <c r="D282" s="631" t="s">
        <v>319</v>
      </c>
      <c r="E282" s="631" t="s">
        <v>319</v>
      </c>
      <c r="F282" s="631" t="s">
        <v>319</v>
      </c>
      <c r="G282" s="631" t="s">
        <v>321</v>
      </c>
      <c r="H282" s="631" t="s">
        <v>322</v>
      </c>
      <c r="I282" s="631" t="s">
        <v>521</v>
      </c>
      <c r="J282" s="577"/>
      <c r="K282" s="577"/>
      <c r="L282" s="577"/>
      <c r="M282" s="577"/>
      <c r="N282" s="577"/>
      <c r="O282" s="577"/>
    </row>
    <row r="283" spans="1:15" s="399" customFormat="1" x14ac:dyDescent="0.25">
      <c r="A283" s="631" t="s">
        <v>191</v>
      </c>
      <c r="B283" s="632">
        <v>1.1499999999999999</v>
      </c>
      <c r="C283" s="633"/>
      <c r="D283" s="631" t="s">
        <v>319</v>
      </c>
      <c r="E283" s="631" t="s">
        <v>319</v>
      </c>
      <c r="F283" s="631" t="s">
        <v>319</v>
      </c>
      <c r="G283" s="631" t="s">
        <v>321</v>
      </c>
      <c r="H283" s="631" t="s">
        <v>322</v>
      </c>
      <c r="I283" s="631" t="s">
        <v>522</v>
      </c>
      <c r="J283" s="577"/>
      <c r="K283" s="577"/>
      <c r="L283" s="577"/>
      <c r="M283" s="577"/>
      <c r="N283" s="577"/>
      <c r="O283" s="577"/>
    </row>
  </sheetData>
  <autoFilter ref="A1:O283" xr:uid="{3BDE5D3D-A60C-4391-A777-7BCC2F2BDFA4}">
    <sortState xmlns:xlrd2="http://schemas.microsoft.com/office/spreadsheetml/2017/richdata2" ref="A2:O284">
      <sortCondition ref="A1:A272"/>
    </sortState>
  </autoFilter>
  <phoneticPr fontId="1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1BAF-4E24-40D2-A654-96F755392D80}">
  <sheetPr>
    <tabColor rgb="FFFFFF00"/>
  </sheetPr>
  <dimension ref="A1:O281"/>
  <sheetViews>
    <sheetView workbookViewId="0">
      <pane ySplit="1" topLeftCell="A2" activePane="bottomLeft" state="frozen"/>
      <selection activeCell="P38" sqref="P38"/>
      <selection pane="bottomLeft" activeCell="A2" sqref="A2"/>
    </sheetView>
  </sheetViews>
  <sheetFormatPr defaultColWidth="9.1796875" defaultRowHeight="10.5" x14ac:dyDescent="0.25"/>
  <cols>
    <col min="1" max="1" width="15.54296875" style="570" bestFit="1" customWidth="1"/>
    <col min="2" max="2" width="10.7265625" style="573" bestFit="1" customWidth="1"/>
    <col min="3" max="3" width="3.1796875" style="570" customWidth="1"/>
    <col min="4" max="4" width="5.26953125" style="570" customWidth="1"/>
    <col min="5" max="6" width="5.72656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42"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x14ac:dyDescent="0.25">
      <c r="A25" s="601" t="s">
        <v>327</v>
      </c>
      <c r="B25" s="602">
        <v>0.86499999999999999</v>
      </c>
      <c r="C25" s="601"/>
      <c r="D25" s="601" t="s">
        <v>319</v>
      </c>
      <c r="E25" s="601" t="s">
        <v>319</v>
      </c>
      <c r="F25" s="601" t="s">
        <v>319</v>
      </c>
      <c r="G25" s="601" t="s">
        <v>327</v>
      </c>
      <c r="H25" s="601" t="s">
        <v>322</v>
      </c>
      <c r="I25" s="603">
        <v>65000</v>
      </c>
      <c r="J25" s="577"/>
      <c r="K25" s="577"/>
      <c r="L25" s="577"/>
      <c r="M25" s="577"/>
      <c r="N25" s="577"/>
      <c r="O25" s="577"/>
    </row>
    <row r="26" spans="1:15" x14ac:dyDescent="0.25">
      <c r="A26" s="601" t="s">
        <v>327</v>
      </c>
      <c r="B26" s="602">
        <v>0.91</v>
      </c>
      <c r="C26" s="601"/>
      <c r="D26" s="601" t="s">
        <v>319</v>
      </c>
      <c r="E26" s="601" t="s">
        <v>319</v>
      </c>
      <c r="F26" s="601" t="s">
        <v>319</v>
      </c>
      <c r="G26" s="601" t="s">
        <v>327</v>
      </c>
      <c r="H26" s="601" t="s">
        <v>322</v>
      </c>
      <c r="I26" s="603">
        <v>75000</v>
      </c>
      <c r="J26" s="577"/>
      <c r="K26" s="577"/>
      <c r="L26" s="577"/>
      <c r="M26" s="577"/>
      <c r="N26" s="577"/>
      <c r="O26" s="577"/>
    </row>
    <row r="27" spans="1:15" x14ac:dyDescent="0.25">
      <c r="A27" s="601" t="s">
        <v>327</v>
      </c>
      <c r="B27" s="602">
        <v>1</v>
      </c>
      <c r="C27" s="601"/>
      <c r="D27" s="601" t="s">
        <v>319</v>
      </c>
      <c r="E27" s="601" t="s">
        <v>319</v>
      </c>
      <c r="F27" s="601" t="s">
        <v>319</v>
      </c>
      <c r="G27" s="601" t="s">
        <v>327</v>
      </c>
      <c r="H27" s="601" t="s">
        <v>322</v>
      </c>
      <c r="I27" s="603">
        <v>100000</v>
      </c>
      <c r="J27" s="577"/>
      <c r="K27" s="577"/>
      <c r="L27" s="577"/>
      <c r="M27" s="577"/>
      <c r="N27" s="577"/>
      <c r="O27" s="577"/>
    </row>
    <row r="28" spans="1:15" x14ac:dyDescent="0.25">
      <c r="A28" s="601" t="s">
        <v>327</v>
      </c>
      <c r="B28" s="602">
        <v>1.575</v>
      </c>
      <c r="C28" s="601"/>
      <c r="D28" s="601" t="s">
        <v>319</v>
      </c>
      <c r="E28" s="601" t="s">
        <v>319</v>
      </c>
      <c r="F28" s="601" t="s">
        <v>319</v>
      </c>
      <c r="G28" s="601" t="s">
        <v>327</v>
      </c>
      <c r="H28" s="601" t="s">
        <v>322</v>
      </c>
      <c r="I28" s="603">
        <v>300000</v>
      </c>
      <c r="J28" s="577"/>
      <c r="K28" s="577"/>
      <c r="L28" s="577"/>
      <c r="M28" s="577"/>
      <c r="N28" s="577"/>
      <c r="O28" s="577"/>
    </row>
    <row r="29" spans="1:15" x14ac:dyDescent="0.25">
      <c r="A29" s="601" t="s">
        <v>327</v>
      </c>
      <c r="B29" s="602">
        <v>1.9603999999999999</v>
      </c>
      <c r="C29" s="601"/>
      <c r="D29" s="601" t="s">
        <v>319</v>
      </c>
      <c r="E29" s="601" t="s">
        <v>319</v>
      </c>
      <c r="F29" s="601" t="s">
        <v>319</v>
      </c>
      <c r="G29" s="601" t="s">
        <v>327</v>
      </c>
      <c r="H29" s="601" t="s">
        <v>322</v>
      </c>
      <c r="I29" s="603">
        <v>500000</v>
      </c>
      <c r="J29" s="577"/>
      <c r="K29" s="577"/>
      <c r="L29" s="577"/>
      <c r="M29" s="577"/>
      <c r="N29" s="577"/>
      <c r="O29" s="577"/>
    </row>
    <row r="30" spans="1:15" x14ac:dyDescent="0.25">
      <c r="A30" s="601" t="s">
        <v>327</v>
      </c>
      <c r="B30" s="602">
        <v>3.3605</v>
      </c>
      <c r="C30" s="601"/>
      <c r="D30" s="601" t="s">
        <v>319</v>
      </c>
      <c r="E30" s="601" t="s">
        <v>319</v>
      </c>
      <c r="F30" s="601" t="s">
        <v>319</v>
      </c>
      <c r="G30" s="601" t="s">
        <v>327</v>
      </c>
      <c r="H30" s="601" t="s">
        <v>322</v>
      </c>
      <c r="I30" s="603">
        <v>1000000</v>
      </c>
      <c r="J30" s="577"/>
      <c r="K30" s="577"/>
      <c r="L30" s="577"/>
      <c r="M30" s="577"/>
      <c r="N30" s="577"/>
      <c r="O30" s="577"/>
    </row>
    <row r="31" spans="1:15" x14ac:dyDescent="0.25">
      <c r="A31" s="630" t="s">
        <v>336</v>
      </c>
      <c r="B31" s="629">
        <v>1.02</v>
      </c>
      <c r="C31" s="630"/>
      <c r="D31" s="630" t="s">
        <v>319</v>
      </c>
      <c r="E31" s="630" t="s">
        <v>319</v>
      </c>
      <c r="F31" s="630" t="s">
        <v>319</v>
      </c>
      <c r="G31" s="630" t="s">
        <v>324</v>
      </c>
      <c r="H31" s="601" t="s">
        <v>325</v>
      </c>
      <c r="I31" s="601" t="s">
        <v>337</v>
      </c>
      <c r="J31" s="630" t="s">
        <v>338</v>
      </c>
      <c r="K31" s="630" t="s">
        <v>339</v>
      </c>
      <c r="L31" s="630" t="s">
        <v>320</v>
      </c>
      <c r="M31" s="630" t="s">
        <v>321</v>
      </c>
      <c r="N31" s="630" t="s">
        <v>340</v>
      </c>
      <c r="O31" s="630" t="s">
        <v>341</v>
      </c>
    </row>
    <row r="32" spans="1:15" x14ac:dyDescent="0.25">
      <c r="A32" s="630" t="s">
        <v>336</v>
      </c>
      <c r="B32" s="629">
        <v>1.02</v>
      </c>
      <c r="C32" s="630"/>
      <c r="D32" s="630" t="s">
        <v>319</v>
      </c>
      <c r="E32" s="630" t="s">
        <v>319</v>
      </c>
      <c r="F32" s="630" t="s">
        <v>319</v>
      </c>
      <c r="G32" s="630" t="s">
        <v>324</v>
      </c>
      <c r="H32" s="601" t="s">
        <v>325</v>
      </c>
      <c r="I32" s="601" t="s">
        <v>342</v>
      </c>
      <c r="J32" s="630" t="s">
        <v>338</v>
      </c>
      <c r="K32" s="630" t="s">
        <v>339</v>
      </c>
      <c r="L32" s="630" t="s">
        <v>320</v>
      </c>
      <c r="M32" s="630" t="s">
        <v>321</v>
      </c>
      <c r="N32" s="630" t="s">
        <v>340</v>
      </c>
      <c r="O32" s="630" t="s">
        <v>341</v>
      </c>
    </row>
    <row r="33" spans="1:15" x14ac:dyDescent="0.25">
      <c r="A33" s="630" t="s">
        <v>336</v>
      </c>
      <c r="B33" s="629">
        <v>1.02</v>
      </c>
      <c r="C33" s="630"/>
      <c r="D33" s="630" t="s">
        <v>319</v>
      </c>
      <c r="E33" s="630" t="s">
        <v>319</v>
      </c>
      <c r="F33" s="630" t="s">
        <v>319</v>
      </c>
      <c r="G33" s="630" t="s">
        <v>324</v>
      </c>
      <c r="H33" s="601" t="s">
        <v>325</v>
      </c>
      <c r="I33" s="601" t="s">
        <v>343</v>
      </c>
      <c r="J33" s="630" t="s">
        <v>338</v>
      </c>
      <c r="K33" s="630" t="s">
        <v>339</v>
      </c>
      <c r="L33" s="630" t="s">
        <v>320</v>
      </c>
      <c r="M33" s="630" t="s">
        <v>321</v>
      </c>
      <c r="N33" s="630" t="s">
        <v>340</v>
      </c>
      <c r="O33" s="630" t="s">
        <v>341</v>
      </c>
    </row>
    <row r="34" spans="1:15" x14ac:dyDescent="0.25">
      <c r="A34" s="630" t="s">
        <v>336</v>
      </c>
      <c r="B34" s="629">
        <v>1.02</v>
      </c>
      <c r="C34" s="630"/>
      <c r="D34" s="630" t="s">
        <v>319</v>
      </c>
      <c r="E34" s="630" t="s">
        <v>319</v>
      </c>
      <c r="F34" s="630" t="s">
        <v>319</v>
      </c>
      <c r="G34" s="630" t="s">
        <v>324</v>
      </c>
      <c r="H34" s="601" t="s">
        <v>325</v>
      </c>
      <c r="I34" s="601" t="s">
        <v>344</v>
      </c>
      <c r="J34" s="630" t="s">
        <v>338</v>
      </c>
      <c r="K34" s="630" t="s">
        <v>339</v>
      </c>
      <c r="L34" s="630" t="s">
        <v>320</v>
      </c>
      <c r="M34" s="630" t="s">
        <v>321</v>
      </c>
      <c r="N34" s="630" t="s">
        <v>340</v>
      </c>
      <c r="O34" s="630" t="s">
        <v>341</v>
      </c>
    </row>
    <row r="35" spans="1:15" x14ac:dyDescent="0.25">
      <c r="A35" s="630" t="s">
        <v>336</v>
      </c>
      <c r="B35" s="629">
        <v>1.02</v>
      </c>
      <c r="C35" s="630"/>
      <c r="D35" s="630" t="s">
        <v>319</v>
      </c>
      <c r="E35" s="630" t="s">
        <v>319</v>
      </c>
      <c r="F35" s="630" t="s">
        <v>319</v>
      </c>
      <c r="G35" s="630" t="s">
        <v>324</v>
      </c>
      <c r="H35" s="601" t="s">
        <v>325</v>
      </c>
      <c r="I35" s="601" t="s">
        <v>345</v>
      </c>
      <c r="J35" s="630" t="s">
        <v>338</v>
      </c>
      <c r="K35" s="630" t="s">
        <v>339</v>
      </c>
      <c r="L35" s="630" t="s">
        <v>320</v>
      </c>
      <c r="M35" s="630" t="s">
        <v>321</v>
      </c>
      <c r="N35" s="630" t="s">
        <v>340</v>
      </c>
      <c r="O35" s="630" t="s">
        <v>341</v>
      </c>
    </row>
    <row r="36" spans="1:15" x14ac:dyDescent="0.25">
      <c r="A36" s="630" t="s">
        <v>336</v>
      </c>
      <c r="B36" s="629">
        <v>1.08</v>
      </c>
      <c r="C36" s="630"/>
      <c r="D36" s="630" t="s">
        <v>319</v>
      </c>
      <c r="E36" s="630" t="s">
        <v>319</v>
      </c>
      <c r="F36" s="630" t="s">
        <v>319</v>
      </c>
      <c r="G36" s="630" t="s">
        <v>324</v>
      </c>
      <c r="H36" s="601" t="s">
        <v>325</v>
      </c>
      <c r="I36" s="601" t="s">
        <v>346</v>
      </c>
      <c r="J36" s="630" t="s">
        <v>338</v>
      </c>
      <c r="K36" s="630" t="s">
        <v>339</v>
      </c>
      <c r="L36" s="630" t="s">
        <v>320</v>
      </c>
      <c r="M36" s="630" t="s">
        <v>321</v>
      </c>
      <c r="N36" s="630" t="s">
        <v>340</v>
      </c>
      <c r="O36" s="630" t="s">
        <v>341</v>
      </c>
    </row>
    <row r="37" spans="1:15" x14ac:dyDescent="0.25">
      <c r="A37" s="630" t="s">
        <v>336</v>
      </c>
      <c r="B37" s="629">
        <v>1.08</v>
      </c>
      <c r="C37" s="630"/>
      <c r="D37" s="630" t="s">
        <v>319</v>
      </c>
      <c r="E37" s="630" t="s">
        <v>319</v>
      </c>
      <c r="F37" s="630" t="s">
        <v>319</v>
      </c>
      <c r="G37" s="630" t="s">
        <v>324</v>
      </c>
      <c r="H37" s="601" t="s">
        <v>325</v>
      </c>
      <c r="I37" s="601" t="s">
        <v>347</v>
      </c>
      <c r="J37" s="630" t="s">
        <v>338</v>
      </c>
      <c r="K37" s="630" t="s">
        <v>339</v>
      </c>
      <c r="L37" s="630" t="s">
        <v>320</v>
      </c>
      <c r="M37" s="630" t="s">
        <v>321</v>
      </c>
      <c r="N37" s="630" t="s">
        <v>340</v>
      </c>
      <c r="O37" s="630" t="s">
        <v>341</v>
      </c>
    </row>
    <row r="38" spans="1:15" x14ac:dyDescent="0.25">
      <c r="A38" s="630" t="s">
        <v>336</v>
      </c>
      <c r="B38" s="629">
        <v>1.08</v>
      </c>
      <c r="C38" s="630"/>
      <c r="D38" s="630" t="s">
        <v>319</v>
      </c>
      <c r="E38" s="630" t="s">
        <v>319</v>
      </c>
      <c r="F38" s="630" t="s">
        <v>319</v>
      </c>
      <c r="G38" s="630" t="s">
        <v>324</v>
      </c>
      <c r="H38" s="601" t="s">
        <v>325</v>
      </c>
      <c r="I38" s="601" t="s">
        <v>348</v>
      </c>
      <c r="J38" s="630" t="s">
        <v>338</v>
      </c>
      <c r="K38" s="630" t="s">
        <v>339</v>
      </c>
      <c r="L38" s="630" t="s">
        <v>320</v>
      </c>
      <c r="M38" s="630" t="s">
        <v>321</v>
      </c>
      <c r="N38" s="630" t="s">
        <v>340</v>
      </c>
      <c r="O38" s="630" t="s">
        <v>341</v>
      </c>
    </row>
    <row r="39" spans="1:15" x14ac:dyDescent="0.25">
      <c r="A39" s="630" t="s">
        <v>336</v>
      </c>
      <c r="B39" s="629">
        <v>1.08</v>
      </c>
      <c r="C39" s="630"/>
      <c r="D39" s="630" t="s">
        <v>319</v>
      </c>
      <c r="E39" s="630" t="s">
        <v>319</v>
      </c>
      <c r="F39" s="630" t="s">
        <v>319</v>
      </c>
      <c r="G39" s="630" t="s">
        <v>324</v>
      </c>
      <c r="H39" s="601" t="s">
        <v>325</v>
      </c>
      <c r="I39" s="601" t="s">
        <v>349</v>
      </c>
      <c r="J39" s="630" t="s">
        <v>338</v>
      </c>
      <c r="K39" s="630" t="s">
        <v>339</v>
      </c>
      <c r="L39" s="630" t="s">
        <v>320</v>
      </c>
      <c r="M39" s="630" t="s">
        <v>321</v>
      </c>
      <c r="N39" s="630" t="s">
        <v>340</v>
      </c>
      <c r="O39" s="630" t="s">
        <v>341</v>
      </c>
    </row>
    <row r="40" spans="1:15" x14ac:dyDescent="0.25">
      <c r="A40" s="630" t="s">
        <v>336</v>
      </c>
      <c r="B40" s="629">
        <v>1.08</v>
      </c>
      <c r="C40" s="630"/>
      <c r="D40" s="630" t="s">
        <v>319</v>
      </c>
      <c r="E40" s="630" t="s">
        <v>319</v>
      </c>
      <c r="F40" s="630" t="s">
        <v>319</v>
      </c>
      <c r="G40" s="630" t="s">
        <v>324</v>
      </c>
      <c r="H40" s="601" t="s">
        <v>325</v>
      </c>
      <c r="I40" s="601" t="s">
        <v>350</v>
      </c>
      <c r="J40" s="630" t="s">
        <v>338</v>
      </c>
      <c r="K40" s="630" t="s">
        <v>339</v>
      </c>
      <c r="L40" s="630" t="s">
        <v>320</v>
      </c>
      <c r="M40" s="630" t="s">
        <v>321</v>
      </c>
      <c r="N40" s="630" t="s">
        <v>340</v>
      </c>
      <c r="O40" s="630" t="s">
        <v>341</v>
      </c>
    </row>
    <row r="41" spans="1:15" x14ac:dyDescent="0.25">
      <c r="A41" s="630" t="s">
        <v>336</v>
      </c>
      <c r="B41" s="629">
        <v>1.08</v>
      </c>
      <c r="C41" s="630"/>
      <c r="D41" s="630" t="s">
        <v>319</v>
      </c>
      <c r="E41" s="630" t="s">
        <v>319</v>
      </c>
      <c r="F41" s="630" t="s">
        <v>319</v>
      </c>
      <c r="G41" s="630" t="s">
        <v>324</v>
      </c>
      <c r="H41" s="601" t="s">
        <v>325</v>
      </c>
      <c r="I41" s="601" t="s">
        <v>351</v>
      </c>
      <c r="J41" s="630" t="s">
        <v>338</v>
      </c>
      <c r="K41" s="630" t="s">
        <v>339</v>
      </c>
      <c r="L41" s="630" t="s">
        <v>320</v>
      </c>
      <c r="M41" s="630" t="s">
        <v>321</v>
      </c>
      <c r="N41" s="630" t="s">
        <v>340</v>
      </c>
      <c r="O41" s="630" t="s">
        <v>341</v>
      </c>
    </row>
    <row r="42" spans="1:15" x14ac:dyDescent="0.25">
      <c r="A42" s="630" t="s">
        <v>336</v>
      </c>
      <c r="B42" s="629">
        <v>1.08</v>
      </c>
      <c r="C42" s="630"/>
      <c r="D42" s="630" t="s">
        <v>319</v>
      </c>
      <c r="E42" s="630" t="s">
        <v>319</v>
      </c>
      <c r="F42" s="630" t="s">
        <v>319</v>
      </c>
      <c r="G42" s="630" t="s">
        <v>324</v>
      </c>
      <c r="H42" s="601" t="s">
        <v>325</v>
      </c>
      <c r="I42" s="601" t="s">
        <v>352</v>
      </c>
      <c r="J42" s="630" t="s">
        <v>338</v>
      </c>
      <c r="K42" s="630" t="s">
        <v>339</v>
      </c>
      <c r="L42" s="630" t="s">
        <v>320</v>
      </c>
      <c r="M42" s="630" t="s">
        <v>321</v>
      </c>
      <c r="N42" s="630" t="s">
        <v>340</v>
      </c>
      <c r="O42" s="630" t="s">
        <v>341</v>
      </c>
    </row>
    <row r="43" spans="1:15" x14ac:dyDescent="0.25">
      <c r="A43" s="630" t="s">
        <v>336</v>
      </c>
      <c r="B43" s="629">
        <v>1.08</v>
      </c>
      <c r="C43" s="630"/>
      <c r="D43" s="630" t="s">
        <v>319</v>
      </c>
      <c r="E43" s="630" t="s">
        <v>319</v>
      </c>
      <c r="F43" s="630" t="s">
        <v>319</v>
      </c>
      <c r="G43" s="630" t="s">
        <v>324</v>
      </c>
      <c r="H43" s="601" t="s">
        <v>325</v>
      </c>
      <c r="I43" s="601" t="s">
        <v>353</v>
      </c>
      <c r="J43" s="630" t="s">
        <v>338</v>
      </c>
      <c r="K43" s="630" t="s">
        <v>339</v>
      </c>
      <c r="L43" s="630" t="s">
        <v>320</v>
      </c>
      <c r="M43" s="630" t="s">
        <v>321</v>
      </c>
      <c r="N43" s="630" t="s">
        <v>340</v>
      </c>
      <c r="O43" s="630" t="s">
        <v>341</v>
      </c>
    </row>
    <row r="44" spans="1:15" x14ac:dyDescent="0.25">
      <c r="A44" s="630" t="s">
        <v>336</v>
      </c>
      <c r="B44" s="629">
        <v>1.08</v>
      </c>
      <c r="C44" s="630"/>
      <c r="D44" s="630" t="s">
        <v>319</v>
      </c>
      <c r="E44" s="630" t="s">
        <v>319</v>
      </c>
      <c r="F44" s="630" t="s">
        <v>319</v>
      </c>
      <c r="G44" s="630" t="s">
        <v>324</v>
      </c>
      <c r="H44" s="601" t="s">
        <v>325</v>
      </c>
      <c r="I44" s="601" t="s">
        <v>354</v>
      </c>
      <c r="J44" s="630" t="s">
        <v>338</v>
      </c>
      <c r="K44" s="630" t="s">
        <v>339</v>
      </c>
      <c r="L44" s="630" t="s">
        <v>320</v>
      </c>
      <c r="M44" s="630" t="s">
        <v>321</v>
      </c>
      <c r="N44" s="630" t="s">
        <v>340</v>
      </c>
      <c r="O44" s="630" t="s">
        <v>341</v>
      </c>
    </row>
    <row r="45" spans="1:15" x14ac:dyDescent="0.25">
      <c r="A45" s="630" t="s">
        <v>336</v>
      </c>
      <c r="B45" s="629">
        <v>1.08</v>
      </c>
      <c r="C45" s="630"/>
      <c r="D45" s="630" t="s">
        <v>319</v>
      </c>
      <c r="E45" s="630" t="s">
        <v>319</v>
      </c>
      <c r="F45" s="630" t="s">
        <v>319</v>
      </c>
      <c r="G45" s="630" t="s">
        <v>324</v>
      </c>
      <c r="H45" s="601" t="s">
        <v>325</v>
      </c>
      <c r="I45" s="601" t="s">
        <v>355</v>
      </c>
      <c r="J45" s="630" t="s">
        <v>338</v>
      </c>
      <c r="K45" s="630" t="s">
        <v>339</v>
      </c>
      <c r="L45" s="630" t="s">
        <v>320</v>
      </c>
      <c r="M45" s="630" t="s">
        <v>321</v>
      </c>
      <c r="N45" s="630" t="s">
        <v>340</v>
      </c>
      <c r="O45" s="630" t="s">
        <v>341</v>
      </c>
    </row>
    <row r="46" spans="1:15" x14ac:dyDescent="0.25">
      <c r="A46" s="630" t="s">
        <v>336</v>
      </c>
      <c r="B46" s="629">
        <v>1.2</v>
      </c>
      <c r="C46" s="630"/>
      <c r="D46" s="630" t="s">
        <v>319</v>
      </c>
      <c r="E46" s="630" t="s">
        <v>319</v>
      </c>
      <c r="F46" s="630" t="s">
        <v>319</v>
      </c>
      <c r="G46" s="630" t="s">
        <v>324</v>
      </c>
      <c r="H46" s="601" t="s">
        <v>325</v>
      </c>
      <c r="I46" s="601" t="s">
        <v>356</v>
      </c>
      <c r="J46" s="630" t="s">
        <v>338</v>
      </c>
      <c r="K46" s="630" t="s">
        <v>339</v>
      </c>
      <c r="L46" s="630" t="s">
        <v>320</v>
      </c>
      <c r="M46" s="630" t="s">
        <v>321</v>
      </c>
      <c r="N46" s="630" t="s">
        <v>340</v>
      </c>
      <c r="O46" s="630" t="s">
        <v>341</v>
      </c>
    </row>
    <row r="47" spans="1:15" x14ac:dyDescent="0.25">
      <c r="A47" s="630" t="s">
        <v>336</v>
      </c>
      <c r="B47" s="629">
        <v>1.2</v>
      </c>
      <c r="C47" s="630"/>
      <c r="D47" s="630" t="s">
        <v>319</v>
      </c>
      <c r="E47" s="630" t="s">
        <v>319</v>
      </c>
      <c r="F47" s="630" t="s">
        <v>319</v>
      </c>
      <c r="G47" s="630" t="s">
        <v>324</v>
      </c>
      <c r="H47" s="601" t="s">
        <v>325</v>
      </c>
      <c r="I47" s="601" t="s">
        <v>357</v>
      </c>
      <c r="J47" s="630" t="s">
        <v>338</v>
      </c>
      <c r="K47" s="630" t="s">
        <v>339</v>
      </c>
      <c r="L47" s="630" t="s">
        <v>320</v>
      </c>
      <c r="M47" s="630" t="s">
        <v>321</v>
      </c>
      <c r="N47" s="630" t="s">
        <v>340</v>
      </c>
      <c r="O47" s="630" t="s">
        <v>341</v>
      </c>
    </row>
    <row r="48" spans="1:15" x14ac:dyDescent="0.25">
      <c r="A48" s="630" t="s">
        <v>336</v>
      </c>
      <c r="B48" s="629">
        <v>1.2</v>
      </c>
      <c r="C48" s="630"/>
      <c r="D48" s="630" t="s">
        <v>319</v>
      </c>
      <c r="E48" s="630" t="s">
        <v>319</v>
      </c>
      <c r="F48" s="630" t="s">
        <v>319</v>
      </c>
      <c r="G48" s="630" t="s">
        <v>324</v>
      </c>
      <c r="H48" s="601" t="s">
        <v>325</v>
      </c>
      <c r="I48" s="601" t="s">
        <v>358</v>
      </c>
      <c r="J48" s="630" t="s">
        <v>338</v>
      </c>
      <c r="K48" s="630" t="s">
        <v>339</v>
      </c>
      <c r="L48" s="630" t="s">
        <v>320</v>
      </c>
      <c r="M48" s="630" t="s">
        <v>321</v>
      </c>
      <c r="N48" s="630" t="s">
        <v>340</v>
      </c>
      <c r="O48" s="630" t="s">
        <v>341</v>
      </c>
    </row>
    <row r="49" spans="1:15" x14ac:dyDescent="0.25">
      <c r="A49" s="630" t="s">
        <v>336</v>
      </c>
      <c r="B49" s="629">
        <v>1.2</v>
      </c>
      <c r="C49" s="630"/>
      <c r="D49" s="630" t="s">
        <v>319</v>
      </c>
      <c r="E49" s="630" t="s">
        <v>319</v>
      </c>
      <c r="F49" s="630" t="s">
        <v>319</v>
      </c>
      <c r="G49" s="630" t="s">
        <v>324</v>
      </c>
      <c r="H49" s="601" t="s">
        <v>325</v>
      </c>
      <c r="I49" s="601" t="s">
        <v>359</v>
      </c>
      <c r="J49" s="630" t="s">
        <v>338</v>
      </c>
      <c r="K49" s="630" t="s">
        <v>339</v>
      </c>
      <c r="L49" s="630" t="s">
        <v>320</v>
      </c>
      <c r="M49" s="630" t="s">
        <v>321</v>
      </c>
      <c r="N49" s="630" t="s">
        <v>340</v>
      </c>
      <c r="O49" s="630" t="s">
        <v>341</v>
      </c>
    </row>
    <row r="50" spans="1:15" x14ac:dyDescent="0.25">
      <c r="A50" s="630" t="s">
        <v>336</v>
      </c>
      <c r="B50" s="629">
        <v>1.2</v>
      </c>
      <c r="C50" s="630"/>
      <c r="D50" s="630" t="s">
        <v>319</v>
      </c>
      <c r="E50" s="630" t="s">
        <v>319</v>
      </c>
      <c r="F50" s="630" t="s">
        <v>319</v>
      </c>
      <c r="G50" s="630" t="s">
        <v>324</v>
      </c>
      <c r="H50" s="601" t="s">
        <v>325</v>
      </c>
      <c r="I50" s="601" t="s">
        <v>360</v>
      </c>
      <c r="J50" s="630" t="s">
        <v>338</v>
      </c>
      <c r="K50" s="630" t="s">
        <v>339</v>
      </c>
      <c r="L50" s="630" t="s">
        <v>320</v>
      </c>
      <c r="M50" s="630" t="s">
        <v>321</v>
      </c>
      <c r="N50" s="630" t="s">
        <v>340</v>
      </c>
      <c r="O50" s="630" t="s">
        <v>341</v>
      </c>
    </row>
    <row r="51" spans="1:15" x14ac:dyDescent="0.25">
      <c r="A51" s="630" t="s">
        <v>336</v>
      </c>
      <c r="B51" s="629">
        <v>1.2</v>
      </c>
      <c r="C51" s="630"/>
      <c r="D51" s="630" t="s">
        <v>319</v>
      </c>
      <c r="E51" s="630" t="s">
        <v>319</v>
      </c>
      <c r="F51" s="630" t="s">
        <v>319</v>
      </c>
      <c r="G51" s="630" t="s">
        <v>324</v>
      </c>
      <c r="H51" s="601" t="s">
        <v>325</v>
      </c>
      <c r="I51" s="601" t="s">
        <v>361</v>
      </c>
      <c r="J51" s="630" t="s">
        <v>338</v>
      </c>
      <c r="K51" s="630" t="s">
        <v>339</v>
      </c>
      <c r="L51" s="630" t="s">
        <v>320</v>
      </c>
      <c r="M51" s="630" t="s">
        <v>321</v>
      </c>
      <c r="N51" s="630" t="s">
        <v>340</v>
      </c>
      <c r="O51" s="630" t="s">
        <v>341</v>
      </c>
    </row>
    <row r="52" spans="1:15" x14ac:dyDescent="0.25">
      <c r="A52" s="630" t="s">
        <v>336</v>
      </c>
      <c r="B52" s="629">
        <v>1.2</v>
      </c>
      <c r="C52" s="630"/>
      <c r="D52" s="630" t="s">
        <v>319</v>
      </c>
      <c r="E52" s="630" t="s">
        <v>319</v>
      </c>
      <c r="F52" s="630" t="s">
        <v>319</v>
      </c>
      <c r="G52" s="630" t="s">
        <v>324</v>
      </c>
      <c r="H52" s="601" t="s">
        <v>325</v>
      </c>
      <c r="I52" s="601" t="s">
        <v>362</v>
      </c>
      <c r="J52" s="630" t="s">
        <v>338</v>
      </c>
      <c r="K52" s="630" t="s">
        <v>339</v>
      </c>
      <c r="L52" s="630" t="s">
        <v>320</v>
      </c>
      <c r="M52" s="630" t="s">
        <v>321</v>
      </c>
      <c r="N52" s="630" t="s">
        <v>340</v>
      </c>
      <c r="O52" s="630" t="s">
        <v>341</v>
      </c>
    </row>
    <row r="53" spans="1:15" x14ac:dyDescent="0.25">
      <c r="A53" s="630" t="s">
        <v>336</v>
      </c>
      <c r="B53" s="629">
        <v>1.2</v>
      </c>
      <c r="C53" s="630"/>
      <c r="D53" s="630" t="s">
        <v>319</v>
      </c>
      <c r="E53" s="630" t="s">
        <v>319</v>
      </c>
      <c r="F53" s="630" t="s">
        <v>319</v>
      </c>
      <c r="G53" s="630" t="s">
        <v>324</v>
      </c>
      <c r="H53" s="601" t="s">
        <v>325</v>
      </c>
      <c r="I53" s="601" t="s">
        <v>363</v>
      </c>
      <c r="J53" s="630" t="s">
        <v>338</v>
      </c>
      <c r="K53" s="630" t="s">
        <v>339</v>
      </c>
      <c r="L53" s="630" t="s">
        <v>320</v>
      </c>
      <c r="M53" s="630" t="s">
        <v>321</v>
      </c>
      <c r="N53" s="630" t="s">
        <v>340</v>
      </c>
      <c r="O53" s="630" t="s">
        <v>341</v>
      </c>
    </row>
    <row r="54" spans="1:15" x14ac:dyDescent="0.25">
      <c r="A54" s="630" t="s">
        <v>336</v>
      </c>
      <c r="B54" s="629">
        <v>1.2</v>
      </c>
      <c r="C54" s="630"/>
      <c r="D54" s="630" t="s">
        <v>319</v>
      </c>
      <c r="E54" s="630" t="s">
        <v>319</v>
      </c>
      <c r="F54" s="630" t="s">
        <v>319</v>
      </c>
      <c r="G54" s="630" t="s">
        <v>324</v>
      </c>
      <c r="H54" s="601" t="s">
        <v>325</v>
      </c>
      <c r="I54" s="601" t="s">
        <v>364</v>
      </c>
      <c r="J54" s="630" t="s">
        <v>338</v>
      </c>
      <c r="K54" s="630" t="s">
        <v>339</v>
      </c>
      <c r="L54" s="630" t="s">
        <v>320</v>
      </c>
      <c r="M54" s="630" t="s">
        <v>321</v>
      </c>
      <c r="N54" s="630" t="s">
        <v>340</v>
      </c>
      <c r="O54" s="630" t="s">
        <v>341</v>
      </c>
    </row>
    <row r="55" spans="1:15" x14ac:dyDescent="0.25">
      <c r="A55" s="630" t="s">
        <v>336</v>
      </c>
      <c r="B55" s="629">
        <v>1.2</v>
      </c>
      <c r="C55" s="630"/>
      <c r="D55" s="630" t="s">
        <v>319</v>
      </c>
      <c r="E55" s="630" t="s">
        <v>319</v>
      </c>
      <c r="F55" s="630" t="s">
        <v>319</v>
      </c>
      <c r="G55" s="630" t="s">
        <v>324</v>
      </c>
      <c r="H55" s="601" t="s">
        <v>325</v>
      </c>
      <c r="I55" s="601" t="s">
        <v>365</v>
      </c>
      <c r="J55" s="630" t="s">
        <v>338</v>
      </c>
      <c r="K55" s="630" t="s">
        <v>339</v>
      </c>
      <c r="L55" s="630" t="s">
        <v>320</v>
      </c>
      <c r="M55" s="630" t="s">
        <v>321</v>
      </c>
      <c r="N55" s="630" t="s">
        <v>340</v>
      </c>
      <c r="O55" s="630" t="s">
        <v>341</v>
      </c>
    </row>
    <row r="56" spans="1:15" x14ac:dyDescent="0.25">
      <c r="A56" s="630" t="s">
        <v>336</v>
      </c>
      <c r="B56" s="629">
        <v>1.38</v>
      </c>
      <c r="C56" s="630"/>
      <c r="D56" s="630" t="s">
        <v>319</v>
      </c>
      <c r="E56" s="630" t="s">
        <v>319</v>
      </c>
      <c r="F56" s="630" t="s">
        <v>319</v>
      </c>
      <c r="G56" s="630" t="s">
        <v>324</v>
      </c>
      <c r="H56" s="601" t="s">
        <v>325</v>
      </c>
      <c r="I56" s="601" t="s">
        <v>366</v>
      </c>
      <c r="J56" s="630" t="s">
        <v>338</v>
      </c>
      <c r="K56" s="630" t="s">
        <v>339</v>
      </c>
      <c r="L56" s="630" t="s">
        <v>320</v>
      </c>
      <c r="M56" s="630" t="s">
        <v>321</v>
      </c>
      <c r="N56" s="630" t="s">
        <v>340</v>
      </c>
      <c r="O56" s="630" t="s">
        <v>341</v>
      </c>
    </row>
    <row r="57" spans="1:15" x14ac:dyDescent="0.25">
      <c r="A57" s="630" t="s">
        <v>336</v>
      </c>
      <c r="B57" s="629">
        <v>1.38</v>
      </c>
      <c r="C57" s="630"/>
      <c r="D57" s="630" t="s">
        <v>319</v>
      </c>
      <c r="E57" s="630" t="s">
        <v>319</v>
      </c>
      <c r="F57" s="630" t="s">
        <v>319</v>
      </c>
      <c r="G57" s="630" t="s">
        <v>324</v>
      </c>
      <c r="H57" s="601" t="s">
        <v>325</v>
      </c>
      <c r="I57" s="601" t="s">
        <v>367</v>
      </c>
      <c r="J57" s="630" t="s">
        <v>338</v>
      </c>
      <c r="K57" s="630" t="s">
        <v>339</v>
      </c>
      <c r="L57" s="630" t="s">
        <v>320</v>
      </c>
      <c r="M57" s="630" t="s">
        <v>321</v>
      </c>
      <c r="N57" s="630" t="s">
        <v>340</v>
      </c>
      <c r="O57" s="630" t="s">
        <v>341</v>
      </c>
    </row>
    <row r="58" spans="1:15" x14ac:dyDescent="0.25">
      <c r="A58" s="630" t="s">
        <v>336</v>
      </c>
      <c r="B58" s="629">
        <v>1.38</v>
      </c>
      <c r="C58" s="630"/>
      <c r="D58" s="630" t="s">
        <v>319</v>
      </c>
      <c r="E58" s="630" t="s">
        <v>319</v>
      </c>
      <c r="F58" s="630" t="s">
        <v>319</v>
      </c>
      <c r="G58" s="630" t="s">
        <v>324</v>
      </c>
      <c r="H58" s="601" t="s">
        <v>325</v>
      </c>
      <c r="I58" s="601" t="s">
        <v>368</v>
      </c>
      <c r="J58" s="630" t="s">
        <v>338</v>
      </c>
      <c r="K58" s="630" t="s">
        <v>339</v>
      </c>
      <c r="L58" s="630" t="s">
        <v>320</v>
      </c>
      <c r="M58" s="630" t="s">
        <v>321</v>
      </c>
      <c r="N58" s="630" t="s">
        <v>340</v>
      </c>
      <c r="O58" s="630" t="s">
        <v>341</v>
      </c>
    </row>
    <row r="59" spans="1:15" x14ac:dyDescent="0.25">
      <c r="A59" s="630" t="s">
        <v>336</v>
      </c>
      <c r="B59" s="629">
        <v>1.38</v>
      </c>
      <c r="C59" s="630"/>
      <c r="D59" s="630" t="s">
        <v>319</v>
      </c>
      <c r="E59" s="630" t="s">
        <v>319</v>
      </c>
      <c r="F59" s="630" t="s">
        <v>319</v>
      </c>
      <c r="G59" s="630" t="s">
        <v>324</v>
      </c>
      <c r="H59" s="601" t="s">
        <v>325</v>
      </c>
      <c r="I59" s="601" t="s">
        <v>369</v>
      </c>
      <c r="J59" s="630" t="s">
        <v>338</v>
      </c>
      <c r="K59" s="630" t="s">
        <v>339</v>
      </c>
      <c r="L59" s="630" t="s">
        <v>320</v>
      </c>
      <c r="M59" s="630" t="s">
        <v>321</v>
      </c>
      <c r="N59" s="630" t="s">
        <v>340</v>
      </c>
      <c r="O59" s="630" t="s">
        <v>341</v>
      </c>
    </row>
    <row r="60" spans="1:15" x14ac:dyDescent="0.25">
      <c r="A60" s="630" t="s">
        <v>336</v>
      </c>
      <c r="B60" s="629">
        <v>1.38</v>
      </c>
      <c r="C60" s="630"/>
      <c r="D60" s="630" t="s">
        <v>319</v>
      </c>
      <c r="E60" s="630" t="s">
        <v>319</v>
      </c>
      <c r="F60" s="630" t="s">
        <v>319</v>
      </c>
      <c r="G60" s="630" t="s">
        <v>324</v>
      </c>
      <c r="H60" s="601" t="s">
        <v>325</v>
      </c>
      <c r="I60" s="601" t="s">
        <v>370</v>
      </c>
      <c r="J60" s="630" t="s">
        <v>338</v>
      </c>
      <c r="K60" s="630" t="s">
        <v>339</v>
      </c>
      <c r="L60" s="630" t="s">
        <v>320</v>
      </c>
      <c r="M60" s="630" t="s">
        <v>321</v>
      </c>
      <c r="N60" s="630" t="s">
        <v>340</v>
      </c>
      <c r="O60" s="630" t="s">
        <v>341</v>
      </c>
    </row>
    <row r="61" spans="1:15" x14ac:dyDescent="0.25">
      <c r="A61" s="630" t="s">
        <v>336</v>
      </c>
      <c r="B61" s="629">
        <v>1.38</v>
      </c>
      <c r="C61" s="630"/>
      <c r="D61" s="630" t="s">
        <v>319</v>
      </c>
      <c r="E61" s="630" t="s">
        <v>319</v>
      </c>
      <c r="F61" s="630" t="s">
        <v>319</v>
      </c>
      <c r="G61" s="630" t="s">
        <v>324</v>
      </c>
      <c r="H61" s="601" t="s">
        <v>325</v>
      </c>
      <c r="I61" s="601" t="s">
        <v>371</v>
      </c>
      <c r="J61" s="630" t="s">
        <v>338</v>
      </c>
      <c r="K61" s="630" t="s">
        <v>339</v>
      </c>
      <c r="L61" s="630" t="s">
        <v>320</v>
      </c>
      <c r="M61" s="630" t="s">
        <v>321</v>
      </c>
      <c r="N61" s="630" t="s">
        <v>340</v>
      </c>
      <c r="O61" s="630" t="s">
        <v>341</v>
      </c>
    </row>
    <row r="62" spans="1:15" x14ac:dyDescent="0.25">
      <c r="A62" s="630" t="s">
        <v>336</v>
      </c>
      <c r="B62" s="629">
        <v>1.38</v>
      </c>
      <c r="C62" s="630"/>
      <c r="D62" s="630" t="s">
        <v>319</v>
      </c>
      <c r="E62" s="630" t="s">
        <v>319</v>
      </c>
      <c r="F62" s="630" t="s">
        <v>319</v>
      </c>
      <c r="G62" s="630" t="s">
        <v>324</v>
      </c>
      <c r="H62" s="601" t="s">
        <v>325</v>
      </c>
      <c r="I62" s="601" t="s">
        <v>372</v>
      </c>
      <c r="J62" s="630" t="s">
        <v>338</v>
      </c>
      <c r="K62" s="630" t="s">
        <v>339</v>
      </c>
      <c r="L62" s="630" t="s">
        <v>320</v>
      </c>
      <c r="M62" s="630" t="s">
        <v>321</v>
      </c>
      <c r="N62" s="630" t="s">
        <v>340</v>
      </c>
      <c r="O62" s="630" t="s">
        <v>341</v>
      </c>
    </row>
    <row r="63" spans="1:15" x14ac:dyDescent="0.25">
      <c r="A63" s="630" t="s">
        <v>336</v>
      </c>
      <c r="B63" s="629">
        <v>1.38</v>
      </c>
      <c r="C63" s="630"/>
      <c r="D63" s="630" t="s">
        <v>319</v>
      </c>
      <c r="E63" s="630" t="s">
        <v>319</v>
      </c>
      <c r="F63" s="630" t="s">
        <v>319</v>
      </c>
      <c r="G63" s="630" t="s">
        <v>324</v>
      </c>
      <c r="H63" s="601" t="s">
        <v>325</v>
      </c>
      <c r="I63" s="601" t="s">
        <v>373</v>
      </c>
      <c r="J63" s="630" t="s">
        <v>338</v>
      </c>
      <c r="K63" s="630" t="s">
        <v>339</v>
      </c>
      <c r="L63" s="630" t="s">
        <v>320</v>
      </c>
      <c r="M63" s="630" t="s">
        <v>321</v>
      </c>
      <c r="N63" s="630" t="s">
        <v>340</v>
      </c>
      <c r="O63" s="630" t="s">
        <v>341</v>
      </c>
    </row>
    <row r="64" spans="1:15" x14ac:dyDescent="0.25">
      <c r="A64" s="630" t="s">
        <v>336</v>
      </c>
      <c r="B64" s="629">
        <v>1.38</v>
      </c>
      <c r="C64" s="630"/>
      <c r="D64" s="630" t="s">
        <v>319</v>
      </c>
      <c r="E64" s="630" t="s">
        <v>319</v>
      </c>
      <c r="F64" s="630" t="s">
        <v>319</v>
      </c>
      <c r="G64" s="630" t="s">
        <v>324</v>
      </c>
      <c r="H64" s="601" t="s">
        <v>325</v>
      </c>
      <c r="I64" s="601" t="s">
        <v>374</v>
      </c>
      <c r="J64" s="630" t="s">
        <v>338</v>
      </c>
      <c r="K64" s="630" t="s">
        <v>339</v>
      </c>
      <c r="L64" s="630" t="s">
        <v>320</v>
      </c>
      <c r="M64" s="630" t="s">
        <v>321</v>
      </c>
      <c r="N64" s="630" t="s">
        <v>340</v>
      </c>
      <c r="O64" s="630" t="s">
        <v>341</v>
      </c>
    </row>
    <row r="65" spans="1:15" x14ac:dyDescent="0.25">
      <c r="A65" s="630" t="s">
        <v>336</v>
      </c>
      <c r="B65" s="629">
        <v>1.38</v>
      </c>
      <c r="C65" s="630"/>
      <c r="D65" s="630" t="s">
        <v>319</v>
      </c>
      <c r="E65" s="630" t="s">
        <v>319</v>
      </c>
      <c r="F65" s="630" t="s">
        <v>319</v>
      </c>
      <c r="G65" s="630" t="s">
        <v>324</v>
      </c>
      <c r="H65" s="601" t="s">
        <v>325</v>
      </c>
      <c r="I65" s="601" t="s">
        <v>375</v>
      </c>
      <c r="J65" s="630" t="s">
        <v>338</v>
      </c>
      <c r="K65" s="630" t="s">
        <v>339</v>
      </c>
      <c r="L65" s="630" t="s">
        <v>320</v>
      </c>
      <c r="M65" s="630" t="s">
        <v>321</v>
      </c>
      <c r="N65" s="630" t="s">
        <v>340</v>
      </c>
      <c r="O65" s="630" t="s">
        <v>341</v>
      </c>
    </row>
    <row r="66" spans="1:15" x14ac:dyDescent="0.25">
      <c r="A66" s="630" t="s">
        <v>336</v>
      </c>
      <c r="B66" s="629">
        <v>2.4</v>
      </c>
      <c r="C66" s="630"/>
      <c r="D66" s="630" t="s">
        <v>319</v>
      </c>
      <c r="E66" s="630" t="s">
        <v>319</v>
      </c>
      <c r="F66" s="630" t="s">
        <v>319</v>
      </c>
      <c r="G66" s="630" t="s">
        <v>324</v>
      </c>
      <c r="H66" s="601" t="s">
        <v>325</v>
      </c>
      <c r="I66" s="601" t="s">
        <v>376</v>
      </c>
      <c r="J66" s="630" t="s">
        <v>338</v>
      </c>
      <c r="K66" s="630" t="s">
        <v>339</v>
      </c>
      <c r="L66" s="630" t="s">
        <v>320</v>
      </c>
      <c r="M66" s="630" t="s">
        <v>321</v>
      </c>
      <c r="N66" s="630" t="s">
        <v>340</v>
      </c>
      <c r="O66" s="630" t="s">
        <v>341</v>
      </c>
    </row>
    <row r="67" spans="1:15" x14ac:dyDescent="0.25">
      <c r="A67" s="630" t="s">
        <v>336</v>
      </c>
      <c r="B67" s="629">
        <v>2.4</v>
      </c>
      <c r="C67" s="630"/>
      <c r="D67" s="630" t="s">
        <v>319</v>
      </c>
      <c r="E67" s="630" t="s">
        <v>319</v>
      </c>
      <c r="F67" s="630" t="s">
        <v>319</v>
      </c>
      <c r="G67" s="630" t="s">
        <v>324</v>
      </c>
      <c r="H67" s="601" t="s">
        <v>325</v>
      </c>
      <c r="I67" s="601" t="s">
        <v>377</v>
      </c>
      <c r="J67" s="630" t="s">
        <v>338</v>
      </c>
      <c r="K67" s="630" t="s">
        <v>339</v>
      </c>
      <c r="L67" s="630" t="s">
        <v>320</v>
      </c>
      <c r="M67" s="630" t="s">
        <v>321</v>
      </c>
      <c r="N67" s="630" t="s">
        <v>340</v>
      </c>
      <c r="O67" s="630" t="s">
        <v>341</v>
      </c>
    </row>
    <row r="68" spans="1:15" x14ac:dyDescent="0.25">
      <c r="A68" s="630" t="s">
        <v>336</v>
      </c>
      <c r="B68" s="629">
        <v>2.4</v>
      </c>
      <c r="C68" s="630"/>
      <c r="D68" s="630" t="s">
        <v>319</v>
      </c>
      <c r="E68" s="630" t="s">
        <v>319</v>
      </c>
      <c r="F68" s="630" t="s">
        <v>319</v>
      </c>
      <c r="G68" s="630" t="s">
        <v>324</v>
      </c>
      <c r="H68" s="601" t="s">
        <v>325</v>
      </c>
      <c r="I68" s="601" t="s">
        <v>378</v>
      </c>
      <c r="J68" s="630" t="s">
        <v>338</v>
      </c>
      <c r="K68" s="630" t="s">
        <v>339</v>
      </c>
      <c r="L68" s="630" t="s">
        <v>320</v>
      </c>
      <c r="M68" s="630" t="s">
        <v>321</v>
      </c>
      <c r="N68" s="630" t="s">
        <v>340</v>
      </c>
      <c r="O68" s="630" t="s">
        <v>341</v>
      </c>
    </row>
    <row r="69" spans="1:15" x14ac:dyDescent="0.25">
      <c r="A69" s="630" t="s">
        <v>336</v>
      </c>
      <c r="B69" s="629">
        <v>2.4</v>
      </c>
      <c r="C69" s="630"/>
      <c r="D69" s="630" t="s">
        <v>319</v>
      </c>
      <c r="E69" s="630" t="s">
        <v>319</v>
      </c>
      <c r="F69" s="630" t="s">
        <v>319</v>
      </c>
      <c r="G69" s="630" t="s">
        <v>324</v>
      </c>
      <c r="H69" s="601" t="s">
        <v>325</v>
      </c>
      <c r="I69" s="601" t="s">
        <v>379</v>
      </c>
      <c r="J69" s="630" t="s">
        <v>338</v>
      </c>
      <c r="K69" s="630" t="s">
        <v>339</v>
      </c>
      <c r="L69" s="630" t="s">
        <v>320</v>
      </c>
      <c r="M69" s="630" t="s">
        <v>321</v>
      </c>
      <c r="N69" s="630" t="s">
        <v>340</v>
      </c>
      <c r="O69" s="630" t="s">
        <v>341</v>
      </c>
    </row>
    <row r="70" spans="1:15" x14ac:dyDescent="0.25">
      <c r="A70" s="630" t="s">
        <v>336</v>
      </c>
      <c r="B70" s="629">
        <v>2.4</v>
      </c>
      <c r="C70" s="630"/>
      <c r="D70" s="630" t="s">
        <v>319</v>
      </c>
      <c r="E70" s="630" t="s">
        <v>319</v>
      </c>
      <c r="F70" s="630" t="s">
        <v>319</v>
      </c>
      <c r="G70" s="630" t="s">
        <v>324</v>
      </c>
      <c r="H70" s="601" t="s">
        <v>325</v>
      </c>
      <c r="I70" s="601" t="s">
        <v>380</v>
      </c>
      <c r="J70" s="630" t="s">
        <v>338</v>
      </c>
      <c r="K70" s="630" t="s">
        <v>339</v>
      </c>
      <c r="L70" s="630" t="s">
        <v>320</v>
      </c>
      <c r="M70" s="630" t="s">
        <v>321</v>
      </c>
      <c r="N70" s="630" t="s">
        <v>340</v>
      </c>
      <c r="O70" s="630" t="s">
        <v>341</v>
      </c>
    </row>
    <row r="71" spans="1:15" x14ac:dyDescent="0.25">
      <c r="A71" s="630" t="s">
        <v>336</v>
      </c>
      <c r="B71" s="629">
        <v>2.4</v>
      </c>
      <c r="C71" s="630"/>
      <c r="D71" s="630" t="s">
        <v>319</v>
      </c>
      <c r="E71" s="630" t="s">
        <v>319</v>
      </c>
      <c r="F71" s="630" t="s">
        <v>319</v>
      </c>
      <c r="G71" s="630" t="s">
        <v>324</v>
      </c>
      <c r="H71" s="601" t="s">
        <v>325</v>
      </c>
      <c r="I71" s="601" t="s">
        <v>381</v>
      </c>
      <c r="J71" s="630" t="s">
        <v>338</v>
      </c>
      <c r="K71" s="630" t="s">
        <v>339</v>
      </c>
      <c r="L71" s="630" t="s">
        <v>320</v>
      </c>
      <c r="M71" s="630" t="s">
        <v>321</v>
      </c>
      <c r="N71" s="630" t="s">
        <v>340</v>
      </c>
      <c r="O71" s="630" t="s">
        <v>341</v>
      </c>
    </row>
    <row r="72" spans="1:15" x14ac:dyDescent="0.25">
      <c r="A72" s="630" t="s">
        <v>336</v>
      </c>
      <c r="B72" s="629">
        <v>2.4</v>
      </c>
      <c r="C72" s="630"/>
      <c r="D72" s="630" t="s">
        <v>319</v>
      </c>
      <c r="E72" s="630" t="s">
        <v>319</v>
      </c>
      <c r="F72" s="630" t="s">
        <v>319</v>
      </c>
      <c r="G72" s="630" t="s">
        <v>324</v>
      </c>
      <c r="H72" s="601" t="s">
        <v>325</v>
      </c>
      <c r="I72" s="601" t="s">
        <v>382</v>
      </c>
      <c r="J72" s="630" t="s">
        <v>338</v>
      </c>
      <c r="K72" s="630" t="s">
        <v>339</v>
      </c>
      <c r="L72" s="630" t="s">
        <v>320</v>
      </c>
      <c r="M72" s="630" t="s">
        <v>321</v>
      </c>
      <c r="N72" s="630" t="s">
        <v>340</v>
      </c>
      <c r="O72" s="630" t="s">
        <v>341</v>
      </c>
    </row>
    <row r="73" spans="1:15" x14ac:dyDescent="0.25">
      <c r="A73" s="630" t="s">
        <v>336</v>
      </c>
      <c r="B73" s="629">
        <v>2.4</v>
      </c>
      <c r="C73" s="630"/>
      <c r="D73" s="630" t="s">
        <v>319</v>
      </c>
      <c r="E73" s="630" t="s">
        <v>319</v>
      </c>
      <c r="F73" s="630" t="s">
        <v>319</v>
      </c>
      <c r="G73" s="630" t="s">
        <v>324</v>
      </c>
      <c r="H73" s="601" t="s">
        <v>325</v>
      </c>
      <c r="I73" s="601" t="s">
        <v>383</v>
      </c>
      <c r="J73" s="630" t="s">
        <v>338</v>
      </c>
      <c r="K73" s="630" t="s">
        <v>339</v>
      </c>
      <c r="L73" s="630" t="s">
        <v>320</v>
      </c>
      <c r="M73" s="630" t="s">
        <v>321</v>
      </c>
      <c r="N73" s="630" t="s">
        <v>340</v>
      </c>
      <c r="O73" s="630" t="s">
        <v>341</v>
      </c>
    </row>
    <row r="74" spans="1:15" x14ac:dyDescent="0.25">
      <c r="A74" s="630" t="s">
        <v>336</v>
      </c>
      <c r="B74" s="629">
        <v>2.4</v>
      </c>
      <c r="C74" s="630"/>
      <c r="D74" s="630" t="s">
        <v>319</v>
      </c>
      <c r="E74" s="630" t="s">
        <v>319</v>
      </c>
      <c r="F74" s="630" t="s">
        <v>319</v>
      </c>
      <c r="G74" s="630" t="s">
        <v>324</v>
      </c>
      <c r="H74" s="601" t="s">
        <v>325</v>
      </c>
      <c r="I74" s="601" t="s">
        <v>384</v>
      </c>
      <c r="J74" s="630" t="s">
        <v>338</v>
      </c>
      <c r="K74" s="630" t="s">
        <v>339</v>
      </c>
      <c r="L74" s="630" t="s">
        <v>320</v>
      </c>
      <c r="M74" s="630" t="s">
        <v>321</v>
      </c>
      <c r="N74" s="630" t="s">
        <v>340</v>
      </c>
      <c r="O74" s="630" t="s">
        <v>341</v>
      </c>
    </row>
    <row r="75" spans="1:15" x14ac:dyDescent="0.25">
      <c r="A75" s="630" t="s">
        <v>336</v>
      </c>
      <c r="B75" s="629">
        <v>2.4</v>
      </c>
      <c r="C75" s="630"/>
      <c r="D75" s="630" t="s">
        <v>319</v>
      </c>
      <c r="E75" s="630" t="s">
        <v>319</v>
      </c>
      <c r="F75" s="630" t="s">
        <v>319</v>
      </c>
      <c r="G75" s="630" t="s">
        <v>324</v>
      </c>
      <c r="H75" s="601" t="s">
        <v>325</v>
      </c>
      <c r="I75" s="601" t="s">
        <v>385</v>
      </c>
      <c r="J75" s="630" t="s">
        <v>338</v>
      </c>
      <c r="K75" s="630" t="s">
        <v>339</v>
      </c>
      <c r="L75" s="630" t="s">
        <v>320</v>
      </c>
      <c r="M75" s="630" t="s">
        <v>321</v>
      </c>
      <c r="N75" s="630" t="s">
        <v>340</v>
      </c>
      <c r="O75" s="630" t="s">
        <v>341</v>
      </c>
    </row>
    <row r="76" spans="1:15" x14ac:dyDescent="0.25">
      <c r="A76" s="630" t="s">
        <v>336</v>
      </c>
      <c r="B76" s="629">
        <v>3</v>
      </c>
      <c r="C76" s="630"/>
      <c r="D76" s="630" t="s">
        <v>319</v>
      </c>
      <c r="E76" s="630" t="s">
        <v>319</v>
      </c>
      <c r="F76" s="630" t="s">
        <v>319</v>
      </c>
      <c r="G76" s="630" t="s">
        <v>324</v>
      </c>
      <c r="H76" s="601" t="s">
        <v>325</v>
      </c>
      <c r="I76" s="601" t="s">
        <v>386</v>
      </c>
      <c r="J76" s="630" t="s">
        <v>338</v>
      </c>
      <c r="K76" s="630" t="s">
        <v>339</v>
      </c>
      <c r="L76" s="630" t="s">
        <v>320</v>
      </c>
      <c r="M76" s="630" t="s">
        <v>321</v>
      </c>
      <c r="N76" s="630" t="s">
        <v>340</v>
      </c>
      <c r="O76" s="630" t="s">
        <v>341</v>
      </c>
    </row>
    <row r="77" spans="1:15" x14ac:dyDescent="0.25">
      <c r="A77" s="630" t="s">
        <v>336</v>
      </c>
      <c r="B77" s="629">
        <v>3</v>
      </c>
      <c r="C77" s="630"/>
      <c r="D77" s="630" t="s">
        <v>319</v>
      </c>
      <c r="E77" s="630" t="s">
        <v>319</v>
      </c>
      <c r="F77" s="630" t="s">
        <v>319</v>
      </c>
      <c r="G77" s="630" t="s">
        <v>324</v>
      </c>
      <c r="H77" s="601" t="s">
        <v>325</v>
      </c>
      <c r="I77" s="601" t="s">
        <v>387</v>
      </c>
      <c r="J77" s="630" t="s">
        <v>338</v>
      </c>
      <c r="K77" s="630" t="s">
        <v>339</v>
      </c>
      <c r="L77" s="630" t="s">
        <v>320</v>
      </c>
      <c r="M77" s="630" t="s">
        <v>321</v>
      </c>
      <c r="N77" s="630" t="s">
        <v>340</v>
      </c>
      <c r="O77" s="630" t="s">
        <v>341</v>
      </c>
    </row>
    <row r="78" spans="1:15" x14ac:dyDescent="0.25">
      <c r="A78" s="630" t="s">
        <v>336</v>
      </c>
      <c r="B78" s="629">
        <v>3</v>
      </c>
      <c r="C78" s="630"/>
      <c r="D78" s="630" t="s">
        <v>319</v>
      </c>
      <c r="E78" s="630" t="s">
        <v>319</v>
      </c>
      <c r="F78" s="630" t="s">
        <v>319</v>
      </c>
      <c r="G78" s="630" t="s">
        <v>324</v>
      </c>
      <c r="H78" s="601" t="s">
        <v>325</v>
      </c>
      <c r="I78" s="601" t="s">
        <v>388</v>
      </c>
      <c r="J78" s="630" t="s">
        <v>338</v>
      </c>
      <c r="K78" s="630" t="s">
        <v>339</v>
      </c>
      <c r="L78" s="630" t="s">
        <v>320</v>
      </c>
      <c r="M78" s="630" t="s">
        <v>321</v>
      </c>
      <c r="N78" s="630" t="s">
        <v>340</v>
      </c>
      <c r="O78" s="630" t="s">
        <v>341</v>
      </c>
    </row>
    <row r="79" spans="1:15" x14ac:dyDescent="0.25">
      <c r="A79" s="630" t="s">
        <v>336</v>
      </c>
      <c r="B79" s="629">
        <v>3</v>
      </c>
      <c r="C79" s="630"/>
      <c r="D79" s="630" t="s">
        <v>319</v>
      </c>
      <c r="E79" s="630" t="s">
        <v>319</v>
      </c>
      <c r="F79" s="630" t="s">
        <v>319</v>
      </c>
      <c r="G79" s="630" t="s">
        <v>324</v>
      </c>
      <c r="H79" s="601" t="s">
        <v>325</v>
      </c>
      <c r="I79" s="601" t="s">
        <v>389</v>
      </c>
      <c r="J79" s="630" t="s">
        <v>338</v>
      </c>
      <c r="K79" s="630" t="s">
        <v>339</v>
      </c>
      <c r="L79" s="630" t="s">
        <v>320</v>
      </c>
      <c r="M79" s="630" t="s">
        <v>321</v>
      </c>
      <c r="N79" s="630" t="s">
        <v>340</v>
      </c>
      <c r="O79" s="630" t="s">
        <v>341</v>
      </c>
    </row>
    <row r="80" spans="1:15" x14ac:dyDescent="0.25">
      <c r="A80" s="630" t="s">
        <v>336</v>
      </c>
      <c r="B80" s="629">
        <v>3</v>
      </c>
      <c r="C80" s="630"/>
      <c r="D80" s="630" t="s">
        <v>319</v>
      </c>
      <c r="E80" s="630" t="s">
        <v>319</v>
      </c>
      <c r="F80" s="630" t="s">
        <v>319</v>
      </c>
      <c r="G80" s="630" t="s">
        <v>324</v>
      </c>
      <c r="H80" s="601" t="s">
        <v>325</v>
      </c>
      <c r="I80" s="601" t="s">
        <v>390</v>
      </c>
      <c r="J80" s="630" t="s">
        <v>338</v>
      </c>
      <c r="K80" s="630" t="s">
        <v>339</v>
      </c>
      <c r="L80" s="630" t="s">
        <v>320</v>
      </c>
      <c r="M80" s="630" t="s">
        <v>321</v>
      </c>
      <c r="N80" s="630" t="s">
        <v>340</v>
      </c>
      <c r="O80" s="630" t="s">
        <v>341</v>
      </c>
    </row>
    <row r="81" spans="1:15" x14ac:dyDescent="0.25">
      <c r="A81" s="630" t="s">
        <v>336</v>
      </c>
      <c r="B81" s="629">
        <v>3</v>
      </c>
      <c r="C81" s="630"/>
      <c r="D81" s="630" t="s">
        <v>319</v>
      </c>
      <c r="E81" s="630" t="s">
        <v>319</v>
      </c>
      <c r="F81" s="630" t="s">
        <v>319</v>
      </c>
      <c r="G81" s="630" t="s">
        <v>324</v>
      </c>
      <c r="H81" s="601" t="s">
        <v>325</v>
      </c>
      <c r="I81" s="601" t="s">
        <v>391</v>
      </c>
      <c r="J81" s="630" t="s">
        <v>338</v>
      </c>
      <c r="K81" s="630" t="s">
        <v>339</v>
      </c>
      <c r="L81" s="630" t="s">
        <v>320</v>
      </c>
      <c r="M81" s="630" t="s">
        <v>321</v>
      </c>
      <c r="N81" s="630" t="s">
        <v>340</v>
      </c>
      <c r="O81" s="630" t="s">
        <v>341</v>
      </c>
    </row>
    <row r="82" spans="1:15" x14ac:dyDescent="0.25">
      <c r="A82" s="630" t="s">
        <v>336</v>
      </c>
      <c r="B82" s="629">
        <v>3</v>
      </c>
      <c r="C82" s="630"/>
      <c r="D82" s="630" t="s">
        <v>319</v>
      </c>
      <c r="E82" s="630" t="s">
        <v>319</v>
      </c>
      <c r="F82" s="630" t="s">
        <v>319</v>
      </c>
      <c r="G82" s="630" t="s">
        <v>324</v>
      </c>
      <c r="H82" s="601" t="s">
        <v>325</v>
      </c>
      <c r="I82" s="601" t="s">
        <v>392</v>
      </c>
      <c r="J82" s="630" t="s">
        <v>338</v>
      </c>
      <c r="K82" s="630" t="s">
        <v>339</v>
      </c>
      <c r="L82" s="630" t="s">
        <v>320</v>
      </c>
      <c r="M82" s="630" t="s">
        <v>321</v>
      </c>
      <c r="N82" s="630" t="s">
        <v>340</v>
      </c>
      <c r="O82" s="630" t="s">
        <v>341</v>
      </c>
    </row>
    <row r="83" spans="1:15" x14ac:dyDescent="0.25">
      <c r="A83" s="630" t="s">
        <v>336</v>
      </c>
      <c r="B83" s="629">
        <v>3</v>
      </c>
      <c r="C83" s="630"/>
      <c r="D83" s="630" t="s">
        <v>319</v>
      </c>
      <c r="E83" s="630" t="s">
        <v>319</v>
      </c>
      <c r="F83" s="630" t="s">
        <v>319</v>
      </c>
      <c r="G83" s="630" t="s">
        <v>324</v>
      </c>
      <c r="H83" s="601" t="s">
        <v>325</v>
      </c>
      <c r="I83" s="601" t="s">
        <v>393</v>
      </c>
      <c r="J83" s="630" t="s">
        <v>338</v>
      </c>
      <c r="K83" s="630" t="s">
        <v>339</v>
      </c>
      <c r="L83" s="630" t="s">
        <v>320</v>
      </c>
      <c r="M83" s="630" t="s">
        <v>321</v>
      </c>
      <c r="N83" s="630" t="s">
        <v>340</v>
      </c>
      <c r="O83" s="630" t="s">
        <v>341</v>
      </c>
    </row>
    <row r="84" spans="1:15" x14ac:dyDescent="0.25">
      <c r="A84" s="630" t="s">
        <v>336</v>
      </c>
      <c r="B84" s="629">
        <v>3</v>
      </c>
      <c r="C84" s="630"/>
      <c r="D84" s="630" t="s">
        <v>319</v>
      </c>
      <c r="E84" s="630" t="s">
        <v>319</v>
      </c>
      <c r="F84" s="630" t="s">
        <v>319</v>
      </c>
      <c r="G84" s="630" t="s">
        <v>324</v>
      </c>
      <c r="H84" s="601" t="s">
        <v>325</v>
      </c>
      <c r="I84" s="601" t="s">
        <v>394</v>
      </c>
      <c r="J84" s="630" t="s">
        <v>338</v>
      </c>
      <c r="K84" s="630" t="s">
        <v>339</v>
      </c>
      <c r="L84" s="630" t="s">
        <v>320</v>
      </c>
      <c r="M84" s="630" t="s">
        <v>321</v>
      </c>
      <c r="N84" s="630" t="s">
        <v>340</v>
      </c>
      <c r="O84" s="630" t="s">
        <v>341</v>
      </c>
    </row>
    <row r="85" spans="1:15" x14ac:dyDescent="0.25">
      <c r="A85" s="630" t="s">
        <v>336</v>
      </c>
      <c r="B85" s="629">
        <v>3</v>
      </c>
      <c r="C85" s="630"/>
      <c r="D85" s="630" t="s">
        <v>319</v>
      </c>
      <c r="E85" s="630" t="s">
        <v>319</v>
      </c>
      <c r="F85" s="630" t="s">
        <v>319</v>
      </c>
      <c r="G85" s="630" t="s">
        <v>324</v>
      </c>
      <c r="H85" s="601" t="s">
        <v>325</v>
      </c>
      <c r="I85" s="601" t="s">
        <v>395</v>
      </c>
      <c r="J85" s="630" t="s">
        <v>338</v>
      </c>
      <c r="K85" s="630" t="s">
        <v>339</v>
      </c>
      <c r="L85" s="630" t="s">
        <v>320</v>
      </c>
      <c r="M85" s="630" t="s">
        <v>321</v>
      </c>
      <c r="N85" s="630" t="s">
        <v>340</v>
      </c>
      <c r="O85" s="630" t="s">
        <v>341</v>
      </c>
    </row>
    <row r="86" spans="1:15" x14ac:dyDescent="0.25">
      <c r="A86" s="630" t="s">
        <v>336</v>
      </c>
      <c r="B86" s="629">
        <v>3</v>
      </c>
      <c r="C86" s="630"/>
      <c r="D86" s="630" t="s">
        <v>319</v>
      </c>
      <c r="E86" s="630" t="s">
        <v>319</v>
      </c>
      <c r="F86" s="630" t="s">
        <v>319</v>
      </c>
      <c r="G86" s="630" t="s">
        <v>324</v>
      </c>
      <c r="H86" s="601" t="s">
        <v>325</v>
      </c>
      <c r="I86" s="601" t="s">
        <v>396</v>
      </c>
      <c r="J86" s="630" t="s">
        <v>338</v>
      </c>
      <c r="K86" s="630" t="s">
        <v>339</v>
      </c>
      <c r="L86" s="630" t="s">
        <v>320</v>
      </c>
      <c r="M86" s="630" t="s">
        <v>321</v>
      </c>
      <c r="N86" s="630" t="s">
        <v>340</v>
      </c>
      <c r="O86" s="630" t="s">
        <v>341</v>
      </c>
    </row>
    <row r="87" spans="1:15" x14ac:dyDescent="0.25">
      <c r="A87" s="630" t="s">
        <v>336</v>
      </c>
      <c r="B87" s="629">
        <v>3</v>
      </c>
      <c r="C87" s="630"/>
      <c r="D87" s="630" t="s">
        <v>319</v>
      </c>
      <c r="E87" s="630" t="s">
        <v>319</v>
      </c>
      <c r="F87" s="630" t="s">
        <v>319</v>
      </c>
      <c r="G87" s="630" t="s">
        <v>324</v>
      </c>
      <c r="H87" s="601" t="s">
        <v>325</v>
      </c>
      <c r="I87" s="601" t="s">
        <v>397</v>
      </c>
      <c r="J87" s="630" t="s">
        <v>338</v>
      </c>
      <c r="K87" s="630" t="s">
        <v>339</v>
      </c>
      <c r="L87" s="630" t="s">
        <v>320</v>
      </c>
      <c r="M87" s="630" t="s">
        <v>321</v>
      </c>
      <c r="N87" s="630" t="s">
        <v>340</v>
      </c>
      <c r="O87" s="630" t="s">
        <v>341</v>
      </c>
    </row>
    <row r="88" spans="1:15" x14ac:dyDescent="0.25">
      <c r="A88" s="630" t="s">
        <v>336</v>
      </c>
      <c r="B88" s="629">
        <v>3</v>
      </c>
      <c r="C88" s="630"/>
      <c r="D88" s="630" t="s">
        <v>319</v>
      </c>
      <c r="E88" s="630" t="s">
        <v>319</v>
      </c>
      <c r="F88" s="630" t="s">
        <v>319</v>
      </c>
      <c r="G88" s="630" t="s">
        <v>324</v>
      </c>
      <c r="H88" s="601" t="s">
        <v>325</v>
      </c>
      <c r="I88" s="601" t="s">
        <v>398</v>
      </c>
      <c r="J88" s="630" t="s">
        <v>338</v>
      </c>
      <c r="K88" s="630" t="s">
        <v>339</v>
      </c>
      <c r="L88" s="630" t="s">
        <v>320</v>
      </c>
      <c r="M88" s="630" t="s">
        <v>321</v>
      </c>
      <c r="N88" s="630" t="s">
        <v>340</v>
      </c>
      <c r="O88" s="630" t="s">
        <v>341</v>
      </c>
    </row>
    <row r="89" spans="1:15" x14ac:dyDescent="0.25">
      <c r="A89" s="630" t="s">
        <v>336</v>
      </c>
      <c r="B89" s="629">
        <v>3</v>
      </c>
      <c r="C89" s="630"/>
      <c r="D89" s="630" t="s">
        <v>319</v>
      </c>
      <c r="E89" s="630" t="s">
        <v>319</v>
      </c>
      <c r="F89" s="630" t="s">
        <v>319</v>
      </c>
      <c r="G89" s="630" t="s">
        <v>324</v>
      </c>
      <c r="H89" s="601" t="s">
        <v>325</v>
      </c>
      <c r="I89" s="601" t="s">
        <v>399</v>
      </c>
      <c r="J89" s="630" t="s">
        <v>338</v>
      </c>
      <c r="K89" s="630" t="s">
        <v>339</v>
      </c>
      <c r="L89" s="630" t="s">
        <v>320</v>
      </c>
      <c r="M89" s="630" t="s">
        <v>321</v>
      </c>
      <c r="N89" s="630" t="s">
        <v>340</v>
      </c>
      <c r="O89" s="630" t="s">
        <v>341</v>
      </c>
    </row>
    <row r="90" spans="1:15" x14ac:dyDescent="0.25">
      <c r="A90" s="630" t="s">
        <v>336</v>
      </c>
      <c r="B90" s="629">
        <v>3</v>
      </c>
      <c r="C90" s="630"/>
      <c r="D90" s="630" t="s">
        <v>319</v>
      </c>
      <c r="E90" s="630" t="s">
        <v>319</v>
      </c>
      <c r="F90" s="630" t="s">
        <v>319</v>
      </c>
      <c r="G90" s="630" t="s">
        <v>324</v>
      </c>
      <c r="H90" s="601" t="s">
        <v>325</v>
      </c>
      <c r="I90" s="601" t="s">
        <v>400</v>
      </c>
      <c r="J90" s="630" t="s">
        <v>338</v>
      </c>
      <c r="K90" s="630" t="s">
        <v>339</v>
      </c>
      <c r="L90" s="630" t="s">
        <v>320</v>
      </c>
      <c r="M90" s="630" t="s">
        <v>321</v>
      </c>
      <c r="N90" s="630" t="s">
        <v>340</v>
      </c>
      <c r="O90" s="630" t="s">
        <v>341</v>
      </c>
    </row>
    <row r="91" spans="1:15" x14ac:dyDescent="0.25">
      <c r="A91" s="630" t="s">
        <v>336</v>
      </c>
      <c r="B91" s="629">
        <v>3</v>
      </c>
      <c r="C91" s="630"/>
      <c r="D91" s="630" t="s">
        <v>319</v>
      </c>
      <c r="E91" s="630" t="s">
        <v>319</v>
      </c>
      <c r="F91" s="630" t="s">
        <v>319</v>
      </c>
      <c r="G91" s="630" t="s">
        <v>324</v>
      </c>
      <c r="H91" s="601" t="s">
        <v>325</v>
      </c>
      <c r="I91" s="601" t="s">
        <v>401</v>
      </c>
      <c r="J91" s="630" t="s">
        <v>338</v>
      </c>
      <c r="K91" s="630" t="s">
        <v>339</v>
      </c>
      <c r="L91" s="630" t="s">
        <v>320</v>
      </c>
      <c r="M91" s="630" t="s">
        <v>321</v>
      </c>
      <c r="N91" s="630" t="s">
        <v>340</v>
      </c>
      <c r="O91" s="630" t="s">
        <v>341</v>
      </c>
    </row>
    <row r="92" spans="1:15" x14ac:dyDescent="0.25">
      <c r="A92" s="630" t="s">
        <v>336</v>
      </c>
      <c r="B92" s="629">
        <v>3</v>
      </c>
      <c r="C92" s="630"/>
      <c r="D92" s="630" t="s">
        <v>319</v>
      </c>
      <c r="E92" s="630" t="s">
        <v>319</v>
      </c>
      <c r="F92" s="630" t="s">
        <v>319</v>
      </c>
      <c r="G92" s="630" t="s">
        <v>324</v>
      </c>
      <c r="H92" s="601" t="s">
        <v>325</v>
      </c>
      <c r="I92" s="601" t="s">
        <v>402</v>
      </c>
      <c r="J92" s="630" t="s">
        <v>338</v>
      </c>
      <c r="K92" s="630" t="s">
        <v>339</v>
      </c>
      <c r="L92" s="630" t="s">
        <v>320</v>
      </c>
      <c r="M92" s="630" t="s">
        <v>321</v>
      </c>
      <c r="N92" s="630" t="s">
        <v>340</v>
      </c>
      <c r="O92" s="630" t="s">
        <v>341</v>
      </c>
    </row>
    <row r="93" spans="1:15" x14ac:dyDescent="0.25">
      <c r="A93" s="630" t="s">
        <v>336</v>
      </c>
      <c r="B93" s="629">
        <v>3</v>
      </c>
      <c r="C93" s="630"/>
      <c r="D93" s="630" t="s">
        <v>319</v>
      </c>
      <c r="E93" s="630" t="s">
        <v>319</v>
      </c>
      <c r="F93" s="630" t="s">
        <v>319</v>
      </c>
      <c r="G93" s="630" t="s">
        <v>324</v>
      </c>
      <c r="H93" s="601" t="s">
        <v>325</v>
      </c>
      <c r="I93" s="601" t="s">
        <v>403</v>
      </c>
      <c r="J93" s="630" t="s">
        <v>338</v>
      </c>
      <c r="K93" s="630" t="s">
        <v>339</v>
      </c>
      <c r="L93" s="630" t="s">
        <v>320</v>
      </c>
      <c r="M93" s="630" t="s">
        <v>321</v>
      </c>
      <c r="N93" s="630" t="s">
        <v>340</v>
      </c>
      <c r="O93" s="630" t="s">
        <v>341</v>
      </c>
    </row>
    <row r="94" spans="1:15" x14ac:dyDescent="0.25">
      <c r="A94" s="630" t="s">
        <v>336</v>
      </c>
      <c r="B94" s="629">
        <v>3</v>
      </c>
      <c r="C94" s="630"/>
      <c r="D94" s="630" t="s">
        <v>319</v>
      </c>
      <c r="E94" s="630" t="s">
        <v>319</v>
      </c>
      <c r="F94" s="630" t="s">
        <v>319</v>
      </c>
      <c r="G94" s="630" t="s">
        <v>324</v>
      </c>
      <c r="H94" s="601" t="s">
        <v>325</v>
      </c>
      <c r="I94" s="601" t="s">
        <v>404</v>
      </c>
      <c r="J94" s="630" t="s">
        <v>338</v>
      </c>
      <c r="K94" s="630" t="s">
        <v>339</v>
      </c>
      <c r="L94" s="630" t="s">
        <v>320</v>
      </c>
      <c r="M94" s="630" t="s">
        <v>321</v>
      </c>
      <c r="N94" s="630" t="s">
        <v>340</v>
      </c>
      <c r="O94" s="630" t="s">
        <v>341</v>
      </c>
    </row>
    <row r="95" spans="1:15" x14ac:dyDescent="0.25">
      <c r="A95" s="630" t="s">
        <v>336</v>
      </c>
      <c r="B95" s="629">
        <v>3</v>
      </c>
      <c r="C95" s="630"/>
      <c r="D95" s="630" t="s">
        <v>319</v>
      </c>
      <c r="E95" s="630" t="s">
        <v>319</v>
      </c>
      <c r="F95" s="630" t="s">
        <v>319</v>
      </c>
      <c r="G95" s="630" t="s">
        <v>324</v>
      </c>
      <c r="H95" s="601" t="s">
        <v>325</v>
      </c>
      <c r="I95" s="601" t="s">
        <v>405</v>
      </c>
      <c r="J95" s="630" t="s">
        <v>338</v>
      </c>
      <c r="K95" s="630" t="s">
        <v>339</v>
      </c>
      <c r="L95" s="630" t="s">
        <v>320</v>
      </c>
      <c r="M95" s="630" t="s">
        <v>321</v>
      </c>
      <c r="N95" s="630" t="s">
        <v>340</v>
      </c>
      <c r="O95" s="630" t="s">
        <v>341</v>
      </c>
    </row>
    <row r="96" spans="1:15" x14ac:dyDescent="0.25">
      <c r="A96" s="630" t="s">
        <v>336</v>
      </c>
      <c r="B96" s="629">
        <v>3</v>
      </c>
      <c r="C96" s="630"/>
      <c r="D96" s="630" t="s">
        <v>319</v>
      </c>
      <c r="E96" s="630" t="s">
        <v>319</v>
      </c>
      <c r="F96" s="630" t="s">
        <v>319</v>
      </c>
      <c r="G96" s="630" t="s">
        <v>324</v>
      </c>
      <c r="H96" s="601" t="s">
        <v>325</v>
      </c>
      <c r="I96" s="601" t="s">
        <v>406</v>
      </c>
      <c r="J96" s="630" t="s">
        <v>338</v>
      </c>
      <c r="K96" s="630" t="s">
        <v>339</v>
      </c>
      <c r="L96" s="630" t="s">
        <v>320</v>
      </c>
      <c r="M96" s="630" t="s">
        <v>321</v>
      </c>
      <c r="N96" s="630" t="s">
        <v>340</v>
      </c>
      <c r="O96" s="630" t="s">
        <v>341</v>
      </c>
    </row>
    <row r="97" spans="1:15" x14ac:dyDescent="0.25">
      <c r="A97" s="630" t="s">
        <v>336</v>
      </c>
      <c r="B97" s="629">
        <v>3</v>
      </c>
      <c r="C97" s="630"/>
      <c r="D97" s="630" t="s">
        <v>319</v>
      </c>
      <c r="E97" s="630" t="s">
        <v>319</v>
      </c>
      <c r="F97" s="630" t="s">
        <v>319</v>
      </c>
      <c r="G97" s="630" t="s">
        <v>324</v>
      </c>
      <c r="H97" s="601" t="s">
        <v>325</v>
      </c>
      <c r="I97" s="601" t="s">
        <v>407</v>
      </c>
      <c r="J97" s="630" t="s">
        <v>338</v>
      </c>
      <c r="K97" s="630" t="s">
        <v>339</v>
      </c>
      <c r="L97" s="630" t="s">
        <v>320</v>
      </c>
      <c r="M97" s="630" t="s">
        <v>321</v>
      </c>
      <c r="N97" s="630" t="s">
        <v>340</v>
      </c>
      <c r="O97" s="630" t="s">
        <v>341</v>
      </c>
    </row>
    <row r="98" spans="1:15" x14ac:dyDescent="0.25">
      <c r="A98" s="630" t="s">
        <v>336</v>
      </c>
      <c r="B98" s="629">
        <v>3</v>
      </c>
      <c r="C98" s="630"/>
      <c r="D98" s="630" t="s">
        <v>319</v>
      </c>
      <c r="E98" s="630" t="s">
        <v>319</v>
      </c>
      <c r="F98" s="630" t="s">
        <v>319</v>
      </c>
      <c r="G98" s="630" t="s">
        <v>324</v>
      </c>
      <c r="H98" s="601" t="s">
        <v>325</v>
      </c>
      <c r="I98" s="601" t="s">
        <v>408</v>
      </c>
      <c r="J98" s="630" t="s">
        <v>338</v>
      </c>
      <c r="K98" s="630" t="s">
        <v>339</v>
      </c>
      <c r="L98" s="630" t="s">
        <v>320</v>
      </c>
      <c r="M98" s="630" t="s">
        <v>321</v>
      </c>
      <c r="N98" s="630" t="s">
        <v>340</v>
      </c>
      <c r="O98" s="630" t="s">
        <v>341</v>
      </c>
    </row>
    <row r="99" spans="1:15" x14ac:dyDescent="0.25">
      <c r="A99" s="630" t="s">
        <v>336</v>
      </c>
      <c r="B99" s="629">
        <v>3</v>
      </c>
      <c r="C99" s="630"/>
      <c r="D99" s="630" t="s">
        <v>319</v>
      </c>
      <c r="E99" s="630" t="s">
        <v>319</v>
      </c>
      <c r="F99" s="630" t="s">
        <v>319</v>
      </c>
      <c r="G99" s="630" t="s">
        <v>324</v>
      </c>
      <c r="H99" s="601" t="s">
        <v>325</v>
      </c>
      <c r="I99" s="601" t="s">
        <v>409</v>
      </c>
      <c r="J99" s="630" t="s">
        <v>338</v>
      </c>
      <c r="K99" s="630" t="s">
        <v>339</v>
      </c>
      <c r="L99" s="630" t="s">
        <v>320</v>
      </c>
      <c r="M99" s="630" t="s">
        <v>321</v>
      </c>
      <c r="N99" s="630" t="s">
        <v>340</v>
      </c>
      <c r="O99" s="630" t="s">
        <v>341</v>
      </c>
    </row>
    <row r="100" spans="1:15" x14ac:dyDescent="0.25">
      <c r="A100" s="630" t="s">
        <v>336</v>
      </c>
      <c r="B100" s="629">
        <v>3</v>
      </c>
      <c r="C100" s="630"/>
      <c r="D100" s="630" t="s">
        <v>319</v>
      </c>
      <c r="E100" s="630" t="s">
        <v>319</v>
      </c>
      <c r="F100" s="630" t="s">
        <v>319</v>
      </c>
      <c r="G100" s="630" t="s">
        <v>324</v>
      </c>
      <c r="H100" s="601" t="s">
        <v>325</v>
      </c>
      <c r="I100" s="601" t="s">
        <v>410</v>
      </c>
      <c r="J100" s="630" t="s">
        <v>338</v>
      </c>
      <c r="K100" s="630" t="s">
        <v>339</v>
      </c>
      <c r="L100" s="630" t="s">
        <v>320</v>
      </c>
      <c r="M100" s="630" t="s">
        <v>321</v>
      </c>
      <c r="N100" s="630" t="s">
        <v>340</v>
      </c>
      <c r="O100" s="630" t="s">
        <v>341</v>
      </c>
    </row>
    <row r="101" spans="1:15" x14ac:dyDescent="0.25">
      <c r="A101" s="630" t="s">
        <v>336</v>
      </c>
      <c r="B101" s="629">
        <v>3</v>
      </c>
      <c r="C101" s="630"/>
      <c r="D101" s="630" t="s">
        <v>319</v>
      </c>
      <c r="E101" s="630" t="s">
        <v>319</v>
      </c>
      <c r="F101" s="630" t="s">
        <v>319</v>
      </c>
      <c r="G101" s="630" t="s">
        <v>324</v>
      </c>
      <c r="H101" s="601" t="s">
        <v>325</v>
      </c>
      <c r="I101" s="601" t="s">
        <v>411</v>
      </c>
      <c r="J101" s="630" t="s">
        <v>338</v>
      </c>
      <c r="K101" s="630" t="s">
        <v>339</v>
      </c>
      <c r="L101" s="630" t="s">
        <v>320</v>
      </c>
      <c r="M101" s="630" t="s">
        <v>321</v>
      </c>
      <c r="N101" s="630" t="s">
        <v>340</v>
      </c>
      <c r="O101" s="630" t="s">
        <v>341</v>
      </c>
    </row>
    <row r="102" spans="1:15" x14ac:dyDescent="0.25">
      <c r="A102" s="630" t="s">
        <v>336</v>
      </c>
      <c r="B102" s="629">
        <v>3</v>
      </c>
      <c r="C102" s="630"/>
      <c r="D102" s="630" t="s">
        <v>319</v>
      </c>
      <c r="E102" s="630" t="s">
        <v>319</v>
      </c>
      <c r="F102" s="630" t="s">
        <v>319</v>
      </c>
      <c r="G102" s="630" t="s">
        <v>324</v>
      </c>
      <c r="H102" s="601" t="s">
        <v>325</v>
      </c>
      <c r="I102" s="601" t="s">
        <v>412</v>
      </c>
      <c r="J102" s="630" t="s">
        <v>338</v>
      </c>
      <c r="K102" s="630" t="s">
        <v>339</v>
      </c>
      <c r="L102" s="630" t="s">
        <v>320</v>
      </c>
      <c r="M102" s="630" t="s">
        <v>321</v>
      </c>
      <c r="N102" s="630" t="s">
        <v>340</v>
      </c>
      <c r="O102" s="630" t="s">
        <v>341</v>
      </c>
    </row>
    <row r="103" spans="1:15" x14ac:dyDescent="0.25">
      <c r="A103" s="630" t="s">
        <v>336</v>
      </c>
      <c r="B103" s="629">
        <v>3</v>
      </c>
      <c r="C103" s="630"/>
      <c r="D103" s="630" t="s">
        <v>319</v>
      </c>
      <c r="E103" s="630" t="s">
        <v>319</v>
      </c>
      <c r="F103" s="630" t="s">
        <v>319</v>
      </c>
      <c r="G103" s="630" t="s">
        <v>324</v>
      </c>
      <c r="H103" s="601" t="s">
        <v>325</v>
      </c>
      <c r="I103" s="601" t="s">
        <v>413</v>
      </c>
      <c r="J103" s="630" t="s">
        <v>338</v>
      </c>
      <c r="K103" s="630" t="s">
        <v>339</v>
      </c>
      <c r="L103" s="630" t="s">
        <v>320</v>
      </c>
      <c r="M103" s="630" t="s">
        <v>321</v>
      </c>
      <c r="N103" s="630" t="s">
        <v>340</v>
      </c>
      <c r="O103" s="630" t="s">
        <v>341</v>
      </c>
    </row>
    <row r="104" spans="1:15" x14ac:dyDescent="0.25">
      <c r="A104" s="630" t="s">
        <v>336</v>
      </c>
      <c r="B104" s="629">
        <v>3</v>
      </c>
      <c r="C104" s="630"/>
      <c r="D104" s="630" t="s">
        <v>319</v>
      </c>
      <c r="E104" s="630" t="s">
        <v>319</v>
      </c>
      <c r="F104" s="630" t="s">
        <v>319</v>
      </c>
      <c r="G104" s="630" t="s">
        <v>324</v>
      </c>
      <c r="H104" s="601" t="s">
        <v>325</v>
      </c>
      <c r="I104" s="601" t="s">
        <v>414</v>
      </c>
      <c r="J104" s="630" t="s">
        <v>338</v>
      </c>
      <c r="K104" s="630" t="s">
        <v>339</v>
      </c>
      <c r="L104" s="630" t="s">
        <v>320</v>
      </c>
      <c r="M104" s="630" t="s">
        <v>321</v>
      </c>
      <c r="N104" s="630" t="s">
        <v>340</v>
      </c>
      <c r="O104" s="630" t="s">
        <v>341</v>
      </c>
    </row>
    <row r="105" spans="1:15" x14ac:dyDescent="0.25">
      <c r="A105" s="630" t="s">
        <v>336</v>
      </c>
      <c r="B105" s="629">
        <v>3</v>
      </c>
      <c r="C105" s="630"/>
      <c r="D105" s="630" t="s">
        <v>319</v>
      </c>
      <c r="E105" s="630" t="s">
        <v>319</v>
      </c>
      <c r="F105" s="630" t="s">
        <v>319</v>
      </c>
      <c r="G105" s="630" t="s">
        <v>324</v>
      </c>
      <c r="H105" s="601" t="s">
        <v>325</v>
      </c>
      <c r="I105" s="601" t="s">
        <v>415</v>
      </c>
      <c r="J105" s="630" t="s">
        <v>338</v>
      </c>
      <c r="K105" s="630" t="s">
        <v>339</v>
      </c>
      <c r="L105" s="630" t="s">
        <v>320</v>
      </c>
      <c r="M105" s="630" t="s">
        <v>321</v>
      </c>
      <c r="N105" s="630" t="s">
        <v>340</v>
      </c>
      <c r="O105" s="630" t="s">
        <v>341</v>
      </c>
    </row>
    <row r="106" spans="1:15" x14ac:dyDescent="0.25">
      <c r="A106" s="630" t="s">
        <v>336</v>
      </c>
      <c r="B106" s="629">
        <v>3</v>
      </c>
      <c r="C106" s="630"/>
      <c r="D106" s="630" t="s">
        <v>319</v>
      </c>
      <c r="E106" s="630" t="s">
        <v>319</v>
      </c>
      <c r="F106" s="630" t="s">
        <v>319</v>
      </c>
      <c r="G106" s="630" t="s">
        <v>324</v>
      </c>
      <c r="H106" s="601" t="s">
        <v>325</v>
      </c>
      <c r="I106" s="601" t="s">
        <v>416</v>
      </c>
      <c r="J106" s="630" t="s">
        <v>338</v>
      </c>
      <c r="K106" s="630" t="s">
        <v>339</v>
      </c>
      <c r="L106" s="630" t="s">
        <v>320</v>
      </c>
      <c r="M106" s="630" t="s">
        <v>321</v>
      </c>
      <c r="N106" s="630" t="s">
        <v>340</v>
      </c>
      <c r="O106" s="630" t="s">
        <v>341</v>
      </c>
    </row>
    <row r="107" spans="1:15" x14ac:dyDescent="0.25">
      <c r="A107" s="630" t="s">
        <v>336</v>
      </c>
      <c r="B107" s="629">
        <v>0.85</v>
      </c>
      <c r="C107" s="630"/>
      <c r="D107" s="630" t="s">
        <v>319</v>
      </c>
      <c r="E107" s="630" t="s">
        <v>319</v>
      </c>
      <c r="F107" s="630" t="s">
        <v>319</v>
      </c>
      <c r="G107" s="630" t="s">
        <v>324</v>
      </c>
      <c r="H107" s="601" t="s">
        <v>325</v>
      </c>
      <c r="I107" s="601" t="s">
        <v>337</v>
      </c>
      <c r="J107" s="630" t="s">
        <v>338</v>
      </c>
      <c r="K107" s="630" t="s">
        <v>339</v>
      </c>
      <c r="L107" s="630" t="b">
        <v>0</v>
      </c>
      <c r="M107" s="630" t="s">
        <v>321</v>
      </c>
      <c r="N107" s="630" t="s">
        <v>340</v>
      </c>
      <c r="O107" s="630" t="s">
        <v>341</v>
      </c>
    </row>
    <row r="108" spans="1:15" x14ac:dyDescent="0.25">
      <c r="A108" s="630" t="s">
        <v>336</v>
      </c>
      <c r="B108" s="629">
        <v>0.85</v>
      </c>
      <c r="C108" s="630"/>
      <c r="D108" s="630" t="s">
        <v>319</v>
      </c>
      <c r="E108" s="630" t="s">
        <v>319</v>
      </c>
      <c r="F108" s="630" t="s">
        <v>319</v>
      </c>
      <c r="G108" s="630" t="s">
        <v>324</v>
      </c>
      <c r="H108" s="601" t="s">
        <v>325</v>
      </c>
      <c r="I108" s="601" t="s">
        <v>342</v>
      </c>
      <c r="J108" s="630" t="s">
        <v>338</v>
      </c>
      <c r="K108" s="630" t="s">
        <v>339</v>
      </c>
      <c r="L108" s="630" t="b">
        <v>0</v>
      </c>
      <c r="M108" s="630" t="s">
        <v>321</v>
      </c>
      <c r="N108" s="630" t="s">
        <v>340</v>
      </c>
      <c r="O108" s="630" t="s">
        <v>341</v>
      </c>
    </row>
    <row r="109" spans="1:15" x14ac:dyDescent="0.25">
      <c r="A109" s="630" t="s">
        <v>336</v>
      </c>
      <c r="B109" s="629">
        <v>0.85</v>
      </c>
      <c r="C109" s="630"/>
      <c r="D109" s="630" t="s">
        <v>319</v>
      </c>
      <c r="E109" s="630" t="s">
        <v>319</v>
      </c>
      <c r="F109" s="630" t="s">
        <v>319</v>
      </c>
      <c r="G109" s="630" t="s">
        <v>324</v>
      </c>
      <c r="H109" s="601" t="s">
        <v>325</v>
      </c>
      <c r="I109" s="601" t="s">
        <v>343</v>
      </c>
      <c r="J109" s="630" t="s">
        <v>338</v>
      </c>
      <c r="K109" s="630" t="s">
        <v>339</v>
      </c>
      <c r="L109" s="630" t="b">
        <v>0</v>
      </c>
      <c r="M109" s="630" t="s">
        <v>321</v>
      </c>
      <c r="N109" s="630" t="s">
        <v>340</v>
      </c>
      <c r="O109" s="630" t="s">
        <v>341</v>
      </c>
    </row>
    <row r="110" spans="1:15" x14ac:dyDescent="0.25">
      <c r="A110" s="630" t="s">
        <v>336</v>
      </c>
      <c r="B110" s="629">
        <v>0.85</v>
      </c>
      <c r="C110" s="630"/>
      <c r="D110" s="630" t="s">
        <v>319</v>
      </c>
      <c r="E110" s="630" t="s">
        <v>319</v>
      </c>
      <c r="F110" s="630" t="s">
        <v>319</v>
      </c>
      <c r="G110" s="630" t="s">
        <v>324</v>
      </c>
      <c r="H110" s="601" t="s">
        <v>325</v>
      </c>
      <c r="I110" s="601" t="s">
        <v>344</v>
      </c>
      <c r="J110" s="630" t="s">
        <v>338</v>
      </c>
      <c r="K110" s="630" t="s">
        <v>339</v>
      </c>
      <c r="L110" s="630" t="b">
        <v>0</v>
      </c>
      <c r="M110" s="630" t="s">
        <v>321</v>
      </c>
      <c r="N110" s="630" t="s">
        <v>340</v>
      </c>
      <c r="O110" s="630" t="s">
        <v>341</v>
      </c>
    </row>
    <row r="111" spans="1:15" x14ac:dyDescent="0.25">
      <c r="A111" s="630" t="s">
        <v>336</v>
      </c>
      <c r="B111" s="629">
        <v>0.85</v>
      </c>
      <c r="C111" s="630"/>
      <c r="D111" s="630" t="s">
        <v>319</v>
      </c>
      <c r="E111" s="630" t="s">
        <v>319</v>
      </c>
      <c r="F111" s="630" t="s">
        <v>319</v>
      </c>
      <c r="G111" s="630" t="s">
        <v>324</v>
      </c>
      <c r="H111" s="601" t="s">
        <v>325</v>
      </c>
      <c r="I111" s="601" t="s">
        <v>345</v>
      </c>
      <c r="J111" s="630" t="s">
        <v>338</v>
      </c>
      <c r="K111" s="630" t="s">
        <v>339</v>
      </c>
      <c r="L111" s="630" t="b">
        <v>0</v>
      </c>
      <c r="M111" s="630" t="s">
        <v>321</v>
      </c>
      <c r="N111" s="630" t="s">
        <v>340</v>
      </c>
      <c r="O111" s="630" t="s">
        <v>341</v>
      </c>
    </row>
    <row r="112" spans="1:15" x14ac:dyDescent="0.25">
      <c r="A112" s="630" t="s">
        <v>336</v>
      </c>
      <c r="B112" s="629">
        <v>0.9</v>
      </c>
      <c r="C112" s="630"/>
      <c r="D112" s="630" t="s">
        <v>319</v>
      </c>
      <c r="E112" s="630" t="s">
        <v>319</v>
      </c>
      <c r="F112" s="630" t="s">
        <v>319</v>
      </c>
      <c r="G112" s="630" t="s">
        <v>324</v>
      </c>
      <c r="H112" s="601" t="s">
        <v>325</v>
      </c>
      <c r="I112" s="601" t="s">
        <v>346</v>
      </c>
      <c r="J112" s="630" t="s">
        <v>338</v>
      </c>
      <c r="K112" s="630" t="s">
        <v>339</v>
      </c>
      <c r="L112" s="630" t="b">
        <v>0</v>
      </c>
      <c r="M112" s="630" t="s">
        <v>321</v>
      </c>
      <c r="N112" s="630" t="s">
        <v>340</v>
      </c>
      <c r="O112" s="630" t="s">
        <v>341</v>
      </c>
    </row>
    <row r="113" spans="1:15" x14ac:dyDescent="0.25">
      <c r="A113" s="630" t="s">
        <v>336</v>
      </c>
      <c r="B113" s="629">
        <v>0.9</v>
      </c>
      <c r="C113" s="630"/>
      <c r="D113" s="630" t="s">
        <v>319</v>
      </c>
      <c r="E113" s="630" t="s">
        <v>319</v>
      </c>
      <c r="F113" s="630" t="s">
        <v>319</v>
      </c>
      <c r="G113" s="630" t="s">
        <v>324</v>
      </c>
      <c r="H113" s="601" t="s">
        <v>325</v>
      </c>
      <c r="I113" s="601" t="s">
        <v>347</v>
      </c>
      <c r="J113" s="630" t="s">
        <v>338</v>
      </c>
      <c r="K113" s="630" t="s">
        <v>339</v>
      </c>
      <c r="L113" s="630" t="b">
        <v>0</v>
      </c>
      <c r="M113" s="630" t="s">
        <v>321</v>
      </c>
      <c r="N113" s="630" t="s">
        <v>340</v>
      </c>
      <c r="O113" s="630" t="s">
        <v>341</v>
      </c>
    </row>
    <row r="114" spans="1:15" x14ac:dyDescent="0.25">
      <c r="A114" s="630" t="s">
        <v>336</v>
      </c>
      <c r="B114" s="629">
        <v>0.9</v>
      </c>
      <c r="C114" s="630"/>
      <c r="D114" s="630" t="s">
        <v>319</v>
      </c>
      <c r="E114" s="630" t="s">
        <v>319</v>
      </c>
      <c r="F114" s="630" t="s">
        <v>319</v>
      </c>
      <c r="G114" s="630" t="s">
        <v>324</v>
      </c>
      <c r="H114" s="601" t="s">
        <v>325</v>
      </c>
      <c r="I114" s="601" t="s">
        <v>348</v>
      </c>
      <c r="J114" s="630" t="s">
        <v>338</v>
      </c>
      <c r="K114" s="630" t="s">
        <v>339</v>
      </c>
      <c r="L114" s="630" t="b">
        <v>0</v>
      </c>
      <c r="M114" s="630" t="s">
        <v>321</v>
      </c>
      <c r="N114" s="630" t="s">
        <v>340</v>
      </c>
      <c r="O114" s="630" t="s">
        <v>341</v>
      </c>
    </row>
    <row r="115" spans="1:15" x14ac:dyDescent="0.25">
      <c r="A115" s="630" t="s">
        <v>336</v>
      </c>
      <c r="B115" s="629">
        <v>0.9</v>
      </c>
      <c r="C115" s="630"/>
      <c r="D115" s="630" t="s">
        <v>319</v>
      </c>
      <c r="E115" s="630" t="s">
        <v>319</v>
      </c>
      <c r="F115" s="630" t="s">
        <v>319</v>
      </c>
      <c r="G115" s="630" t="s">
        <v>324</v>
      </c>
      <c r="H115" s="601" t="s">
        <v>325</v>
      </c>
      <c r="I115" s="601" t="s">
        <v>349</v>
      </c>
      <c r="J115" s="630" t="s">
        <v>338</v>
      </c>
      <c r="K115" s="630" t="s">
        <v>339</v>
      </c>
      <c r="L115" s="630" t="b">
        <v>0</v>
      </c>
      <c r="M115" s="630" t="s">
        <v>321</v>
      </c>
      <c r="N115" s="630" t="s">
        <v>340</v>
      </c>
      <c r="O115" s="630" t="s">
        <v>341</v>
      </c>
    </row>
    <row r="116" spans="1:15" x14ac:dyDescent="0.25">
      <c r="A116" s="630" t="s">
        <v>336</v>
      </c>
      <c r="B116" s="629">
        <v>0.9</v>
      </c>
      <c r="C116" s="630"/>
      <c r="D116" s="630" t="s">
        <v>319</v>
      </c>
      <c r="E116" s="630" t="s">
        <v>319</v>
      </c>
      <c r="F116" s="630" t="s">
        <v>319</v>
      </c>
      <c r="G116" s="630" t="s">
        <v>324</v>
      </c>
      <c r="H116" s="601" t="s">
        <v>325</v>
      </c>
      <c r="I116" s="601" t="s">
        <v>350</v>
      </c>
      <c r="J116" s="630" t="s">
        <v>338</v>
      </c>
      <c r="K116" s="630" t="s">
        <v>339</v>
      </c>
      <c r="L116" s="630" t="b">
        <v>0</v>
      </c>
      <c r="M116" s="630" t="s">
        <v>321</v>
      </c>
      <c r="N116" s="630" t="s">
        <v>340</v>
      </c>
      <c r="O116" s="630" t="s">
        <v>341</v>
      </c>
    </row>
    <row r="117" spans="1:15" x14ac:dyDescent="0.25">
      <c r="A117" s="630" t="s">
        <v>336</v>
      </c>
      <c r="B117" s="629">
        <v>0.9</v>
      </c>
      <c r="C117" s="630"/>
      <c r="D117" s="630" t="s">
        <v>319</v>
      </c>
      <c r="E117" s="630" t="s">
        <v>319</v>
      </c>
      <c r="F117" s="630" t="s">
        <v>319</v>
      </c>
      <c r="G117" s="630" t="s">
        <v>324</v>
      </c>
      <c r="H117" s="601" t="s">
        <v>325</v>
      </c>
      <c r="I117" s="601" t="s">
        <v>351</v>
      </c>
      <c r="J117" s="630" t="s">
        <v>338</v>
      </c>
      <c r="K117" s="630" t="s">
        <v>339</v>
      </c>
      <c r="L117" s="630" t="b">
        <v>0</v>
      </c>
      <c r="M117" s="630" t="s">
        <v>321</v>
      </c>
      <c r="N117" s="630" t="s">
        <v>340</v>
      </c>
      <c r="O117" s="630" t="s">
        <v>341</v>
      </c>
    </row>
    <row r="118" spans="1:15" x14ac:dyDescent="0.25">
      <c r="A118" s="630" t="s">
        <v>336</v>
      </c>
      <c r="B118" s="629">
        <v>0.9</v>
      </c>
      <c r="C118" s="630"/>
      <c r="D118" s="630" t="s">
        <v>319</v>
      </c>
      <c r="E118" s="630" t="s">
        <v>319</v>
      </c>
      <c r="F118" s="630" t="s">
        <v>319</v>
      </c>
      <c r="G118" s="630" t="s">
        <v>324</v>
      </c>
      <c r="H118" s="601" t="s">
        <v>325</v>
      </c>
      <c r="I118" s="601" t="s">
        <v>352</v>
      </c>
      <c r="J118" s="630" t="s">
        <v>338</v>
      </c>
      <c r="K118" s="630" t="s">
        <v>339</v>
      </c>
      <c r="L118" s="630" t="b">
        <v>0</v>
      </c>
      <c r="M118" s="630" t="s">
        <v>321</v>
      </c>
      <c r="N118" s="630" t="s">
        <v>340</v>
      </c>
      <c r="O118" s="630" t="s">
        <v>341</v>
      </c>
    </row>
    <row r="119" spans="1:15" x14ac:dyDescent="0.25">
      <c r="A119" s="630" t="s">
        <v>336</v>
      </c>
      <c r="B119" s="629">
        <v>0.9</v>
      </c>
      <c r="C119" s="630"/>
      <c r="D119" s="630" t="s">
        <v>319</v>
      </c>
      <c r="E119" s="630" t="s">
        <v>319</v>
      </c>
      <c r="F119" s="630" t="s">
        <v>319</v>
      </c>
      <c r="G119" s="630" t="s">
        <v>324</v>
      </c>
      <c r="H119" s="601" t="s">
        <v>325</v>
      </c>
      <c r="I119" s="601" t="s">
        <v>353</v>
      </c>
      <c r="J119" s="630" t="s">
        <v>338</v>
      </c>
      <c r="K119" s="630" t="s">
        <v>339</v>
      </c>
      <c r="L119" s="630" t="b">
        <v>0</v>
      </c>
      <c r="M119" s="630" t="s">
        <v>321</v>
      </c>
      <c r="N119" s="630" t="s">
        <v>340</v>
      </c>
      <c r="O119" s="630" t="s">
        <v>341</v>
      </c>
    </row>
    <row r="120" spans="1:15" x14ac:dyDescent="0.25">
      <c r="A120" s="630" t="s">
        <v>336</v>
      </c>
      <c r="B120" s="629">
        <v>0.9</v>
      </c>
      <c r="C120" s="630"/>
      <c r="D120" s="630" t="s">
        <v>319</v>
      </c>
      <c r="E120" s="630" t="s">
        <v>319</v>
      </c>
      <c r="F120" s="630" t="s">
        <v>319</v>
      </c>
      <c r="G120" s="630" t="s">
        <v>324</v>
      </c>
      <c r="H120" s="601" t="s">
        <v>325</v>
      </c>
      <c r="I120" s="601" t="s">
        <v>354</v>
      </c>
      <c r="J120" s="630" t="s">
        <v>338</v>
      </c>
      <c r="K120" s="630" t="s">
        <v>339</v>
      </c>
      <c r="L120" s="630" t="b">
        <v>0</v>
      </c>
      <c r="M120" s="630" t="s">
        <v>321</v>
      </c>
      <c r="N120" s="630" t="s">
        <v>340</v>
      </c>
      <c r="O120" s="630" t="s">
        <v>341</v>
      </c>
    </row>
    <row r="121" spans="1:15" x14ac:dyDescent="0.25">
      <c r="A121" s="630" t="s">
        <v>336</v>
      </c>
      <c r="B121" s="629">
        <v>0.9</v>
      </c>
      <c r="C121" s="630"/>
      <c r="D121" s="630" t="s">
        <v>319</v>
      </c>
      <c r="E121" s="630" t="s">
        <v>319</v>
      </c>
      <c r="F121" s="630" t="s">
        <v>319</v>
      </c>
      <c r="G121" s="630" t="s">
        <v>324</v>
      </c>
      <c r="H121" s="601" t="s">
        <v>325</v>
      </c>
      <c r="I121" s="601" t="s">
        <v>355</v>
      </c>
      <c r="J121" s="630" t="s">
        <v>338</v>
      </c>
      <c r="K121" s="630" t="s">
        <v>339</v>
      </c>
      <c r="L121" s="630" t="b">
        <v>0</v>
      </c>
      <c r="M121" s="630" t="s">
        <v>321</v>
      </c>
      <c r="N121" s="630" t="s">
        <v>340</v>
      </c>
      <c r="O121" s="630" t="s">
        <v>341</v>
      </c>
    </row>
    <row r="122" spans="1:15" x14ac:dyDescent="0.25">
      <c r="A122" s="630" t="s">
        <v>336</v>
      </c>
      <c r="B122" s="629">
        <v>1</v>
      </c>
      <c r="C122" s="630"/>
      <c r="D122" s="630" t="s">
        <v>319</v>
      </c>
      <c r="E122" s="630" t="s">
        <v>319</v>
      </c>
      <c r="F122" s="630" t="s">
        <v>319</v>
      </c>
      <c r="G122" s="630" t="s">
        <v>324</v>
      </c>
      <c r="H122" s="601" t="s">
        <v>325</v>
      </c>
      <c r="I122" s="601" t="s">
        <v>356</v>
      </c>
      <c r="J122" s="630" t="s">
        <v>338</v>
      </c>
      <c r="K122" s="630" t="s">
        <v>339</v>
      </c>
      <c r="L122" s="630" t="b">
        <v>0</v>
      </c>
      <c r="M122" s="630" t="s">
        <v>321</v>
      </c>
      <c r="N122" s="630" t="s">
        <v>340</v>
      </c>
      <c r="O122" s="630" t="s">
        <v>341</v>
      </c>
    </row>
    <row r="123" spans="1:15" x14ac:dyDescent="0.25">
      <c r="A123" s="630" t="s">
        <v>336</v>
      </c>
      <c r="B123" s="629">
        <v>1</v>
      </c>
      <c r="C123" s="630"/>
      <c r="D123" s="630" t="s">
        <v>319</v>
      </c>
      <c r="E123" s="630" t="s">
        <v>319</v>
      </c>
      <c r="F123" s="630" t="s">
        <v>319</v>
      </c>
      <c r="G123" s="630" t="s">
        <v>324</v>
      </c>
      <c r="H123" s="601" t="s">
        <v>325</v>
      </c>
      <c r="I123" s="601" t="s">
        <v>357</v>
      </c>
      <c r="J123" s="630" t="s">
        <v>338</v>
      </c>
      <c r="K123" s="630" t="s">
        <v>339</v>
      </c>
      <c r="L123" s="630" t="b">
        <v>0</v>
      </c>
      <c r="M123" s="630" t="s">
        <v>321</v>
      </c>
      <c r="N123" s="630" t="s">
        <v>340</v>
      </c>
      <c r="O123" s="630" t="s">
        <v>341</v>
      </c>
    </row>
    <row r="124" spans="1:15" x14ac:dyDescent="0.25">
      <c r="A124" s="630" t="s">
        <v>336</v>
      </c>
      <c r="B124" s="629">
        <v>1</v>
      </c>
      <c r="C124" s="630"/>
      <c r="D124" s="630" t="s">
        <v>319</v>
      </c>
      <c r="E124" s="630" t="s">
        <v>319</v>
      </c>
      <c r="F124" s="630" t="s">
        <v>319</v>
      </c>
      <c r="G124" s="630" t="s">
        <v>324</v>
      </c>
      <c r="H124" s="601" t="s">
        <v>325</v>
      </c>
      <c r="I124" s="601" t="s">
        <v>358</v>
      </c>
      <c r="J124" s="630" t="s">
        <v>338</v>
      </c>
      <c r="K124" s="630" t="s">
        <v>339</v>
      </c>
      <c r="L124" s="630" t="b">
        <v>0</v>
      </c>
      <c r="M124" s="630" t="s">
        <v>321</v>
      </c>
      <c r="N124" s="630" t="s">
        <v>340</v>
      </c>
      <c r="O124" s="630" t="s">
        <v>341</v>
      </c>
    </row>
    <row r="125" spans="1:15" x14ac:dyDescent="0.25">
      <c r="A125" s="630" t="s">
        <v>336</v>
      </c>
      <c r="B125" s="629">
        <v>1</v>
      </c>
      <c r="C125" s="630"/>
      <c r="D125" s="630" t="s">
        <v>319</v>
      </c>
      <c r="E125" s="630" t="s">
        <v>319</v>
      </c>
      <c r="F125" s="630" t="s">
        <v>319</v>
      </c>
      <c r="G125" s="630" t="s">
        <v>324</v>
      </c>
      <c r="H125" s="601" t="s">
        <v>325</v>
      </c>
      <c r="I125" s="601" t="s">
        <v>359</v>
      </c>
      <c r="J125" s="630" t="s">
        <v>338</v>
      </c>
      <c r="K125" s="630" t="s">
        <v>339</v>
      </c>
      <c r="L125" s="630" t="b">
        <v>0</v>
      </c>
      <c r="M125" s="630" t="s">
        <v>321</v>
      </c>
      <c r="N125" s="630" t="s">
        <v>340</v>
      </c>
      <c r="O125" s="630" t="s">
        <v>341</v>
      </c>
    </row>
    <row r="126" spans="1:15" x14ac:dyDescent="0.25">
      <c r="A126" s="630" t="s">
        <v>336</v>
      </c>
      <c r="B126" s="629">
        <v>1</v>
      </c>
      <c r="C126" s="630"/>
      <c r="D126" s="630" t="s">
        <v>319</v>
      </c>
      <c r="E126" s="630" t="s">
        <v>319</v>
      </c>
      <c r="F126" s="630" t="s">
        <v>319</v>
      </c>
      <c r="G126" s="630" t="s">
        <v>324</v>
      </c>
      <c r="H126" s="601" t="s">
        <v>325</v>
      </c>
      <c r="I126" s="601" t="s">
        <v>360</v>
      </c>
      <c r="J126" s="630" t="s">
        <v>338</v>
      </c>
      <c r="K126" s="630" t="s">
        <v>339</v>
      </c>
      <c r="L126" s="630" t="b">
        <v>0</v>
      </c>
      <c r="M126" s="630" t="s">
        <v>321</v>
      </c>
      <c r="N126" s="630" t="s">
        <v>340</v>
      </c>
      <c r="O126" s="630" t="s">
        <v>341</v>
      </c>
    </row>
    <row r="127" spans="1:15" x14ac:dyDescent="0.25">
      <c r="A127" s="630" t="s">
        <v>336</v>
      </c>
      <c r="B127" s="629">
        <v>1</v>
      </c>
      <c r="C127" s="630"/>
      <c r="D127" s="630" t="s">
        <v>319</v>
      </c>
      <c r="E127" s="630" t="s">
        <v>319</v>
      </c>
      <c r="F127" s="630" t="s">
        <v>319</v>
      </c>
      <c r="G127" s="630" t="s">
        <v>324</v>
      </c>
      <c r="H127" s="601" t="s">
        <v>325</v>
      </c>
      <c r="I127" s="601" t="s">
        <v>361</v>
      </c>
      <c r="J127" s="630" t="s">
        <v>338</v>
      </c>
      <c r="K127" s="630" t="s">
        <v>339</v>
      </c>
      <c r="L127" s="630" t="b">
        <v>0</v>
      </c>
      <c r="M127" s="630" t="s">
        <v>321</v>
      </c>
      <c r="N127" s="630" t="s">
        <v>340</v>
      </c>
      <c r="O127" s="630" t="s">
        <v>341</v>
      </c>
    </row>
    <row r="128" spans="1:15" x14ac:dyDescent="0.25">
      <c r="A128" s="630" t="s">
        <v>336</v>
      </c>
      <c r="B128" s="629">
        <v>1</v>
      </c>
      <c r="C128" s="630"/>
      <c r="D128" s="630" t="s">
        <v>319</v>
      </c>
      <c r="E128" s="630" t="s">
        <v>319</v>
      </c>
      <c r="F128" s="630" t="s">
        <v>319</v>
      </c>
      <c r="G128" s="630" t="s">
        <v>324</v>
      </c>
      <c r="H128" s="601" t="s">
        <v>325</v>
      </c>
      <c r="I128" s="601" t="s">
        <v>362</v>
      </c>
      <c r="J128" s="630" t="s">
        <v>338</v>
      </c>
      <c r="K128" s="630" t="s">
        <v>339</v>
      </c>
      <c r="L128" s="630" t="b">
        <v>0</v>
      </c>
      <c r="M128" s="630" t="s">
        <v>321</v>
      </c>
      <c r="N128" s="630" t="s">
        <v>340</v>
      </c>
      <c r="O128" s="630" t="s">
        <v>341</v>
      </c>
    </row>
    <row r="129" spans="1:15" x14ac:dyDescent="0.25">
      <c r="A129" s="630" t="s">
        <v>336</v>
      </c>
      <c r="B129" s="629">
        <v>1</v>
      </c>
      <c r="C129" s="630"/>
      <c r="D129" s="630" t="s">
        <v>319</v>
      </c>
      <c r="E129" s="630" t="s">
        <v>319</v>
      </c>
      <c r="F129" s="630" t="s">
        <v>319</v>
      </c>
      <c r="G129" s="630" t="s">
        <v>324</v>
      </c>
      <c r="H129" s="601" t="s">
        <v>325</v>
      </c>
      <c r="I129" s="601" t="s">
        <v>363</v>
      </c>
      <c r="J129" s="630" t="s">
        <v>338</v>
      </c>
      <c r="K129" s="630" t="s">
        <v>339</v>
      </c>
      <c r="L129" s="630" t="b">
        <v>0</v>
      </c>
      <c r="M129" s="630" t="s">
        <v>321</v>
      </c>
      <c r="N129" s="630" t="s">
        <v>340</v>
      </c>
      <c r="O129" s="630" t="s">
        <v>341</v>
      </c>
    </row>
    <row r="130" spans="1:15" x14ac:dyDescent="0.25">
      <c r="A130" s="630" t="s">
        <v>336</v>
      </c>
      <c r="B130" s="629">
        <v>1</v>
      </c>
      <c r="C130" s="630"/>
      <c r="D130" s="630" t="s">
        <v>319</v>
      </c>
      <c r="E130" s="630" t="s">
        <v>319</v>
      </c>
      <c r="F130" s="630" t="s">
        <v>319</v>
      </c>
      <c r="G130" s="630" t="s">
        <v>324</v>
      </c>
      <c r="H130" s="601" t="s">
        <v>325</v>
      </c>
      <c r="I130" s="601" t="s">
        <v>364</v>
      </c>
      <c r="J130" s="630" t="s">
        <v>338</v>
      </c>
      <c r="K130" s="630" t="s">
        <v>339</v>
      </c>
      <c r="L130" s="630" t="b">
        <v>0</v>
      </c>
      <c r="M130" s="630" t="s">
        <v>321</v>
      </c>
      <c r="N130" s="630" t="s">
        <v>340</v>
      </c>
      <c r="O130" s="630" t="s">
        <v>341</v>
      </c>
    </row>
    <row r="131" spans="1:15" x14ac:dyDescent="0.25">
      <c r="A131" s="630" t="s">
        <v>336</v>
      </c>
      <c r="B131" s="629">
        <v>1</v>
      </c>
      <c r="C131" s="630"/>
      <c r="D131" s="630" t="s">
        <v>319</v>
      </c>
      <c r="E131" s="630" t="s">
        <v>319</v>
      </c>
      <c r="F131" s="630" t="s">
        <v>319</v>
      </c>
      <c r="G131" s="630" t="s">
        <v>324</v>
      </c>
      <c r="H131" s="601" t="s">
        <v>325</v>
      </c>
      <c r="I131" s="601" t="s">
        <v>365</v>
      </c>
      <c r="J131" s="630" t="s">
        <v>338</v>
      </c>
      <c r="K131" s="630" t="s">
        <v>339</v>
      </c>
      <c r="L131" s="630" t="b">
        <v>0</v>
      </c>
      <c r="M131" s="630" t="s">
        <v>321</v>
      </c>
      <c r="N131" s="630" t="s">
        <v>340</v>
      </c>
      <c r="O131" s="630" t="s">
        <v>341</v>
      </c>
    </row>
    <row r="132" spans="1:15" x14ac:dyDescent="0.25">
      <c r="A132" s="630" t="s">
        <v>336</v>
      </c>
      <c r="B132" s="629">
        <v>1.1499999999999999</v>
      </c>
      <c r="C132" s="630"/>
      <c r="D132" s="630" t="s">
        <v>319</v>
      </c>
      <c r="E132" s="630" t="s">
        <v>319</v>
      </c>
      <c r="F132" s="630" t="s">
        <v>319</v>
      </c>
      <c r="G132" s="630" t="s">
        <v>324</v>
      </c>
      <c r="H132" s="601" t="s">
        <v>325</v>
      </c>
      <c r="I132" s="601" t="s">
        <v>366</v>
      </c>
      <c r="J132" s="630" t="s">
        <v>338</v>
      </c>
      <c r="K132" s="630" t="s">
        <v>339</v>
      </c>
      <c r="L132" s="630" t="b">
        <v>0</v>
      </c>
      <c r="M132" s="630" t="s">
        <v>321</v>
      </c>
      <c r="N132" s="630" t="s">
        <v>340</v>
      </c>
      <c r="O132" s="630" t="s">
        <v>341</v>
      </c>
    </row>
    <row r="133" spans="1:15" x14ac:dyDescent="0.25">
      <c r="A133" s="630" t="s">
        <v>336</v>
      </c>
      <c r="B133" s="629">
        <v>1.1499999999999999</v>
      </c>
      <c r="C133" s="630"/>
      <c r="D133" s="630" t="s">
        <v>319</v>
      </c>
      <c r="E133" s="630" t="s">
        <v>319</v>
      </c>
      <c r="F133" s="630" t="s">
        <v>319</v>
      </c>
      <c r="G133" s="630" t="s">
        <v>324</v>
      </c>
      <c r="H133" s="601" t="s">
        <v>325</v>
      </c>
      <c r="I133" s="601" t="s">
        <v>367</v>
      </c>
      <c r="J133" s="630" t="s">
        <v>338</v>
      </c>
      <c r="K133" s="630" t="s">
        <v>339</v>
      </c>
      <c r="L133" s="630" t="b">
        <v>0</v>
      </c>
      <c r="M133" s="630" t="s">
        <v>321</v>
      </c>
      <c r="N133" s="630" t="s">
        <v>340</v>
      </c>
      <c r="O133" s="630" t="s">
        <v>341</v>
      </c>
    </row>
    <row r="134" spans="1:15" x14ac:dyDescent="0.25">
      <c r="A134" s="630" t="s">
        <v>336</v>
      </c>
      <c r="B134" s="629">
        <v>1.1499999999999999</v>
      </c>
      <c r="C134" s="630"/>
      <c r="D134" s="630" t="s">
        <v>319</v>
      </c>
      <c r="E134" s="630" t="s">
        <v>319</v>
      </c>
      <c r="F134" s="630" t="s">
        <v>319</v>
      </c>
      <c r="G134" s="630" t="s">
        <v>324</v>
      </c>
      <c r="H134" s="601" t="s">
        <v>325</v>
      </c>
      <c r="I134" s="601" t="s">
        <v>368</v>
      </c>
      <c r="J134" s="630" t="s">
        <v>338</v>
      </c>
      <c r="K134" s="630" t="s">
        <v>339</v>
      </c>
      <c r="L134" s="630" t="b">
        <v>0</v>
      </c>
      <c r="M134" s="630" t="s">
        <v>321</v>
      </c>
      <c r="N134" s="630" t="s">
        <v>340</v>
      </c>
      <c r="O134" s="630" t="s">
        <v>341</v>
      </c>
    </row>
    <row r="135" spans="1:15" x14ac:dyDescent="0.25">
      <c r="A135" s="630" t="s">
        <v>336</v>
      </c>
      <c r="B135" s="629">
        <v>1.1499999999999999</v>
      </c>
      <c r="C135" s="630"/>
      <c r="D135" s="630" t="s">
        <v>319</v>
      </c>
      <c r="E135" s="630" t="s">
        <v>319</v>
      </c>
      <c r="F135" s="630" t="s">
        <v>319</v>
      </c>
      <c r="G135" s="630" t="s">
        <v>324</v>
      </c>
      <c r="H135" s="601" t="s">
        <v>325</v>
      </c>
      <c r="I135" s="601" t="s">
        <v>369</v>
      </c>
      <c r="J135" s="630" t="s">
        <v>338</v>
      </c>
      <c r="K135" s="630" t="s">
        <v>339</v>
      </c>
      <c r="L135" s="630" t="b">
        <v>0</v>
      </c>
      <c r="M135" s="630" t="s">
        <v>321</v>
      </c>
      <c r="N135" s="630" t="s">
        <v>340</v>
      </c>
      <c r="O135" s="630" t="s">
        <v>341</v>
      </c>
    </row>
    <row r="136" spans="1:15" x14ac:dyDescent="0.25">
      <c r="A136" s="630" t="s">
        <v>336</v>
      </c>
      <c r="B136" s="629">
        <v>1.1499999999999999</v>
      </c>
      <c r="C136" s="630"/>
      <c r="D136" s="630" t="s">
        <v>319</v>
      </c>
      <c r="E136" s="630" t="s">
        <v>319</v>
      </c>
      <c r="F136" s="630" t="s">
        <v>319</v>
      </c>
      <c r="G136" s="630" t="s">
        <v>324</v>
      </c>
      <c r="H136" s="601" t="s">
        <v>325</v>
      </c>
      <c r="I136" s="601" t="s">
        <v>370</v>
      </c>
      <c r="J136" s="630" t="s">
        <v>338</v>
      </c>
      <c r="K136" s="630" t="s">
        <v>339</v>
      </c>
      <c r="L136" s="630" t="b">
        <v>0</v>
      </c>
      <c r="M136" s="630" t="s">
        <v>321</v>
      </c>
      <c r="N136" s="630" t="s">
        <v>340</v>
      </c>
      <c r="O136" s="630" t="s">
        <v>341</v>
      </c>
    </row>
    <row r="137" spans="1:15" x14ac:dyDescent="0.25">
      <c r="A137" s="630" t="s">
        <v>336</v>
      </c>
      <c r="B137" s="629">
        <v>1.1499999999999999</v>
      </c>
      <c r="C137" s="630"/>
      <c r="D137" s="630" t="s">
        <v>319</v>
      </c>
      <c r="E137" s="630" t="s">
        <v>319</v>
      </c>
      <c r="F137" s="630" t="s">
        <v>319</v>
      </c>
      <c r="G137" s="630" t="s">
        <v>324</v>
      </c>
      <c r="H137" s="601" t="s">
        <v>325</v>
      </c>
      <c r="I137" s="601" t="s">
        <v>371</v>
      </c>
      <c r="J137" s="630" t="s">
        <v>338</v>
      </c>
      <c r="K137" s="630" t="s">
        <v>339</v>
      </c>
      <c r="L137" s="630" t="b">
        <v>0</v>
      </c>
      <c r="M137" s="630" t="s">
        <v>321</v>
      </c>
      <c r="N137" s="630" t="s">
        <v>340</v>
      </c>
      <c r="O137" s="630" t="s">
        <v>341</v>
      </c>
    </row>
    <row r="138" spans="1:15" x14ac:dyDescent="0.25">
      <c r="A138" s="630" t="s">
        <v>336</v>
      </c>
      <c r="B138" s="629">
        <v>1.1499999999999999</v>
      </c>
      <c r="C138" s="630"/>
      <c r="D138" s="630" t="s">
        <v>319</v>
      </c>
      <c r="E138" s="630" t="s">
        <v>319</v>
      </c>
      <c r="F138" s="630" t="s">
        <v>319</v>
      </c>
      <c r="G138" s="630" t="s">
        <v>324</v>
      </c>
      <c r="H138" s="601" t="s">
        <v>325</v>
      </c>
      <c r="I138" s="601" t="s">
        <v>372</v>
      </c>
      <c r="J138" s="630" t="s">
        <v>338</v>
      </c>
      <c r="K138" s="630" t="s">
        <v>339</v>
      </c>
      <c r="L138" s="630" t="b">
        <v>0</v>
      </c>
      <c r="M138" s="630" t="s">
        <v>321</v>
      </c>
      <c r="N138" s="630" t="s">
        <v>340</v>
      </c>
      <c r="O138" s="630" t="s">
        <v>341</v>
      </c>
    </row>
    <row r="139" spans="1:15" x14ac:dyDescent="0.25">
      <c r="A139" s="630" t="s">
        <v>336</v>
      </c>
      <c r="B139" s="629">
        <v>1.1499999999999999</v>
      </c>
      <c r="C139" s="630"/>
      <c r="D139" s="630" t="s">
        <v>319</v>
      </c>
      <c r="E139" s="630" t="s">
        <v>319</v>
      </c>
      <c r="F139" s="630" t="s">
        <v>319</v>
      </c>
      <c r="G139" s="630" t="s">
        <v>324</v>
      </c>
      <c r="H139" s="601" t="s">
        <v>325</v>
      </c>
      <c r="I139" s="601" t="s">
        <v>373</v>
      </c>
      <c r="J139" s="630" t="s">
        <v>338</v>
      </c>
      <c r="K139" s="630" t="s">
        <v>339</v>
      </c>
      <c r="L139" s="630" t="b">
        <v>0</v>
      </c>
      <c r="M139" s="630" t="s">
        <v>321</v>
      </c>
      <c r="N139" s="630" t="s">
        <v>340</v>
      </c>
      <c r="O139" s="630" t="s">
        <v>341</v>
      </c>
    </row>
    <row r="140" spans="1:15" x14ac:dyDescent="0.25">
      <c r="A140" s="630" t="s">
        <v>336</v>
      </c>
      <c r="B140" s="629">
        <v>1.1499999999999999</v>
      </c>
      <c r="C140" s="630"/>
      <c r="D140" s="630" t="s">
        <v>319</v>
      </c>
      <c r="E140" s="630" t="s">
        <v>319</v>
      </c>
      <c r="F140" s="630" t="s">
        <v>319</v>
      </c>
      <c r="G140" s="630" t="s">
        <v>324</v>
      </c>
      <c r="H140" s="601" t="s">
        <v>325</v>
      </c>
      <c r="I140" s="601" t="s">
        <v>374</v>
      </c>
      <c r="J140" s="630" t="s">
        <v>338</v>
      </c>
      <c r="K140" s="630" t="s">
        <v>339</v>
      </c>
      <c r="L140" s="630" t="b">
        <v>0</v>
      </c>
      <c r="M140" s="630" t="s">
        <v>321</v>
      </c>
      <c r="N140" s="630" t="s">
        <v>340</v>
      </c>
      <c r="O140" s="630" t="s">
        <v>341</v>
      </c>
    </row>
    <row r="141" spans="1:15" x14ac:dyDescent="0.25">
      <c r="A141" s="630" t="s">
        <v>336</v>
      </c>
      <c r="B141" s="629">
        <v>1.1499999999999999</v>
      </c>
      <c r="C141" s="630"/>
      <c r="D141" s="630" t="s">
        <v>319</v>
      </c>
      <c r="E141" s="630" t="s">
        <v>319</v>
      </c>
      <c r="F141" s="630" t="s">
        <v>319</v>
      </c>
      <c r="G141" s="630" t="s">
        <v>324</v>
      </c>
      <c r="H141" s="601" t="s">
        <v>325</v>
      </c>
      <c r="I141" s="601" t="s">
        <v>375</v>
      </c>
      <c r="J141" s="630" t="s">
        <v>338</v>
      </c>
      <c r="K141" s="630" t="s">
        <v>339</v>
      </c>
      <c r="L141" s="630" t="b">
        <v>0</v>
      </c>
      <c r="M141" s="630" t="s">
        <v>321</v>
      </c>
      <c r="N141" s="630" t="s">
        <v>340</v>
      </c>
      <c r="O141" s="630" t="s">
        <v>341</v>
      </c>
    </row>
    <row r="142" spans="1:15" x14ac:dyDescent="0.25">
      <c r="A142" s="630" t="s">
        <v>336</v>
      </c>
      <c r="B142" s="629">
        <v>2</v>
      </c>
      <c r="C142" s="630"/>
      <c r="D142" s="630" t="s">
        <v>319</v>
      </c>
      <c r="E142" s="630" t="s">
        <v>319</v>
      </c>
      <c r="F142" s="630" t="s">
        <v>319</v>
      </c>
      <c r="G142" s="630" t="s">
        <v>324</v>
      </c>
      <c r="H142" s="601" t="s">
        <v>325</v>
      </c>
      <c r="I142" s="601" t="s">
        <v>376</v>
      </c>
      <c r="J142" s="630" t="s">
        <v>338</v>
      </c>
      <c r="K142" s="630" t="s">
        <v>339</v>
      </c>
      <c r="L142" s="630" t="b">
        <v>0</v>
      </c>
      <c r="M142" s="630" t="s">
        <v>321</v>
      </c>
      <c r="N142" s="630" t="s">
        <v>340</v>
      </c>
      <c r="O142" s="630" t="s">
        <v>341</v>
      </c>
    </row>
    <row r="143" spans="1:15" x14ac:dyDescent="0.25">
      <c r="A143" s="630" t="s">
        <v>336</v>
      </c>
      <c r="B143" s="629">
        <v>2</v>
      </c>
      <c r="C143" s="630"/>
      <c r="D143" s="630" t="s">
        <v>319</v>
      </c>
      <c r="E143" s="630" t="s">
        <v>319</v>
      </c>
      <c r="F143" s="630" t="s">
        <v>319</v>
      </c>
      <c r="G143" s="630" t="s">
        <v>324</v>
      </c>
      <c r="H143" s="601" t="s">
        <v>325</v>
      </c>
      <c r="I143" s="601" t="s">
        <v>377</v>
      </c>
      <c r="J143" s="630" t="s">
        <v>338</v>
      </c>
      <c r="K143" s="630" t="s">
        <v>339</v>
      </c>
      <c r="L143" s="630" t="b">
        <v>0</v>
      </c>
      <c r="M143" s="630" t="s">
        <v>321</v>
      </c>
      <c r="N143" s="630" t="s">
        <v>340</v>
      </c>
      <c r="O143" s="630" t="s">
        <v>341</v>
      </c>
    </row>
    <row r="144" spans="1:15" x14ac:dyDescent="0.25">
      <c r="A144" s="630" t="s">
        <v>336</v>
      </c>
      <c r="B144" s="629">
        <v>2</v>
      </c>
      <c r="C144" s="630"/>
      <c r="D144" s="630" t="s">
        <v>319</v>
      </c>
      <c r="E144" s="630" t="s">
        <v>319</v>
      </c>
      <c r="F144" s="630" t="s">
        <v>319</v>
      </c>
      <c r="G144" s="630" t="s">
        <v>324</v>
      </c>
      <c r="H144" s="601" t="s">
        <v>325</v>
      </c>
      <c r="I144" s="601" t="s">
        <v>378</v>
      </c>
      <c r="J144" s="630" t="s">
        <v>338</v>
      </c>
      <c r="K144" s="630" t="s">
        <v>339</v>
      </c>
      <c r="L144" s="630" t="b">
        <v>0</v>
      </c>
      <c r="M144" s="630" t="s">
        <v>321</v>
      </c>
      <c r="N144" s="630" t="s">
        <v>340</v>
      </c>
      <c r="O144" s="630" t="s">
        <v>341</v>
      </c>
    </row>
    <row r="145" spans="1:15" x14ac:dyDescent="0.25">
      <c r="A145" s="630" t="s">
        <v>336</v>
      </c>
      <c r="B145" s="629">
        <v>2</v>
      </c>
      <c r="C145" s="630"/>
      <c r="D145" s="630" t="s">
        <v>319</v>
      </c>
      <c r="E145" s="630" t="s">
        <v>319</v>
      </c>
      <c r="F145" s="630" t="s">
        <v>319</v>
      </c>
      <c r="G145" s="630" t="s">
        <v>324</v>
      </c>
      <c r="H145" s="601" t="s">
        <v>325</v>
      </c>
      <c r="I145" s="601" t="s">
        <v>379</v>
      </c>
      <c r="J145" s="630" t="s">
        <v>338</v>
      </c>
      <c r="K145" s="630" t="s">
        <v>339</v>
      </c>
      <c r="L145" s="630" t="b">
        <v>0</v>
      </c>
      <c r="M145" s="630" t="s">
        <v>321</v>
      </c>
      <c r="N145" s="630" t="s">
        <v>340</v>
      </c>
      <c r="O145" s="630" t="s">
        <v>341</v>
      </c>
    </row>
    <row r="146" spans="1:15" x14ac:dyDescent="0.25">
      <c r="A146" s="630" t="s">
        <v>336</v>
      </c>
      <c r="B146" s="629">
        <v>2</v>
      </c>
      <c r="C146" s="630"/>
      <c r="D146" s="630" t="s">
        <v>319</v>
      </c>
      <c r="E146" s="630" t="s">
        <v>319</v>
      </c>
      <c r="F146" s="630" t="s">
        <v>319</v>
      </c>
      <c r="G146" s="630" t="s">
        <v>324</v>
      </c>
      <c r="H146" s="601" t="s">
        <v>325</v>
      </c>
      <c r="I146" s="601" t="s">
        <v>380</v>
      </c>
      <c r="J146" s="630" t="s">
        <v>338</v>
      </c>
      <c r="K146" s="630" t="s">
        <v>339</v>
      </c>
      <c r="L146" s="630" t="b">
        <v>0</v>
      </c>
      <c r="M146" s="630" t="s">
        <v>321</v>
      </c>
      <c r="N146" s="630" t="s">
        <v>340</v>
      </c>
      <c r="O146" s="630" t="s">
        <v>341</v>
      </c>
    </row>
    <row r="147" spans="1:15" x14ac:dyDescent="0.25">
      <c r="A147" s="630" t="s">
        <v>336</v>
      </c>
      <c r="B147" s="629">
        <v>2</v>
      </c>
      <c r="C147" s="630"/>
      <c r="D147" s="630" t="s">
        <v>319</v>
      </c>
      <c r="E147" s="630" t="s">
        <v>319</v>
      </c>
      <c r="F147" s="630" t="s">
        <v>319</v>
      </c>
      <c r="G147" s="630" t="s">
        <v>324</v>
      </c>
      <c r="H147" s="601" t="s">
        <v>325</v>
      </c>
      <c r="I147" s="601" t="s">
        <v>381</v>
      </c>
      <c r="J147" s="630" t="s">
        <v>338</v>
      </c>
      <c r="K147" s="630" t="s">
        <v>339</v>
      </c>
      <c r="L147" s="630" t="b">
        <v>0</v>
      </c>
      <c r="M147" s="630" t="s">
        <v>321</v>
      </c>
      <c r="N147" s="630" t="s">
        <v>340</v>
      </c>
      <c r="O147" s="630" t="s">
        <v>341</v>
      </c>
    </row>
    <row r="148" spans="1:15" x14ac:dyDescent="0.25">
      <c r="A148" s="630" t="s">
        <v>336</v>
      </c>
      <c r="B148" s="629">
        <v>2</v>
      </c>
      <c r="C148" s="630"/>
      <c r="D148" s="630" t="s">
        <v>319</v>
      </c>
      <c r="E148" s="630" t="s">
        <v>319</v>
      </c>
      <c r="F148" s="630" t="s">
        <v>319</v>
      </c>
      <c r="G148" s="630" t="s">
        <v>324</v>
      </c>
      <c r="H148" s="601" t="s">
        <v>325</v>
      </c>
      <c r="I148" s="601" t="s">
        <v>382</v>
      </c>
      <c r="J148" s="630" t="s">
        <v>338</v>
      </c>
      <c r="K148" s="630" t="s">
        <v>339</v>
      </c>
      <c r="L148" s="630" t="b">
        <v>0</v>
      </c>
      <c r="M148" s="630" t="s">
        <v>321</v>
      </c>
      <c r="N148" s="630" t="s">
        <v>340</v>
      </c>
      <c r="O148" s="630" t="s">
        <v>341</v>
      </c>
    </row>
    <row r="149" spans="1:15" x14ac:dyDescent="0.25">
      <c r="A149" s="630" t="s">
        <v>336</v>
      </c>
      <c r="B149" s="629">
        <v>2</v>
      </c>
      <c r="C149" s="630"/>
      <c r="D149" s="630" t="s">
        <v>319</v>
      </c>
      <c r="E149" s="630" t="s">
        <v>319</v>
      </c>
      <c r="F149" s="630" t="s">
        <v>319</v>
      </c>
      <c r="G149" s="630" t="s">
        <v>324</v>
      </c>
      <c r="H149" s="601" t="s">
        <v>325</v>
      </c>
      <c r="I149" s="601" t="s">
        <v>383</v>
      </c>
      <c r="J149" s="630" t="s">
        <v>338</v>
      </c>
      <c r="K149" s="630" t="s">
        <v>339</v>
      </c>
      <c r="L149" s="630" t="b">
        <v>0</v>
      </c>
      <c r="M149" s="630" t="s">
        <v>321</v>
      </c>
      <c r="N149" s="630" t="s">
        <v>340</v>
      </c>
      <c r="O149" s="630" t="s">
        <v>341</v>
      </c>
    </row>
    <row r="150" spans="1:15" x14ac:dyDescent="0.25">
      <c r="A150" s="630" t="s">
        <v>336</v>
      </c>
      <c r="B150" s="629">
        <v>2</v>
      </c>
      <c r="C150" s="630"/>
      <c r="D150" s="630" t="s">
        <v>319</v>
      </c>
      <c r="E150" s="630" t="s">
        <v>319</v>
      </c>
      <c r="F150" s="630" t="s">
        <v>319</v>
      </c>
      <c r="G150" s="630" t="s">
        <v>324</v>
      </c>
      <c r="H150" s="601" t="s">
        <v>325</v>
      </c>
      <c r="I150" s="601" t="s">
        <v>384</v>
      </c>
      <c r="J150" s="630" t="s">
        <v>338</v>
      </c>
      <c r="K150" s="630" t="s">
        <v>339</v>
      </c>
      <c r="L150" s="630" t="b">
        <v>0</v>
      </c>
      <c r="M150" s="630" t="s">
        <v>321</v>
      </c>
      <c r="N150" s="630" t="s">
        <v>340</v>
      </c>
      <c r="O150" s="630" t="s">
        <v>341</v>
      </c>
    </row>
    <row r="151" spans="1:15" x14ac:dyDescent="0.25">
      <c r="A151" s="630" t="s">
        <v>336</v>
      </c>
      <c r="B151" s="629">
        <v>2</v>
      </c>
      <c r="C151" s="630"/>
      <c r="D151" s="630" t="s">
        <v>319</v>
      </c>
      <c r="E151" s="630" t="s">
        <v>319</v>
      </c>
      <c r="F151" s="630" t="s">
        <v>319</v>
      </c>
      <c r="G151" s="630" t="s">
        <v>324</v>
      </c>
      <c r="H151" s="601" t="s">
        <v>325</v>
      </c>
      <c r="I151" s="601" t="s">
        <v>385</v>
      </c>
      <c r="J151" s="630" t="s">
        <v>338</v>
      </c>
      <c r="K151" s="630" t="s">
        <v>339</v>
      </c>
      <c r="L151" s="630" t="b">
        <v>0</v>
      </c>
      <c r="M151" s="630" t="s">
        <v>321</v>
      </c>
      <c r="N151" s="630" t="s">
        <v>340</v>
      </c>
      <c r="O151" s="630" t="s">
        <v>341</v>
      </c>
    </row>
    <row r="152" spans="1:15" x14ac:dyDescent="0.25">
      <c r="A152" s="630" t="s">
        <v>336</v>
      </c>
      <c r="B152" s="629">
        <v>2.5</v>
      </c>
      <c r="C152" s="630"/>
      <c r="D152" s="630" t="s">
        <v>319</v>
      </c>
      <c r="E152" s="630" t="s">
        <v>319</v>
      </c>
      <c r="F152" s="630" t="s">
        <v>319</v>
      </c>
      <c r="G152" s="630" t="s">
        <v>324</v>
      </c>
      <c r="H152" s="601" t="s">
        <v>325</v>
      </c>
      <c r="I152" s="601" t="s">
        <v>386</v>
      </c>
      <c r="J152" s="630" t="s">
        <v>338</v>
      </c>
      <c r="K152" s="630" t="s">
        <v>339</v>
      </c>
      <c r="L152" s="630" t="b">
        <v>0</v>
      </c>
      <c r="M152" s="630" t="s">
        <v>321</v>
      </c>
      <c r="N152" s="630" t="s">
        <v>340</v>
      </c>
      <c r="O152" s="630" t="s">
        <v>341</v>
      </c>
    </row>
    <row r="153" spans="1:15" x14ac:dyDescent="0.25">
      <c r="A153" s="630" t="s">
        <v>336</v>
      </c>
      <c r="B153" s="629">
        <v>2.5</v>
      </c>
      <c r="C153" s="630"/>
      <c r="D153" s="630" t="s">
        <v>319</v>
      </c>
      <c r="E153" s="630" t="s">
        <v>319</v>
      </c>
      <c r="F153" s="630" t="s">
        <v>319</v>
      </c>
      <c r="G153" s="630" t="s">
        <v>324</v>
      </c>
      <c r="H153" s="601" t="s">
        <v>325</v>
      </c>
      <c r="I153" s="601" t="s">
        <v>387</v>
      </c>
      <c r="J153" s="630" t="s">
        <v>338</v>
      </c>
      <c r="K153" s="630" t="s">
        <v>339</v>
      </c>
      <c r="L153" s="630" t="b">
        <v>0</v>
      </c>
      <c r="M153" s="630" t="s">
        <v>321</v>
      </c>
      <c r="N153" s="630" t="s">
        <v>340</v>
      </c>
      <c r="O153" s="630" t="s">
        <v>341</v>
      </c>
    </row>
    <row r="154" spans="1:15" x14ac:dyDescent="0.25">
      <c r="A154" s="630" t="s">
        <v>336</v>
      </c>
      <c r="B154" s="629">
        <v>2.5</v>
      </c>
      <c r="C154" s="630"/>
      <c r="D154" s="630" t="s">
        <v>319</v>
      </c>
      <c r="E154" s="630" t="s">
        <v>319</v>
      </c>
      <c r="F154" s="630" t="s">
        <v>319</v>
      </c>
      <c r="G154" s="630" t="s">
        <v>324</v>
      </c>
      <c r="H154" s="601" t="s">
        <v>325</v>
      </c>
      <c r="I154" s="601" t="s">
        <v>388</v>
      </c>
      <c r="J154" s="630" t="s">
        <v>338</v>
      </c>
      <c r="K154" s="630" t="s">
        <v>339</v>
      </c>
      <c r="L154" s="630" t="b">
        <v>0</v>
      </c>
      <c r="M154" s="630" t="s">
        <v>321</v>
      </c>
      <c r="N154" s="630" t="s">
        <v>340</v>
      </c>
      <c r="O154" s="630" t="s">
        <v>341</v>
      </c>
    </row>
    <row r="155" spans="1:15" x14ac:dyDescent="0.25">
      <c r="A155" s="630" t="s">
        <v>336</v>
      </c>
      <c r="B155" s="629">
        <v>2.5</v>
      </c>
      <c r="C155" s="630"/>
      <c r="D155" s="630" t="s">
        <v>319</v>
      </c>
      <c r="E155" s="630" t="s">
        <v>319</v>
      </c>
      <c r="F155" s="630" t="s">
        <v>319</v>
      </c>
      <c r="G155" s="630" t="s">
        <v>324</v>
      </c>
      <c r="H155" s="601" t="s">
        <v>325</v>
      </c>
      <c r="I155" s="601" t="s">
        <v>389</v>
      </c>
      <c r="J155" s="630" t="s">
        <v>338</v>
      </c>
      <c r="K155" s="630" t="s">
        <v>339</v>
      </c>
      <c r="L155" s="630" t="b">
        <v>0</v>
      </c>
      <c r="M155" s="630" t="s">
        <v>321</v>
      </c>
      <c r="N155" s="630" t="s">
        <v>340</v>
      </c>
      <c r="O155" s="630" t="s">
        <v>341</v>
      </c>
    </row>
    <row r="156" spans="1:15" x14ac:dyDescent="0.25">
      <c r="A156" s="630" t="s">
        <v>336</v>
      </c>
      <c r="B156" s="629">
        <v>2.5</v>
      </c>
      <c r="C156" s="630"/>
      <c r="D156" s="630" t="s">
        <v>319</v>
      </c>
      <c r="E156" s="630" t="s">
        <v>319</v>
      </c>
      <c r="F156" s="630" t="s">
        <v>319</v>
      </c>
      <c r="G156" s="630" t="s">
        <v>324</v>
      </c>
      <c r="H156" s="601" t="s">
        <v>325</v>
      </c>
      <c r="I156" s="601" t="s">
        <v>390</v>
      </c>
      <c r="J156" s="630" t="s">
        <v>338</v>
      </c>
      <c r="K156" s="630" t="s">
        <v>339</v>
      </c>
      <c r="L156" s="630" t="b">
        <v>0</v>
      </c>
      <c r="M156" s="630" t="s">
        <v>321</v>
      </c>
      <c r="N156" s="630" t="s">
        <v>340</v>
      </c>
      <c r="O156" s="630" t="s">
        <v>341</v>
      </c>
    </row>
    <row r="157" spans="1:15" x14ac:dyDescent="0.25">
      <c r="A157" s="630" t="s">
        <v>336</v>
      </c>
      <c r="B157" s="629">
        <v>2.5</v>
      </c>
      <c r="C157" s="630"/>
      <c r="D157" s="630" t="s">
        <v>319</v>
      </c>
      <c r="E157" s="630" t="s">
        <v>319</v>
      </c>
      <c r="F157" s="630" t="s">
        <v>319</v>
      </c>
      <c r="G157" s="630" t="s">
        <v>324</v>
      </c>
      <c r="H157" s="601" t="s">
        <v>325</v>
      </c>
      <c r="I157" s="601" t="s">
        <v>391</v>
      </c>
      <c r="J157" s="630" t="s">
        <v>338</v>
      </c>
      <c r="K157" s="630" t="s">
        <v>339</v>
      </c>
      <c r="L157" s="630" t="b">
        <v>0</v>
      </c>
      <c r="M157" s="630" t="s">
        <v>321</v>
      </c>
      <c r="N157" s="630" t="s">
        <v>340</v>
      </c>
      <c r="O157" s="630" t="s">
        <v>341</v>
      </c>
    </row>
    <row r="158" spans="1:15" x14ac:dyDescent="0.25">
      <c r="A158" s="630" t="s">
        <v>336</v>
      </c>
      <c r="B158" s="629">
        <v>2.5</v>
      </c>
      <c r="C158" s="630"/>
      <c r="D158" s="630" t="s">
        <v>319</v>
      </c>
      <c r="E158" s="630" t="s">
        <v>319</v>
      </c>
      <c r="F158" s="630" t="s">
        <v>319</v>
      </c>
      <c r="G158" s="630" t="s">
        <v>324</v>
      </c>
      <c r="H158" s="601" t="s">
        <v>325</v>
      </c>
      <c r="I158" s="601" t="s">
        <v>392</v>
      </c>
      <c r="J158" s="630" t="s">
        <v>338</v>
      </c>
      <c r="K158" s="630" t="s">
        <v>339</v>
      </c>
      <c r="L158" s="630" t="b">
        <v>0</v>
      </c>
      <c r="M158" s="630" t="s">
        <v>321</v>
      </c>
      <c r="N158" s="630" t="s">
        <v>340</v>
      </c>
      <c r="O158" s="630" t="s">
        <v>341</v>
      </c>
    </row>
    <row r="159" spans="1:15" x14ac:dyDescent="0.25">
      <c r="A159" s="630" t="s">
        <v>336</v>
      </c>
      <c r="B159" s="629">
        <v>2.5</v>
      </c>
      <c r="C159" s="630"/>
      <c r="D159" s="630" t="s">
        <v>319</v>
      </c>
      <c r="E159" s="630" t="s">
        <v>319</v>
      </c>
      <c r="F159" s="630" t="s">
        <v>319</v>
      </c>
      <c r="G159" s="630" t="s">
        <v>324</v>
      </c>
      <c r="H159" s="601" t="s">
        <v>325</v>
      </c>
      <c r="I159" s="601" t="s">
        <v>393</v>
      </c>
      <c r="J159" s="630" t="s">
        <v>338</v>
      </c>
      <c r="K159" s="630" t="s">
        <v>339</v>
      </c>
      <c r="L159" s="630" t="b">
        <v>0</v>
      </c>
      <c r="M159" s="630" t="s">
        <v>321</v>
      </c>
      <c r="N159" s="630" t="s">
        <v>340</v>
      </c>
      <c r="O159" s="630" t="s">
        <v>341</v>
      </c>
    </row>
    <row r="160" spans="1:15" x14ac:dyDescent="0.25">
      <c r="A160" s="630" t="s">
        <v>336</v>
      </c>
      <c r="B160" s="629">
        <v>2.5</v>
      </c>
      <c r="C160" s="630"/>
      <c r="D160" s="630" t="s">
        <v>319</v>
      </c>
      <c r="E160" s="630" t="s">
        <v>319</v>
      </c>
      <c r="F160" s="630" t="s">
        <v>319</v>
      </c>
      <c r="G160" s="630" t="s">
        <v>324</v>
      </c>
      <c r="H160" s="601" t="s">
        <v>325</v>
      </c>
      <c r="I160" s="601" t="s">
        <v>394</v>
      </c>
      <c r="J160" s="630" t="s">
        <v>338</v>
      </c>
      <c r="K160" s="630" t="s">
        <v>339</v>
      </c>
      <c r="L160" s="630" t="b">
        <v>0</v>
      </c>
      <c r="M160" s="630" t="s">
        <v>321</v>
      </c>
      <c r="N160" s="630" t="s">
        <v>340</v>
      </c>
      <c r="O160" s="630" t="s">
        <v>341</v>
      </c>
    </row>
    <row r="161" spans="1:15" x14ac:dyDescent="0.25">
      <c r="A161" s="630" t="s">
        <v>336</v>
      </c>
      <c r="B161" s="629">
        <v>2.5</v>
      </c>
      <c r="C161" s="630"/>
      <c r="D161" s="630" t="s">
        <v>319</v>
      </c>
      <c r="E161" s="630" t="s">
        <v>319</v>
      </c>
      <c r="F161" s="630" t="s">
        <v>319</v>
      </c>
      <c r="G161" s="630" t="s">
        <v>324</v>
      </c>
      <c r="H161" s="601" t="s">
        <v>325</v>
      </c>
      <c r="I161" s="601" t="s">
        <v>395</v>
      </c>
      <c r="J161" s="630" t="s">
        <v>338</v>
      </c>
      <c r="K161" s="630" t="s">
        <v>339</v>
      </c>
      <c r="L161" s="630" t="b">
        <v>0</v>
      </c>
      <c r="M161" s="630" t="s">
        <v>321</v>
      </c>
      <c r="N161" s="630" t="s">
        <v>340</v>
      </c>
      <c r="O161" s="630" t="s">
        <v>341</v>
      </c>
    </row>
    <row r="162" spans="1:15" x14ac:dyDescent="0.25">
      <c r="A162" s="630" t="s">
        <v>336</v>
      </c>
      <c r="B162" s="629">
        <v>2.5</v>
      </c>
      <c r="C162" s="630"/>
      <c r="D162" s="630" t="s">
        <v>319</v>
      </c>
      <c r="E162" s="630" t="s">
        <v>319</v>
      </c>
      <c r="F162" s="630" t="s">
        <v>319</v>
      </c>
      <c r="G162" s="630" t="s">
        <v>324</v>
      </c>
      <c r="H162" s="601" t="s">
        <v>325</v>
      </c>
      <c r="I162" s="601" t="s">
        <v>396</v>
      </c>
      <c r="J162" s="630" t="s">
        <v>338</v>
      </c>
      <c r="K162" s="630" t="s">
        <v>339</v>
      </c>
      <c r="L162" s="630" t="b">
        <v>0</v>
      </c>
      <c r="M162" s="630" t="s">
        <v>321</v>
      </c>
      <c r="N162" s="630" t="s">
        <v>340</v>
      </c>
      <c r="O162" s="630" t="s">
        <v>341</v>
      </c>
    </row>
    <row r="163" spans="1:15" x14ac:dyDescent="0.25">
      <c r="A163" s="630" t="s">
        <v>336</v>
      </c>
      <c r="B163" s="629">
        <v>2.5</v>
      </c>
      <c r="C163" s="630"/>
      <c r="D163" s="630" t="s">
        <v>319</v>
      </c>
      <c r="E163" s="630" t="s">
        <v>319</v>
      </c>
      <c r="F163" s="630" t="s">
        <v>319</v>
      </c>
      <c r="G163" s="630" t="s">
        <v>324</v>
      </c>
      <c r="H163" s="601" t="s">
        <v>325</v>
      </c>
      <c r="I163" s="601" t="s">
        <v>397</v>
      </c>
      <c r="J163" s="630" t="s">
        <v>338</v>
      </c>
      <c r="K163" s="630" t="s">
        <v>339</v>
      </c>
      <c r="L163" s="630" t="b">
        <v>0</v>
      </c>
      <c r="M163" s="630" t="s">
        <v>321</v>
      </c>
      <c r="N163" s="630" t="s">
        <v>340</v>
      </c>
      <c r="O163" s="630" t="s">
        <v>341</v>
      </c>
    </row>
    <row r="164" spans="1:15" x14ac:dyDescent="0.25">
      <c r="A164" s="630" t="s">
        <v>336</v>
      </c>
      <c r="B164" s="629">
        <v>2.5</v>
      </c>
      <c r="C164" s="630"/>
      <c r="D164" s="630" t="s">
        <v>319</v>
      </c>
      <c r="E164" s="630" t="s">
        <v>319</v>
      </c>
      <c r="F164" s="630" t="s">
        <v>319</v>
      </c>
      <c r="G164" s="630" t="s">
        <v>324</v>
      </c>
      <c r="H164" s="601" t="s">
        <v>325</v>
      </c>
      <c r="I164" s="601" t="s">
        <v>398</v>
      </c>
      <c r="J164" s="630" t="s">
        <v>338</v>
      </c>
      <c r="K164" s="630" t="s">
        <v>339</v>
      </c>
      <c r="L164" s="630" t="b">
        <v>0</v>
      </c>
      <c r="M164" s="630" t="s">
        <v>321</v>
      </c>
      <c r="N164" s="630" t="s">
        <v>340</v>
      </c>
      <c r="O164" s="630" t="s">
        <v>341</v>
      </c>
    </row>
    <row r="165" spans="1:15" x14ac:dyDescent="0.25">
      <c r="A165" s="630" t="s">
        <v>336</v>
      </c>
      <c r="B165" s="629">
        <v>2.5</v>
      </c>
      <c r="C165" s="630"/>
      <c r="D165" s="630" t="s">
        <v>319</v>
      </c>
      <c r="E165" s="630" t="s">
        <v>319</v>
      </c>
      <c r="F165" s="630" t="s">
        <v>319</v>
      </c>
      <c r="G165" s="630" t="s">
        <v>324</v>
      </c>
      <c r="H165" s="601" t="s">
        <v>325</v>
      </c>
      <c r="I165" s="601" t="s">
        <v>399</v>
      </c>
      <c r="J165" s="630" t="s">
        <v>338</v>
      </c>
      <c r="K165" s="630" t="s">
        <v>339</v>
      </c>
      <c r="L165" s="630" t="b">
        <v>0</v>
      </c>
      <c r="M165" s="630" t="s">
        <v>321</v>
      </c>
      <c r="N165" s="630" t="s">
        <v>340</v>
      </c>
      <c r="O165" s="630" t="s">
        <v>341</v>
      </c>
    </row>
    <row r="166" spans="1:15" x14ac:dyDescent="0.25">
      <c r="A166" s="630" t="s">
        <v>336</v>
      </c>
      <c r="B166" s="629">
        <v>2.5</v>
      </c>
      <c r="C166" s="630"/>
      <c r="D166" s="630" t="s">
        <v>319</v>
      </c>
      <c r="E166" s="630" t="s">
        <v>319</v>
      </c>
      <c r="F166" s="630" t="s">
        <v>319</v>
      </c>
      <c r="G166" s="630" t="s">
        <v>324</v>
      </c>
      <c r="H166" s="601" t="s">
        <v>325</v>
      </c>
      <c r="I166" s="601" t="s">
        <v>400</v>
      </c>
      <c r="J166" s="630" t="s">
        <v>338</v>
      </c>
      <c r="K166" s="630" t="s">
        <v>339</v>
      </c>
      <c r="L166" s="630" t="b">
        <v>0</v>
      </c>
      <c r="M166" s="630" t="s">
        <v>321</v>
      </c>
      <c r="N166" s="630" t="s">
        <v>340</v>
      </c>
      <c r="O166" s="630" t="s">
        <v>341</v>
      </c>
    </row>
    <row r="167" spans="1:15" x14ac:dyDescent="0.25">
      <c r="A167" s="630" t="s">
        <v>336</v>
      </c>
      <c r="B167" s="629">
        <v>2.5</v>
      </c>
      <c r="C167" s="630"/>
      <c r="D167" s="630" t="s">
        <v>319</v>
      </c>
      <c r="E167" s="630" t="s">
        <v>319</v>
      </c>
      <c r="F167" s="630" t="s">
        <v>319</v>
      </c>
      <c r="G167" s="630" t="s">
        <v>324</v>
      </c>
      <c r="H167" s="601" t="s">
        <v>325</v>
      </c>
      <c r="I167" s="601" t="s">
        <v>401</v>
      </c>
      <c r="J167" s="630" t="s">
        <v>338</v>
      </c>
      <c r="K167" s="630" t="s">
        <v>339</v>
      </c>
      <c r="L167" s="630" t="b">
        <v>0</v>
      </c>
      <c r="M167" s="630" t="s">
        <v>321</v>
      </c>
      <c r="N167" s="630" t="s">
        <v>340</v>
      </c>
      <c r="O167" s="630" t="s">
        <v>341</v>
      </c>
    </row>
    <row r="168" spans="1:15" x14ac:dyDescent="0.25">
      <c r="A168" s="630" t="s">
        <v>336</v>
      </c>
      <c r="B168" s="629">
        <v>2.5</v>
      </c>
      <c r="C168" s="630"/>
      <c r="D168" s="630" t="s">
        <v>319</v>
      </c>
      <c r="E168" s="630" t="s">
        <v>319</v>
      </c>
      <c r="F168" s="630" t="s">
        <v>319</v>
      </c>
      <c r="G168" s="630" t="s">
        <v>324</v>
      </c>
      <c r="H168" s="601" t="s">
        <v>325</v>
      </c>
      <c r="I168" s="601" t="s">
        <v>402</v>
      </c>
      <c r="J168" s="630" t="s">
        <v>338</v>
      </c>
      <c r="K168" s="630" t="s">
        <v>339</v>
      </c>
      <c r="L168" s="630" t="b">
        <v>0</v>
      </c>
      <c r="M168" s="630" t="s">
        <v>321</v>
      </c>
      <c r="N168" s="630" t="s">
        <v>340</v>
      </c>
      <c r="O168" s="630" t="s">
        <v>341</v>
      </c>
    </row>
    <row r="169" spans="1:15" x14ac:dyDescent="0.25">
      <c r="A169" s="630" t="s">
        <v>336</v>
      </c>
      <c r="B169" s="629">
        <v>2.5</v>
      </c>
      <c r="C169" s="630"/>
      <c r="D169" s="630" t="s">
        <v>319</v>
      </c>
      <c r="E169" s="630" t="s">
        <v>319</v>
      </c>
      <c r="F169" s="630" t="s">
        <v>319</v>
      </c>
      <c r="G169" s="630" t="s">
        <v>324</v>
      </c>
      <c r="H169" s="601" t="s">
        <v>325</v>
      </c>
      <c r="I169" s="601" t="s">
        <v>403</v>
      </c>
      <c r="J169" s="630" t="s">
        <v>338</v>
      </c>
      <c r="K169" s="630" t="s">
        <v>339</v>
      </c>
      <c r="L169" s="630" t="b">
        <v>0</v>
      </c>
      <c r="M169" s="630" t="s">
        <v>321</v>
      </c>
      <c r="N169" s="630" t="s">
        <v>340</v>
      </c>
      <c r="O169" s="630" t="s">
        <v>341</v>
      </c>
    </row>
    <row r="170" spans="1:15" x14ac:dyDescent="0.25">
      <c r="A170" s="630" t="s">
        <v>336</v>
      </c>
      <c r="B170" s="629">
        <v>2.5</v>
      </c>
      <c r="C170" s="630"/>
      <c r="D170" s="630" t="s">
        <v>319</v>
      </c>
      <c r="E170" s="630" t="s">
        <v>319</v>
      </c>
      <c r="F170" s="630" t="s">
        <v>319</v>
      </c>
      <c r="G170" s="630" t="s">
        <v>324</v>
      </c>
      <c r="H170" s="601" t="s">
        <v>325</v>
      </c>
      <c r="I170" s="601" t="s">
        <v>404</v>
      </c>
      <c r="J170" s="630" t="s">
        <v>338</v>
      </c>
      <c r="K170" s="630" t="s">
        <v>339</v>
      </c>
      <c r="L170" s="630" t="b">
        <v>0</v>
      </c>
      <c r="M170" s="630" t="s">
        <v>321</v>
      </c>
      <c r="N170" s="630" t="s">
        <v>340</v>
      </c>
      <c r="O170" s="630" t="s">
        <v>341</v>
      </c>
    </row>
    <row r="171" spans="1:15" x14ac:dyDescent="0.25">
      <c r="A171" s="630" t="s">
        <v>336</v>
      </c>
      <c r="B171" s="629">
        <v>2.5</v>
      </c>
      <c r="C171" s="630"/>
      <c r="D171" s="630" t="s">
        <v>319</v>
      </c>
      <c r="E171" s="630" t="s">
        <v>319</v>
      </c>
      <c r="F171" s="630" t="s">
        <v>319</v>
      </c>
      <c r="G171" s="630" t="s">
        <v>324</v>
      </c>
      <c r="H171" s="601" t="s">
        <v>325</v>
      </c>
      <c r="I171" s="601" t="s">
        <v>405</v>
      </c>
      <c r="J171" s="630" t="s">
        <v>338</v>
      </c>
      <c r="K171" s="630" t="s">
        <v>339</v>
      </c>
      <c r="L171" s="630" t="b">
        <v>0</v>
      </c>
      <c r="M171" s="630" t="s">
        <v>321</v>
      </c>
      <c r="N171" s="630" t="s">
        <v>340</v>
      </c>
      <c r="O171" s="630" t="s">
        <v>341</v>
      </c>
    </row>
    <row r="172" spans="1:15" x14ac:dyDescent="0.25">
      <c r="A172" s="630" t="s">
        <v>336</v>
      </c>
      <c r="B172" s="629">
        <v>2.5</v>
      </c>
      <c r="C172" s="630"/>
      <c r="D172" s="630" t="s">
        <v>319</v>
      </c>
      <c r="E172" s="630" t="s">
        <v>319</v>
      </c>
      <c r="F172" s="630" t="s">
        <v>319</v>
      </c>
      <c r="G172" s="630" t="s">
        <v>324</v>
      </c>
      <c r="H172" s="601" t="s">
        <v>325</v>
      </c>
      <c r="I172" s="601" t="s">
        <v>406</v>
      </c>
      <c r="J172" s="630" t="s">
        <v>338</v>
      </c>
      <c r="K172" s="630" t="s">
        <v>339</v>
      </c>
      <c r="L172" s="630" t="b">
        <v>0</v>
      </c>
      <c r="M172" s="630" t="s">
        <v>321</v>
      </c>
      <c r="N172" s="630" t="s">
        <v>340</v>
      </c>
      <c r="O172" s="630" t="s">
        <v>341</v>
      </c>
    </row>
    <row r="173" spans="1:15" x14ac:dyDescent="0.25">
      <c r="A173" s="630" t="s">
        <v>336</v>
      </c>
      <c r="B173" s="629">
        <v>2.5</v>
      </c>
      <c r="C173" s="630"/>
      <c r="D173" s="630" t="s">
        <v>319</v>
      </c>
      <c r="E173" s="630" t="s">
        <v>319</v>
      </c>
      <c r="F173" s="630" t="s">
        <v>319</v>
      </c>
      <c r="G173" s="630" t="s">
        <v>324</v>
      </c>
      <c r="H173" s="601" t="s">
        <v>325</v>
      </c>
      <c r="I173" s="601" t="s">
        <v>407</v>
      </c>
      <c r="J173" s="630" t="s">
        <v>338</v>
      </c>
      <c r="K173" s="630" t="s">
        <v>339</v>
      </c>
      <c r="L173" s="630" t="b">
        <v>0</v>
      </c>
      <c r="M173" s="630" t="s">
        <v>321</v>
      </c>
      <c r="N173" s="630" t="s">
        <v>340</v>
      </c>
      <c r="O173" s="630" t="s">
        <v>341</v>
      </c>
    </row>
    <row r="174" spans="1:15" x14ac:dyDescent="0.25">
      <c r="A174" s="630" t="s">
        <v>336</v>
      </c>
      <c r="B174" s="629">
        <v>2.5</v>
      </c>
      <c r="C174" s="630"/>
      <c r="D174" s="630" t="s">
        <v>319</v>
      </c>
      <c r="E174" s="630" t="s">
        <v>319</v>
      </c>
      <c r="F174" s="630" t="s">
        <v>319</v>
      </c>
      <c r="G174" s="630" t="s">
        <v>324</v>
      </c>
      <c r="H174" s="601" t="s">
        <v>325</v>
      </c>
      <c r="I174" s="601" t="s">
        <v>408</v>
      </c>
      <c r="J174" s="630" t="s">
        <v>338</v>
      </c>
      <c r="K174" s="630" t="s">
        <v>339</v>
      </c>
      <c r="L174" s="630" t="b">
        <v>0</v>
      </c>
      <c r="M174" s="630" t="s">
        <v>321</v>
      </c>
      <c r="N174" s="630" t="s">
        <v>340</v>
      </c>
      <c r="O174" s="630" t="s">
        <v>341</v>
      </c>
    </row>
    <row r="175" spans="1:15" x14ac:dyDescent="0.25">
      <c r="A175" s="630" t="s">
        <v>336</v>
      </c>
      <c r="B175" s="629">
        <v>2.5</v>
      </c>
      <c r="C175" s="630"/>
      <c r="D175" s="630" t="s">
        <v>319</v>
      </c>
      <c r="E175" s="630" t="s">
        <v>319</v>
      </c>
      <c r="F175" s="630" t="s">
        <v>319</v>
      </c>
      <c r="G175" s="630" t="s">
        <v>324</v>
      </c>
      <c r="H175" s="601" t="s">
        <v>325</v>
      </c>
      <c r="I175" s="601" t="s">
        <v>409</v>
      </c>
      <c r="J175" s="630" t="s">
        <v>338</v>
      </c>
      <c r="K175" s="630" t="s">
        <v>339</v>
      </c>
      <c r="L175" s="630" t="b">
        <v>0</v>
      </c>
      <c r="M175" s="630" t="s">
        <v>321</v>
      </c>
      <c r="N175" s="630" t="s">
        <v>340</v>
      </c>
      <c r="O175" s="630" t="s">
        <v>341</v>
      </c>
    </row>
    <row r="176" spans="1:15" x14ac:dyDescent="0.25">
      <c r="A176" s="630" t="s">
        <v>336</v>
      </c>
      <c r="B176" s="629">
        <v>2.5</v>
      </c>
      <c r="C176" s="630"/>
      <c r="D176" s="630" t="s">
        <v>319</v>
      </c>
      <c r="E176" s="630" t="s">
        <v>319</v>
      </c>
      <c r="F176" s="630" t="s">
        <v>319</v>
      </c>
      <c r="G176" s="630" t="s">
        <v>324</v>
      </c>
      <c r="H176" s="601" t="s">
        <v>325</v>
      </c>
      <c r="I176" s="601" t="s">
        <v>410</v>
      </c>
      <c r="J176" s="630" t="s">
        <v>338</v>
      </c>
      <c r="K176" s="630" t="s">
        <v>339</v>
      </c>
      <c r="L176" s="630" t="b">
        <v>0</v>
      </c>
      <c r="M176" s="630" t="s">
        <v>321</v>
      </c>
      <c r="N176" s="630" t="s">
        <v>340</v>
      </c>
      <c r="O176" s="630" t="s">
        <v>341</v>
      </c>
    </row>
    <row r="177" spans="1:15" x14ac:dyDescent="0.25">
      <c r="A177" s="630" t="s">
        <v>336</v>
      </c>
      <c r="B177" s="629">
        <v>2.5</v>
      </c>
      <c r="C177" s="630"/>
      <c r="D177" s="630" t="s">
        <v>319</v>
      </c>
      <c r="E177" s="630" t="s">
        <v>319</v>
      </c>
      <c r="F177" s="630" t="s">
        <v>319</v>
      </c>
      <c r="G177" s="630" t="s">
        <v>324</v>
      </c>
      <c r="H177" s="601" t="s">
        <v>325</v>
      </c>
      <c r="I177" s="601" t="s">
        <v>411</v>
      </c>
      <c r="J177" s="630" t="s">
        <v>338</v>
      </c>
      <c r="K177" s="630" t="s">
        <v>339</v>
      </c>
      <c r="L177" s="630" t="b">
        <v>0</v>
      </c>
      <c r="M177" s="630" t="s">
        <v>321</v>
      </c>
      <c r="N177" s="630" t="s">
        <v>340</v>
      </c>
      <c r="O177" s="630" t="s">
        <v>341</v>
      </c>
    </row>
    <row r="178" spans="1:15" x14ac:dyDescent="0.25">
      <c r="A178" s="630" t="s">
        <v>336</v>
      </c>
      <c r="B178" s="629">
        <v>2.5</v>
      </c>
      <c r="C178" s="630"/>
      <c r="D178" s="630" t="s">
        <v>319</v>
      </c>
      <c r="E178" s="630" t="s">
        <v>319</v>
      </c>
      <c r="F178" s="630" t="s">
        <v>319</v>
      </c>
      <c r="G178" s="630" t="s">
        <v>324</v>
      </c>
      <c r="H178" s="601" t="s">
        <v>325</v>
      </c>
      <c r="I178" s="601" t="s">
        <v>412</v>
      </c>
      <c r="J178" s="630" t="s">
        <v>338</v>
      </c>
      <c r="K178" s="630" t="s">
        <v>339</v>
      </c>
      <c r="L178" s="630" t="b">
        <v>0</v>
      </c>
      <c r="M178" s="630" t="s">
        <v>321</v>
      </c>
      <c r="N178" s="630" t="s">
        <v>340</v>
      </c>
      <c r="O178" s="630" t="s">
        <v>341</v>
      </c>
    </row>
    <row r="179" spans="1:15" x14ac:dyDescent="0.25">
      <c r="A179" s="630" t="s">
        <v>336</v>
      </c>
      <c r="B179" s="629">
        <v>2.5</v>
      </c>
      <c r="C179" s="630"/>
      <c r="D179" s="630" t="s">
        <v>319</v>
      </c>
      <c r="E179" s="630" t="s">
        <v>319</v>
      </c>
      <c r="F179" s="630" t="s">
        <v>319</v>
      </c>
      <c r="G179" s="630" t="s">
        <v>324</v>
      </c>
      <c r="H179" s="601" t="s">
        <v>325</v>
      </c>
      <c r="I179" s="601" t="s">
        <v>413</v>
      </c>
      <c r="J179" s="630" t="s">
        <v>338</v>
      </c>
      <c r="K179" s="630" t="s">
        <v>339</v>
      </c>
      <c r="L179" s="630" t="b">
        <v>0</v>
      </c>
      <c r="M179" s="630" t="s">
        <v>321</v>
      </c>
      <c r="N179" s="630" t="s">
        <v>340</v>
      </c>
      <c r="O179" s="630" t="s">
        <v>341</v>
      </c>
    </row>
    <row r="180" spans="1:15" x14ac:dyDescent="0.25">
      <c r="A180" s="630" t="s">
        <v>336</v>
      </c>
      <c r="B180" s="629">
        <v>2.5</v>
      </c>
      <c r="C180" s="630"/>
      <c r="D180" s="630" t="s">
        <v>319</v>
      </c>
      <c r="E180" s="630" t="s">
        <v>319</v>
      </c>
      <c r="F180" s="630" t="s">
        <v>319</v>
      </c>
      <c r="G180" s="630" t="s">
        <v>324</v>
      </c>
      <c r="H180" s="601" t="s">
        <v>325</v>
      </c>
      <c r="I180" s="601" t="s">
        <v>414</v>
      </c>
      <c r="J180" s="630" t="s">
        <v>338</v>
      </c>
      <c r="K180" s="630" t="s">
        <v>339</v>
      </c>
      <c r="L180" s="630" t="b">
        <v>0</v>
      </c>
      <c r="M180" s="630" t="s">
        <v>321</v>
      </c>
      <c r="N180" s="630" t="s">
        <v>340</v>
      </c>
      <c r="O180" s="630" t="s">
        <v>341</v>
      </c>
    </row>
    <row r="181" spans="1:15" x14ac:dyDescent="0.25">
      <c r="A181" s="630" t="s">
        <v>336</v>
      </c>
      <c r="B181" s="629">
        <v>2.5</v>
      </c>
      <c r="C181" s="630"/>
      <c r="D181" s="630" t="s">
        <v>319</v>
      </c>
      <c r="E181" s="630" t="s">
        <v>319</v>
      </c>
      <c r="F181" s="630" t="s">
        <v>319</v>
      </c>
      <c r="G181" s="630" t="s">
        <v>324</v>
      </c>
      <c r="H181" s="601" t="s">
        <v>325</v>
      </c>
      <c r="I181" s="601" t="s">
        <v>415</v>
      </c>
      <c r="J181" s="630" t="s">
        <v>338</v>
      </c>
      <c r="K181" s="630" t="s">
        <v>339</v>
      </c>
      <c r="L181" s="630" t="b">
        <v>0</v>
      </c>
      <c r="M181" s="630" t="s">
        <v>321</v>
      </c>
      <c r="N181" s="630" t="s">
        <v>340</v>
      </c>
      <c r="O181" s="630" t="s">
        <v>341</v>
      </c>
    </row>
    <row r="182" spans="1:15" x14ac:dyDescent="0.25">
      <c r="A182" s="630" t="s">
        <v>336</v>
      </c>
      <c r="B182" s="629">
        <v>2.5</v>
      </c>
      <c r="C182" s="630"/>
      <c r="D182" s="630" t="s">
        <v>319</v>
      </c>
      <c r="E182" s="630" t="s">
        <v>319</v>
      </c>
      <c r="F182" s="630" t="s">
        <v>319</v>
      </c>
      <c r="G182" s="630" t="s">
        <v>324</v>
      </c>
      <c r="H182" s="601" t="s">
        <v>325</v>
      </c>
      <c r="I182" s="601" t="s">
        <v>416</v>
      </c>
      <c r="J182" s="630" t="s">
        <v>338</v>
      </c>
      <c r="K182" s="630" t="s">
        <v>339</v>
      </c>
      <c r="L182" s="630" t="b">
        <v>0</v>
      </c>
      <c r="M182" s="630" t="s">
        <v>321</v>
      </c>
      <c r="N182" s="630" t="s">
        <v>340</v>
      </c>
      <c r="O182" s="630" t="s">
        <v>341</v>
      </c>
    </row>
    <row r="183" spans="1:15" x14ac:dyDescent="0.25">
      <c r="A183" s="630" t="s">
        <v>417</v>
      </c>
      <c r="B183" s="629">
        <v>1</v>
      </c>
      <c r="C183" s="630"/>
      <c r="D183" s="630" t="s">
        <v>319</v>
      </c>
      <c r="E183" s="630" t="s">
        <v>319</v>
      </c>
      <c r="F183" s="630" t="s">
        <v>319</v>
      </c>
      <c r="G183" s="630" t="s">
        <v>418</v>
      </c>
      <c r="H183" s="601" t="s">
        <v>325</v>
      </c>
      <c r="I183" s="601" t="s">
        <v>419</v>
      </c>
      <c r="J183" s="630"/>
      <c r="K183" s="630"/>
      <c r="L183" s="630"/>
      <c r="M183" s="630"/>
      <c r="N183" s="630"/>
      <c r="O183" s="630"/>
    </row>
    <row r="184" spans="1:15" x14ac:dyDescent="0.25">
      <c r="A184" s="630" t="s">
        <v>417</v>
      </c>
      <c r="B184" s="629">
        <v>0.89500000000000002</v>
      </c>
      <c r="C184" s="630"/>
      <c r="D184" s="630" t="s">
        <v>319</v>
      </c>
      <c r="E184" s="630" t="s">
        <v>319</v>
      </c>
      <c r="F184" s="630" t="s">
        <v>319</v>
      </c>
      <c r="G184" s="630" t="s">
        <v>418</v>
      </c>
      <c r="H184" s="601" t="s">
        <v>325</v>
      </c>
      <c r="I184" s="601" t="s">
        <v>420</v>
      </c>
      <c r="J184" s="630"/>
      <c r="K184" s="630"/>
      <c r="L184" s="630"/>
      <c r="M184" s="630"/>
      <c r="N184" s="630"/>
      <c r="O184" s="630"/>
    </row>
    <row r="185" spans="1:15" x14ac:dyDescent="0.25">
      <c r="A185" s="630" t="s">
        <v>417</v>
      </c>
      <c r="B185" s="629">
        <v>0.79</v>
      </c>
      <c r="C185" s="630"/>
      <c r="D185" s="630" t="s">
        <v>319</v>
      </c>
      <c r="E185" s="630" t="s">
        <v>319</v>
      </c>
      <c r="F185" s="630" t="s">
        <v>319</v>
      </c>
      <c r="G185" s="630" t="s">
        <v>418</v>
      </c>
      <c r="H185" s="601" t="s">
        <v>325</v>
      </c>
      <c r="I185" s="601" t="s">
        <v>421</v>
      </c>
      <c r="J185" s="630"/>
      <c r="K185" s="630"/>
      <c r="L185" s="630"/>
      <c r="M185" s="630"/>
      <c r="N185" s="630"/>
      <c r="O185" s="630"/>
    </row>
    <row r="186" spans="1:15" x14ac:dyDescent="0.25">
      <c r="A186" s="630" t="s">
        <v>417</v>
      </c>
      <c r="B186" s="629">
        <v>0.63</v>
      </c>
      <c r="C186" s="630"/>
      <c r="D186" s="630" t="s">
        <v>319</v>
      </c>
      <c r="E186" s="630" t="s">
        <v>319</v>
      </c>
      <c r="F186" s="630" t="s">
        <v>319</v>
      </c>
      <c r="G186" s="630" t="s">
        <v>418</v>
      </c>
      <c r="H186" s="601" t="s">
        <v>325</v>
      </c>
      <c r="I186" s="601" t="s">
        <v>422</v>
      </c>
      <c r="J186" s="630"/>
      <c r="K186" s="630"/>
      <c r="L186" s="630"/>
      <c r="M186" s="630"/>
      <c r="N186" s="630"/>
      <c r="O186" s="630"/>
    </row>
    <row r="187" spans="1:15" x14ac:dyDescent="0.25">
      <c r="A187" s="630" t="s">
        <v>417</v>
      </c>
      <c r="B187" s="629">
        <v>0.53849999999999998</v>
      </c>
      <c r="C187" s="630"/>
      <c r="D187" s="630" t="s">
        <v>319</v>
      </c>
      <c r="E187" s="630" t="s">
        <v>319</v>
      </c>
      <c r="F187" s="630" t="s">
        <v>319</v>
      </c>
      <c r="G187" s="630" t="s">
        <v>418</v>
      </c>
      <c r="H187" s="601" t="s">
        <v>325</v>
      </c>
      <c r="I187" s="601" t="s">
        <v>423</v>
      </c>
      <c r="J187" s="630"/>
      <c r="K187" s="630"/>
      <c r="L187" s="630"/>
      <c r="M187" s="630"/>
      <c r="N187" s="630"/>
      <c r="O187" s="630"/>
    </row>
    <row r="188" spans="1:15" x14ac:dyDescent="0.25">
      <c r="A188" s="630" t="s">
        <v>417</v>
      </c>
      <c r="B188" s="629">
        <v>0.47110000000000002</v>
      </c>
      <c r="C188" s="630"/>
      <c r="D188" s="630" t="s">
        <v>319</v>
      </c>
      <c r="E188" s="630" t="s">
        <v>319</v>
      </c>
      <c r="F188" s="630" t="s">
        <v>319</v>
      </c>
      <c r="G188" s="630" t="s">
        <v>418</v>
      </c>
      <c r="H188" s="601" t="s">
        <v>325</v>
      </c>
      <c r="I188" s="601" t="s">
        <v>424</v>
      </c>
      <c r="J188" s="630"/>
      <c r="K188" s="630"/>
      <c r="L188" s="630"/>
      <c r="M188" s="630"/>
      <c r="N188" s="630"/>
      <c r="O188" s="630"/>
    </row>
    <row r="189" spans="1:15" x14ac:dyDescent="0.25">
      <c r="A189" s="630" t="s">
        <v>417</v>
      </c>
      <c r="B189" s="629">
        <v>0.4239</v>
      </c>
      <c r="C189" s="630"/>
      <c r="D189" s="630" t="s">
        <v>319</v>
      </c>
      <c r="E189" s="630" t="s">
        <v>319</v>
      </c>
      <c r="F189" s="630" t="s">
        <v>319</v>
      </c>
      <c r="G189" s="630" t="s">
        <v>418</v>
      </c>
      <c r="H189" s="601" t="s">
        <v>325</v>
      </c>
      <c r="I189" s="601" t="s">
        <v>425</v>
      </c>
      <c r="J189" s="630"/>
      <c r="K189" s="630"/>
      <c r="L189" s="630"/>
      <c r="M189" s="630"/>
      <c r="N189" s="630"/>
      <c r="O189" s="630"/>
    </row>
    <row r="190" spans="1:15" x14ac:dyDescent="0.25">
      <c r="A190" s="630" t="s">
        <v>417</v>
      </c>
      <c r="B190" s="629">
        <v>0.38940000000000002</v>
      </c>
      <c r="C190" s="630"/>
      <c r="D190" s="630" t="s">
        <v>319</v>
      </c>
      <c r="E190" s="630" t="s">
        <v>319</v>
      </c>
      <c r="F190" s="630" t="s">
        <v>319</v>
      </c>
      <c r="G190" s="630" t="s">
        <v>418</v>
      </c>
      <c r="H190" s="601" t="s">
        <v>325</v>
      </c>
      <c r="I190" s="601" t="s">
        <v>426</v>
      </c>
      <c r="J190" s="630"/>
      <c r="K190" s="630"/>
      <c r="L190" s="630"/>
      <c r="M190" s="630"/>
      <c r="N190" s="630"/>
      <c r="O190" s="630"/>
    </row>
    <row r="191" spans="1:15" x14ac:dyDescent="0.25">
      <c r="A191" s="630" t="s">
        <v>417</v>
      </c>
      <c r="B191" s="629">
        <v>0.3634</v>
      </c>
      <c r="C191" s="630"/>
      <c r="D191" s="630" t="s">
        <v>319</v>
      </c>
      <c r="E191" s="630" t="s">
        <v>319</v>
      </c>
      <c r="F191" s="630" t="s">
        <v>319</v>
      </c>
      <c r="G191" s="630" t="s">
        <v>418</v>
      </c>
      <c r="H191" s="601" t="s">
        <v>325</v>
      </c>
      <c r="I191" s="601" t="s">
        <v>427</v>
      </c>
      <c r="J191" s="630"/>
      <c r="K191" s="630"/>
      <c r="L191" s="630"/>
      <c r="M191" s="630"/>
      <c r="N191" s="630"/>
      <c r="O191" s="630"/>
    </row>
    <row r="192" spans="1:15" x14ac:dyDescent="0.25">
      <c r="A192" s="630" t="s">
        <v>417</v>
      </c>
      <c r="B192" s="629">
        <v>0.34339999999999998</v>
      </c>
      <c r="C192" s="630"/>
      <c r="D192" s="630" t="s">
        <v>319</v>
      </c>
      <c r="E192" s="630" t="s">
        <v>319</v>
      </c>
      <c r="F192" s="630" t="s">
        <v>319</v>
      </c>
      <c r="G192" s="630" t="s">
        <v>418</v>
      </c>
      <c r="H192" s="601" t="s">
        <v>325</v>
      </c>
      <c r="I192" s="601" t="s">
        <v>428</v>
      </c>
      <c r="J192" s="630"/>
      <c r="K192" s="630"/>
      <c r="L192" s="630"/>
      <c r="M192" s="630"/>
      <c r="N192" s="630"/>
      <c r="O192" s="630"/>
    </row>
    <row r="193" spans="1:15" x14ac:dyDescent="0.25">
      <c r="A193" s="630" t="s">
        <v>417</v>
      </c>
      <c r="B193" s="629">
        <v>0.32769999999999999</v>
      </c>
      <c r="C193" s="630"/>
      <c r="D193" s="630" t="s">
        <v>319</v>
      </c>
      <c r="E193" s="630" t="s">
        <v>319</v>
      </c>
      <c r="F193" s="630" t="s">
        <v>319</v>
      </c>
      <c r="G193" s="630" t="s">
        <v>418</v>
      </c>
      <c r="H193" s="601" t="s">
        <v>325</v>
      </c>
      <c r="I193" s="601" t="s">
        <v>429</v>
      </c>
      <c r="J193" s="630"/>
      <c r="K193" s="630"/>
      <c r="L193" s="630"/>
      <c r="M193" s="630"/>
      <c r="N193" s="630"/>
      <c r="O193" s="630"/>
    </row>
    <row r="194" spans="1:15" x14ac:dyDescent="0.25">
      <c r="A194" s="630" t="s">
        <v>417</v>
      </c>
      <c r="B194" s="629">
        <v>0.31540000000000001</v>
      </c>
      <c r="C194" s="630"/>
      <c r="D194" s="630" t="s">
        <v>319</v>
      </c>
      <c r="E194" s="630" t="s">
        <v>319</v>
      </c>
      <c r="F194" s="630" t="s">
        <v>319</v>
      </c>
      <c r="G194" s="630" t="s">
        <v>418</v>
      </c>
      <c r="H194" s="601" t="s">
        <v>325</v>
      </c>
      <c r="I194" s="601" t="s">
        <v>430</v>
      </c>
      <c r="J194" s="630"/>
      <c r="K194" s="630"/>
      <c r="L194" s="630"/>
      <c r="M194" s="630"/>
      <c r="N194" s="630"/>
      <c r="O194" s="630"/>
    </row>
    <row r="195" spans="1:15" x14ac:dyDescent="0.25">
      <c r="A195" s="630" t="s">
        <v>417</v>
      </c>
      <c r="B195" s="629">
        <v>0.29959999999999998</v>
      </c>
      <c r="C195" s="630"/>
      <c r="D195" s="630" t="s">
        <v>319</v>
      </c>
      <c r="E195" s="630" t="s">
        <v>319</v>
      </c>
      <c r="F195" s="630" t="s">
        <v>319</v>
      </c>
      <c r="G195" s="630" t="s">
        <v>418</v>
      </c>
      <c r="H195" s="601" t="s">
        <v>325</v>
      </c>
      <c r="I195" s="601" t="s">
        <v>431</v>
      </c>
      <c r="J195" s="630"/>
      <c r="K195" s="630"/>
      <c r="L195" s="630"/>
      <c r="M195" s="630"/>
      <c r="N195" s="630"/>
      <c r="O195" s="630"/>
    </row>
    <row r="196" spans="1:15" x14ac:dyDescent="0.25">
      <c r="A196" s="630" t="s">
        <v>417</v>
      </c>
      <c r="B196" s="629">
        <v>0.28639999999999999</v>
      </c>
      <c r="C196" s="630"/>
      <c r="D196" s="630" t="s">
        <v>319</v>
      </c>
      <c r="E196" s="630" t="s">
        <v>319</v>
      </c>
      <c r="F196" s="630" t="s">
        <v>319</v>
      </c>
      <c r="G196" s="630" t="s">
        <v>418</v>
      </c>
      <c r="H196" s="601" t="s">
        <v>325</v>
      </c>
      <c r="I196" s="601" t="s">
        <v>432</v>
      </c>
      <c r="J196" s="630"/>
      <c r="K196" s="630"/>
      <c r="L196" s="630"/>
      <c r="M196" s="630"/>
      <c r="N196" s="630"/>
      <c r="O196" s="630"/>
    </row>
    <row r="197" spans="1:15" x14ac:dyDescent="0.25">
      <c r="A197" s="630" t="s">
        <v>417</v>
      </c>
      <c r="B197" s="629">
        <v>0.27510000000000001</v>
      </c>
      <c r="C197" s="630"/>
      <c r="D197" s="630" t="s">
        <v>319</v>
      </c>
      <c r="E197" s="630" t="s">
        <v>319</v>
      </c>
      <c r="F197" s="630" t="s">
        <v>319</v>
      </c>
      <c r="G197" s="630" t="s">
        <v>418</v>
      </c>
      <c r="H197" s="601" t="s">
        <v>325</v>
      </c>
      <c r="I197" s="601" t="s">
        <v>433</v>
      </c>
      <c r="J197" s="630"/>
      <c r="K197" s="630"/>
      <c r="L197" s="630"/>
      <c r="M197" s="630"/>
      <c r="N197" s="630"/>
      <c r="O197" s="630"/>
    </row>
    <row r="198" spans="1:15" x14ac:dyDescent="0.25">
      <c r="A198" s="630" t="s">
        <v>417</v>
      </c>
      <c r="B198" s="629">
        <v>0.26550000000000001</v>
      </c>
      <c r="C198" s="630"/>
      <c r="D198" s="630" t="s">
        <v>319</v>
      </c>
      <c r="E198" s="630" t="s">
        <v>319</v>
      </c>
      <c r="F198" s="630" t="s">
        <v>319</v>
      </c>
      <c r="G198" s="630" t="s">
        <v>418</v>
      </c>
      <c r="H198" s="601" t="s">
        <v>325</v>
      </c>
      <c r="I198" s="601" t="s">
        <v>434</v>
      </c>
      <c r="J198" s="630"/>
      <c r="K198" s="630"/>
      <c r="L198" s="630"/>
      <c r="M198" s="630"/>
      <c r="N198" s="630"/>
      <c r="O198" s="630"/>
    </row>
    <row r="199" spans="1:15" x14ac:dyDescent="0.25">
      <c r="A199" s="630" t="s">
        <v>417</v>
      </c>
      <c r="B199" s="629">
        <v>0.25719999999999998</v>
      </c>
      <c r="C199" s="630"/>
      <c r="D199" s="630" t="s">
        <v>319</v>
      </c>
      <c r="E199" s="630" t="s">
        <v>319</v>
      </c>
      <c r="F199" s="630" t="s">
        <v>319</v>
      </c>
      <c r="G199" s="630" t="s">
        <v>418</v>
      </c>
      <c r="H199" s="601" t="s">
        <v>325</v>
      </c>
      <c r="I199" s="601" t="s">
        <v>435</v>
      </c>
      <c r="J199" s="630"/>
      <c r="K199" s="630"/>
      <c r="L199" s="630"/>
      <c r="M199" s="630"/>
      <c r="N199" s="630"/>
      <c r="O199" s="630"/>
    </row>
    <row r="200" spans="1:15" x14ac:dyDescent="0.25">
      <c r="A200" s="630" t="s">
        <v>417</v>
      </c>
      <c r="B200" s="629">
        <v>0.25</v>
      </c>
      <c r="C200" s="630"/>
      <c r="D200" s="630" t="s">
        <v>319</v>
      </c>
      <c r="E200" s="630" t="s">
        <v>319</v>
      </c>
      <c r="F200" s="630" t="s">
        <v>319</v>
      </c>
      <c r="G200" s="630" t="s">
        <v>418</v>
      </c>
      <c r="H200" s="601" t="s">
        <v>325</v>
      </c>
      <c r="I200" s="601" t="s">
        <v>436</v>
      </c>
      <c r="J200" s="630"/>
      <c r="K200" s="630"/>
      <c r="L200" s="630"/>
      <c r="M200" s="630"/>
      <c r="N200" s="630"/>
      <c r="O200" s="630"/>
    </row>
    <row r="201" spans="1:15" x14ac:dyDescent="0.25">
      <c r="A201" s="630" t="s">
        <v>417</v>
      </c>
      <c r="B201" s="629">
        <v>0.24199999999999999</v>
      </c>
      <c r="C201" s="630"/>
      <c r="D201" s="630" t="s">
        <v>319</v>
      </c>
      <c r="E201" s="630" t="s">
        <v>319</v>
      </c>
      <c r="F201" s="630" t="s">
        <v>319</v>
      </c>
      <c r="G201" s="630" t="s">
        <v>418</v>
      </c>
      <c r="H201" s="601" t="s">
        <v>325</v>
      </c>
      <c r="I201" s="601" t="s">
        <v>437</v>
      </c>
      <c r="J201" s="630"/>
      <c r="K201" s="630"/>
      <c r="L201" s="630"/>
      <c r="M201" s="630"/>
      <c r="N201" s="630"/>
      <c r="O201" s="630"/>
    </row>
    <row r="202" spans="1:15" x14ac:dyDescent="0.25">
      <c r="A202" s="630" t="s">
        <v>417</v>
      </c>
      <c r="B202" s="629">
        <v>0.23499999999999999</v>
      </c>
      <c r="C202" s="630"/>
      <c r="D202" s="630" t="s">
        <v>319</v>
      </c>
      <c r="E202" s="630" t="s">
        <v>319</v>
      </c>
      <c r="F202" s="630" t="s">
        <v>319</v>
      </c>
      <c r="G202" s="630" t="s">
        <v>418</v>
      </c>
      <c r="H202" s="601" t="s">
        <v>325</v>
      </c>
      <c r="I202" s="601" t="s">
        <v>438</v>
      </c>
      <c r="J202" s="630"/>
      <c r="K202" s="630"/>
      <c r="L202" s="630"/>
      <c r="M202" s="630"/>
      <c r="N202" s="630"/>
      <c r="O202" s="630"/>
    </row>
    <row r="203" spans="1:15" x14ac:dyDescent="0.25">
      <c r="A203" s="630" t="s">
        <v>417</v>
      </c>
      <c r="B203" s="629">
        <v>0.2</v>
      </c>
      <c r="C203" s="630"/>
      <c r="D203" s="630" t="s">
        <v>319</v>
      </c>
      <c r="E203" s="630" t="s">
        <v>319</v>
      </c>
      <c r="F203" s="630" t="s">
        <v>319</v>
      </c>
      <c r="G203" s="630" t="s">
        <v>418</v>
      </c>
      <c r="H203" s="601" t="s">
        <v>325</v>
      </c>
      <c r="I203" s="601" t="s">
        <v>439</v>
      </c>
      <c r="J203" s="630"/>
      <c r="K203" s="630"/>
      <c r="L203" s="630"/>
      <c r="M203" s="630"/>
      <c r="N203" s="630"/>
      <c r="O203" s="630"/>
    </row>
    <row r="204" spans="1:15" x14ac:dyDescent="0.25">
      <c r="A204" s="630" t="s">
        <v>417</v>
      </c>
      <c r="B204" s="629">
        <v>0.15</v>
      </c>
      <c r="C204" s="630"/>
      <c r="D204" s="630" t="s">
        <v>319</v>
      </c>
      <c r="E204" s="630" t="s">
        <v>319</v>
      </c>
      <c r="F204" s="630" t="s">
        <v>319</v>
      </c>
      <c r="G204" s="630" t="s">
        <v>418</v>
      </c>
      <c r="H204" s="601" t="s">
        <v>325</v>
      </c>
      <c r="I204" s="601" t="s">
        <v>440</v>
      </c>
      <c r="J204" s="630"/>
      <c r="K204" s="630"/>
      <c r="L204" s="630"/>
      <c r="M204" s="630"/>
      <c r="N204" s="630"/>
      <c r="O204" s="630"/>
    </row>
    <row r="205" spans="1:15" x14ac:dyDescent="0.25">
      <c r="A205" s="630" t="s">
        <v>417</v>
      </c>
      <c r="B205" s="629">
        <v>0.12</v>
      </c>
      <c r="C205" s="630"/>
      <c r="D205" s="630" t="s">
        <v>319</v>
      </c>
      <c r="E205" s="630" t="s">
        <v>319</v>
      </c>
      <c r="F205" s="630" t="s">
        <v>319</v>
      </c>
      <c r="G205" s="630" t="s">
        <v>418</v>
      </c>
      <c r="H205" s="601" t="s">
        <v>325</v>
      </c>
      <c r="I205" s="601" t="s">
        <v>441</v>
      </c>
      <c r="J205" s="630"/>
      <c r="K205" s="630"/>
      <c r="L205" s="630"/>
      <c r="M205" s="630"/>
      <c r="N205" s="630"/>
      <c r="O205" s="630"/>
    </row>
    <row r="206" spans="1:15" x14ac:dyDescent="0.25">
      <c r="A206" s="630" t="s">
        <v>417</v>
      </c>
      <c r="B206" s="629">
        <v>8.5999999999999993E-2</v>
      </c>
      <c r="C206" s="630"/>
      <c r="D206" s="630" t="s">
        <v>319</v>
      </c>
      <c r="E206" s="630" t="s">
        <v>319</v>
      </c>
      <c r="F206" s="630" t="s">
        <v>319</v>
      </c>
      <c r="G206" s="630" t="s">
        <v>418</v>
      </c>
      <c r="H206" s="601" t="s">
        <v>325</v>
      </c>
      <c r="I206" s="601" t="s">
        <v>442</v>
      </c>
      <c r="J206" s="630"/>
      <c r="K206" s="630"/>
      <c r="L206" s="630"/>
      <c r="M206" s="630"/>
      <c r="N206" s="630"/>
      <c r="O206" s="630"/>
    </row>
    <row r="207" spans="1:15" x14ac:dyDescent="0.25">
      <c r="A207" s="630" t="s">
        <v>417</v>
      </c>
      <c r="B207" s="629">
        <v>6.2E-2</v>
      </c>
      <c r="C207" s="630"/>
      <c r="D207" s="630" t="s">
        <v>319</v>
      </c>
      <c r="E207" s="630" t="s">
        <v>319</v>
      </c>
      <c r="F207" s="630" t="s">
        <v>319</v>
      </c>
      <c r="G207" s="630" t="s">
        <v>418</v>
      </c>
      <c r="H207" s="601" t="s">
        <v>325</v>
      </c>
      <c r="I207" s="601" t="s">
        <v>443</v>
      </c>
      <c r="J207" s="630"/>
      <c r="K207" s="630"/>
      <c r="L207" s="630"/>
      <c r="M207" s="630"/>
      <c r="N207" s="630"/>
      <c r="O207" s="630"/>
    </row>
    <row r="208" spans="1:15" x14ac:dyDescent="0.25">
      <c r="A208" s="630" t="s">
        <v>417</v>
      </c>
      <c r="B208" s="629">
        <v>4.3999999999999997E-2</v>
      </c>
      <c r="C208" s="630"/>
      <c r="D208" s="630" t="s">
        <v>319</v>
      </c>
      <c r="E208" s="630" t="s">
        <v>319</v>
      </c>
      <c r="F208" s="630" t="s">
        <v>319</v>
      </c>
      <c r="G208" s="630" t="s">
        <v>418</v>
      </c>
      <c r="H208" s="601" t="s">
        <v>325</v>
      </c>
      <c r="I208" s="601" t="s">
        <v>444</v>
      </c>
      <c r="J208" s="630"/>
      <c r="K208" s="630"/>
      <c r="L208" s="630"/>
      <c r="M208" s="630"/>
      <c r="N208" s="630"/>
      <c r="O208" s="630"/>
    </row>
    <row r="209" spans="1:15" x14ac:dyDescent="0.25">
      <c r="A209" s="630" t="s">
        <v>417</v>
      </c>
      <c r="B209" s="629">
        <v>3.2000000000000001E-2</v>
      </c>
      <c r="C209" s="630"/>
      <c r="D209" s="630" t="s">
        <v>319</v>
      </c>
      <c r="E209" s="630" t="s">
        <v>319</v>
      </c>
      <c r="F209" s="630" t="s">
        <v>319</v>
      </c>
      <c r="G209" s="630" t="s">
        <v>418</v>
      </c>
      <c r="H209" s="601" t="s">
        <v>325</v>
      </c>
      <c r="I209" s="601" t="s">
        <v>445</v>
      </c>
      <c r="J209" s="630"/>
      <c r="K209" s="630"/>
      <c r="L209" s="630"/>
      <c r="M209" s="630"/>
      <c r="N209" s="630"/>
      <c r="O209" s="630"/>
    </row>
    <row r="210" spans="1:15" x14ac:dyDescent="0.25">
      <c r="A210" s="630" t="s">
        <v>417</v>
      </c>
      <c r="B210" s="629">
        <v>2.5000000000000001E-2</v>
      </c>
      <c r="C210" s="630"/>
      <c r="D210" s="630" t="s">
        <v>319</v>
      </c>
      <c r="E210" s="630" t="s">
        <v>319</v>
      </c>
      <c r="F210" s="630" t="s">
        <v>319</v>
      </c>
      <c r="G210" s="630" t="s">
        <v>418</v>
      </c>
      <c r="H210" s="601" t="s">
        <v>325</v>
      </c>
      <c r="I210" s="601" t="s">
        <v>446</v>
      </c>
      <c r="J210" s="630"/>
      <c r="K210" s="630"/>
      <c r="L210" s="630"/>
      <c r="M210" s="630"/>
      <c r="N210" s="630"/>
      <c r="O210" s="630"/>
    </row>
    <row r="211" spans="1:15" x14ac:dyDescent="0.25">
      <c r="A211" s="630" t="s">
        <v>417</v>
      </c>
      <c r="B211" s="629">
        <v>0.02</v>
      </c>
      <c r="C211" s="630"/>
      <c r="D211" s="630" t="s">
        <v>319</v>
      </c>
      <c r="E211" s="630" t="s">
        <v>319</v>
      </c>
      <c r="F211" s="630" t="s">
        <v>319</v>
      </c>
      <c r="G211" s="630" t="s">
        <v>418</v>
      </c>
      <c r="H211" s="601" t="s">
        <v>325</v>
      </c>
      <c r="I211" s="601" t="s">
        <v>447</v>
      </c>
      <c r="J211" s="630"/>
      <c r="K211" s="630"/>
      <c r="L211" s="630"/>
      <c r="M211" s="630"/>
      <c r="N211" s="630"/>
      <c r="O211" s="630"/>
    </row>
    <row r="212" spans="1:15" x14ac:dyDescent="0.25">
      <c r="A212" s="601" t="s">
        <v>448</v>
      </c>
      <c r="B212" s="636">
        <v>3.4910000000000001</v>
      </c>
      <c r="C212" s="601"/>
      <c r="D212" s="601" t="s">
        <v>319</v>
      </c>
      <c r="E212" s="601" t="s">
        <v>319</v>
      </c>
      <c r="F212" s="601" t="s">
        <v>319</v>
      </c>
      <c r="G212" s="601" t="s">
        <v>449</v>
      </c>
      <c r="H212" s="601" t="s">
        <v>325</v>
      </c>
      <c r="I212" s="601" t="s">
        <v>450</v>
      </c>
      <c r="J212" s="575"/>
      <c r="K212" s="575"/>
      <c r="L212" s="575"/>
      <c r="M212" s="575"/>
      <c r="N212" s="575"/>
      <c r="O212" s="575"/>
    </row>
    <row r="213" spans="1:15" x14ac:dyDescent="0.25">
      <c r="A213" s="601" t="s">
        <v>448</v>
      </c>
      <c r="B213" s="636">
        <v>3.222</v>
      </c>
      <c r="C213" s="601"/>
      <c r="D213" s="601" t="s">
        <v>319</v>
      </c>
      <c r="E213" s="601" t="s">
        <v>319</v>
      </c>
      <c r="F213" s="601" t="s">
        <v>319</v>
      </c>
      <c r="G213" s="601" t="s">
        <v>449</v>
      </c>
      <c r="H213" s="601" t="s">
        <v>325</v>
      </c>
      <c r="I213" s="601" t="s">
        <v>451</v>
      </c>
      <c r="J213" s="575"/>
      <c r="K213" s="575"/>
      <c r="L213" s="575"/>
      <c r="M213" s="575"/>
      <c r="N213" s="575"/>
      <c r="O213" s="575"/>
    </row>
    <row r="214" spans="1:15" x14ac:dyDescent="0.25">
      <c r="A214" s="601" t="s">
        <v>448</v>
      </c>
      <c r="B214" s="636">
        <v>3.004</v>
      </c>
      <c r="C214" s="601"/>
      <c r="D214" s="601" t="s">
        <v>319</v>
      </c>
      <c r="E214" s="601" t="s">
        <v>319</v>
      </c>
      <c r="F214" s="601" t="s">
        <v>319</v>
      </c>
      <c r="G214" s="601" t="s">
        <v>449</v>
      </c>
      <c r="H214" s="601" t="s">
        <v>325</v>
      </c>
      <c r="I214" s="601" t="s">
        <v>452</v>
      </c>
      <c r="J214" s="575"/>
      <c r="K214" s="575"/>
      <c r="L214" s="575"/>
      <c r="M214" s="575"/>
      <c r="N214" s="575"/>
      <c r="O214" s="575"/>
    </row>
    <row r="215" spans="1:15" x14ac:dyDescent="0.25">
      <c r="A215" s="601" t="s">
        <v>448</v>
      </c>
      <c r="B215" s="636">
        <v>2.8460000000000001</v>
      </c>
      <c r="C215" s="601"/>
      <c r="D215" s="601" t="s">
        <v>319</v>
      </c>
      <c r="E215" s="601" t="s">
        <v>319</v>
      </c>
      <c r="F215" s="601" t="s">
        <v>319</v>
      </c>
      <c r="G215" s="601" t="s">
        <v>449</v>
      </c>
      <c r="H215" s="601" t="s">
        <v>325</v>
      </c>
      <c r="I215" s="601" t="s">
        <v>453</v>
      </c>
      <c r="J215" s="575"/>
      <c r="K215" s="575"/>
      <c r="L215" s="575"/>
      <c r="M215" s="575"/>
      <c r="N215" s="575"/>
      <c r="O215" s="575"/>
    </row>
    <row r="216" spans="1:15" x14ac:dyDescent="0.25">
      <c r="A216" s="601" t="s">
        <v>448</v>
      </c>
      <c r="B216" s="636">
        <v>2.7010000000000001</v>
      </c>
      <c r="C216" s="601"/>
      <c r="D216" s="601" t="s">
        <v>319</v>
      </c>
      <c r="E216" s="601" t="s">
        <v>319</v>
      </c>
      <c r="F216" s="601" t="s">
        <v>319</v>
      </c>
      <c r="G216" s="601" t="s">
        <v>449</v>
      </c>
      <c r="H216" s="601" t="s">
        <v>325</v>
      </c>
      <c r="I216" s="601" t="s">
        <v>454</v>
      </c>
      <c r="J216" s="575"/>
      <c r="K216" s="575"/>
      <c r="L216" s="575"/>
      <c r="M216" s="575"/>
      <c r="N216" s="575"/>
      <c r="O216" s="575"/>
    </row>
    <row r="217" spans="1:15" x14ac:dyDescent="0.25">
      <c r="A217" s="601" t="s">
        <v>448</v>
      </c>
      <c r="B217" s="636">
        <v>2.5670000000000002</v>
      </c>
      <c r="C217" s="601"/>
      <c r="D217" s="601" t="s">
        <v>319</v>
      </c>
      <c r="E217" s="601" t="s">
        <v>319</v>
      </c>
      <c r="F217" s="601" t="s">
        <v>319</v>
      </c>
      <c r="G217" s="601" t="s">
        <v>449</v>
      </c>
      <c r="H217" s="601" t="s">
        <v>325</v>
      </c>
      <c r="I217" s="601" t="s">
        <v>455</v>
      </c>
      <c r="J217" s="575"/>
      <c r="K217" s="575"/>
      <c r="L217" s="575"/>
      <c r="M217" s="575"/>
      <c r="N217" s="575"/>
      <c r="O217" s="575"/>
    </row>
    <row r="218" spans="1:15" x14ac:dyDescent="0.25">
      <c r="A218" s="601" t="s">
        <v>448</v>
      </c>
      <c r="B218" s="636">
        <v>2.4470000000000001</v>
      </c>
      <c r="C218" s="601"/>
      <c r="D218" s="601" t="s">
        <v>319</v>
      </c>
      <c r="E218" s="601" t="s">
        <v>319</v>
      </c>
      <c r="F218" s="601" t="s">
        <v>319</v>
      </c>
      <c r="G218" s="601" t="s">
        <v>449</v>
      </c>
      <c r="H218" s="601" t="s">
        <v>325</v>
      </c>
      <c r="I218" s="601" t="s">
        <v>456</v>
      </c>
      <c r="J218" s="575"/>
      <c r="K218" s="575"/>
      <c r="L218" s="575"/>
      <c r="M218" s="575"/>
      <c r="N218" s="575"/>
      <c r="O218" s="575"/>
    </row>
    <row r="219" spans="1:15" x14ac:dyDescent="0.25">
      <c r="A219" s="601" t="s">
        <v>448</v>
      </c>
      <c r="B219" s="636">
        <v>2.3420000000000001</v>
      </c>
      <c r="C219" s="601"/>
      <c r="D219" s="601" t="s">
        <v>319</v>
      </c>
      <c r="E219" s="601" t="s">
        <v>319</v>
      </c>
      <c r="F219" s="601" t="s">
        <v>319</v>
      </c>
      <c r="G219" s="601" t="s">
        <v>449</v>
      </c>
      <c r="H219" s="601" t="s">
        <v>325</v>
      </c>
      <c r="I219" s="601" t="s">
        <v>457</v>
      </c>
      <c r="J219" s="575"/>
      <c r="K219" s="575"/>
      <c r="L219" s="575"/>
      <c r="M219" s="575"/>
      <c r="N219" s="575"/>
      <c r="O219" s="575"/>
    </row>
    <row r="220" spans="1:15" x14ac:dyDescent="0.25">
      <c r="A220" s="601" t="s">
        <v>448</v>
      </c>
      <c r="B220" s="636">
        <v>2.25</v>
      </c>
      <c r="C220" s="601"/>
      <c r="D220" s="601" t="s">
        <v>319</v>
      </c>
      <c r="E220" s="601" t="s">
        <v>319</v>
      </c>
      <c r="F220" s="601" t="s">
        <v>319</v>
      </c>
      <c r="G220" s="601" t="s">
        <v>449</v>
      </c>
      <c r="H220" s="601" t="s">
        <v>325</v>
      </c>
      <c r="I220" s="601" t="s">
        <v>458</v>
      </c>
      <c r="J220" s="575"/>
      <c r="K220" s="575"/>
      <c r="L220" s="575"/>
      <c r="M220" s="575"/>
      <c r="N220" s="575"/>
      <c r="O220" s="575"/>
    </row>
    <row r="221" spans="1:15" x14ac:dyDescent="0.25">
      <c r="A221" s="601" t="s">
        <v>448</v>
      </c>
      <c r="B221" s="636">
        <v>2.105</v>
      </c>
      <c r="C221" s="601"/>
      <c r="D221" s="601" t="s">
        <v>319</v>
      </c>
      <c r="E221" s="601" t="s">
        <v>319</v>
      </c>
      <c r="F221" s="601" t="s">
        <v>319</v>
      </c>
      <c r="G221" s="601" t="s">
        <v>449</v>
      </c>
      <c r="H221" s="601" t="s">
        <v>325</v>
      </c>
      <c r="I221" s="601" t="s">
        <v>459</v>
      </c>
      <c r="J221" s="575"/>
      <c r="K221" s="575"/>
      <c r="L221" s="575"/>
      <c r="M221" s="575"/>
      <c r="N221" s="575"/>
      <c r="O221" s="575"/>
    </row>
    <row r="222" spans="1:15" x14ac:dyDescent="0.25">
      <c r="A222" s="601" t="s">
        <v>448</v>
      </c>
      <c r="B222" s="636">
        <v>1.889</v>
      </c>
      <c r="C222" s="601"/>
      <c r="D222" s="601" t="s">
        <v>319</v>
      </c>
      <c r="E222" s="601" t="s">
        <v>319</v>
      </c>
      <c r="F222" s="601" t="s">
        <v>319</v>
      </c>
      <c r="G222" s="601" t="s">
        <v>449</v>
      </c>
      <c r="H222" s="601" t="s">
        <v>325</v>
      </c>
      <c r="I222" s="601" t="s">
        <v>460</v>
      </c>
      <c r="J222" s="575"/>
      <c r="K222" s="575"/>
      <c r="L222" s="575"/>
      <c r="M222" s="575"/>
      <c r="N222" s="575"/>
      <c r="O222" s="575"/>
    </row>
    <row r="223" spans="1:15" x14ac:dyDescent="0.25">
      <c r="A223" s="601" t="s">
        <v>448</v>
      </c>
      <c r="B223" s="636">
        <v>1.6020000000000001</v>
      </c>
      <c r="C223" s="601"/>
      <c r="D223" s="601" t="s">
        <v>319</v>
      </c>
      <c r="E223" s="601" t="s">
        <v>319</v>
      </c>
      <c r="F223" s="601" t="s">
        <v>319</v>
      </c>
      <c r="G223" s="601" t="s">
        <v>449</v>
      </c>
      <c r="H223" s="601" t="s">
        <v>325</v>
      </c>
      <c r="I223" s="601" t="s">
        <v>461</v>
      </c>
      <c r="J223" s="575"/>
      <c r="K223" s="575"/>
      <c r="L223" s="575"/>
      <c r="M223" s="575"/>
      <c r="N223" s="575"/>
      <c r="O223" s="575"/>
    </row>
    <row r="224" spans="1:15" x14ac:dyDescent="0.25">
      <c r="A224" s="601" t="s">
        <v>448</v>
      </c>
      <c r="B224" s="636">
        <v>1.25</v>
      </c>
      <c r="C224" s="601"/>
      <c r="D224" s="601" t="s">
        <v>319</v>
      </c>
      <c r="E224" s="601" t="s">
        <v>319</v>
      </c>
      <c r="F224" s="601" t="s">
        <v>319</v>
      </c>
      <c r="G224" s="601" t="s">
        <v>449</v>
      </c>
      <c r="H224" s="601" t="s">
        <v>325</v>
      </c>
      <c r="I224" s="601" t="s">
        <v>462</v>
      </c>
      <c r="J224" s="575"/>
      <c r="K224" s="575"/>
      <c r="L224" s="575"/>
      <c r="M224" s="575"/>
      <c r="N224" s="575"/>
      <c r="O224" s="575"/>
    </row>
    <row r="225" spans="1:15" x14ac:dyDescent="0.25">
      <c r="A225" s="601" t="s">
        <v>448</v>
      </c>
      <c r="B225" s="636">
        <v>1.25</v>
      </c>
      <c r="C225" s="601"/>
      <c r="D225" s="601" t="s">
        <v>319</v>
      </c>
      <c r="E225" s="601" t="s">
        <v>319</v>
      </c>
      <c r="F225" s="601" t="s">
        <v>319</v>
      </c>
      <c r="G225" s="601" t="s">
        <v>449</v>
      </c>
      <c r="H225" s="601" t="s">
        <v>325</v>
      </c>
      <c r="I225" s="601" t="s">
        <v>463</v>
      </c>
      <c r="J225" s="575"/>
      <c r="K225" s="575"/>
      <c r="L225" s="575"/>
      <c r="M225" s="575"/>
      <c r="N225" s="575"/>
      <c r="O225" s="575"/>
    </row>
    <row r="226" spans="1:15" x14ac:dyDescent="0.25">
      <c r="A226" s="601" t="s">
        <v>448</v>
      </c>
      <c r="B226" s="636">
        <v>1.25</v>
      </c>
      <c r="C226" s="601"/>
      <c r="D226" s="601" t="s">
        <v>319</v>
      </c>
      <c r="E226" s="601" t="s">
        <v>319</v>
      </c>
      <c r="F226" s="601" t="s">
        <v>319</v>
      </c>
      <c r="G226" s="601" t="s">
        <v>449</v>
      </c>
      <c r="H226" s="601" t="s">
        <v>325</v>
      </c>
      <c r="I226" s="601" t="s">
        <v>464</v>
      </c>
      <c r="J226" s="575"/>
      <c r="K226" s="575"/>
      <c r="L226" s="575"/>
      <c r="M226" s="575"/>
      <c r="N226" s="575"/>
      <c r="O226" s="575"/>
    </row>
    <row r="227" spans="1:15" x14ac:dyDescent="0.25">
      <c r="A227" s="601" t="s">
        <v>448</v>
      </c>
      <c r="B227" s="636">
        <v>1.25</v>
      </c>
      <c r="C227" s="601"/>
      <c r="D227" s="601" t="s">
        <v>319</v>
      </c>
      <c r="E227" s="601" t="s">
        <v>319</v>
      </c>
      <c r="F227" s="601" t="s">
        <v>319</v>
      </c>
      <c r="G227" s="601" t="s">
        <v>449</v>
      </c>
      <c r="H227" s="601" t="s">
        <v>325</v>
      </c>
      <c r="I227" s="601" t="s">
        <v>465</v>
      </c>
      <c r="J227" s="575"/>
      <c r="K227" s="575"/>
      <c r="L227" s="575"/>
      <c r="M227" s="575"/>
      <c r="N227" s="575"/>
      <c r="O227" s="575"/>
    </row>
    <row r="228" spans="1:15" x14ac:dyDescent="0.25">
      <c r="A228" s="601" t="s">
        <v>448</v>
      </c>
      <c r="B228" s="636">
        <v>1.25</v>
      </c>
      <c r="C228" s="601"/>
      <c r="D228" s="601" t="s">
        <v>319</v>
      </c>
      <c r="E228" s="601" t="s">
        <v>319</v>
      </c>
      <c r="F228" s="601" t="s">
        <v>319</v>
      </c>
      <c r="G228" s="601" t="s">
        <v>449</v>
      </c>
      <c r="H228" s="601" t="s">
        <v>325</v>
      </c>
      <c r="I228" s="601" t="s">
        <v>466</v>
      </c>
      <c r="J228" s="575"/>
      <c r="K228" s="575"/>
      <c r="L228" s="575"/>
      <c r="M228" s="575"/>
      <c r="N228" s="575"/>
      <c r="O228" s="575"/>
    </row>
    <row r="229" spans="1:15" x14ac:dyDescent="0.25">
      <c r="A229" s="601" t="s">
        <v>448</v>
      </c>
      <c r="B229" s="636">
        <v>1.1499999999999999</v>
      </c>
      <c r="C229" s="601"/>
      <c r="D229" s="601" t="s">
        <v>319</v>
      </c>
      <c r="E229" s="601" t="s">
        <v>319</v>
      </c>
      <c r="F229" s="601" t="s">
        <v>319</v>
      </c>
      <c r="G229" s="601" t="s">
        <v>449</v>
      </c>
      <c r="H229" s="601" t="s">
        <v>325</v>
      </c>
      <c r="I229" s="601" t="s">
        <v>467</v>
      </c>
      <c r="J229" s="575"/>
      <c r="K229" s="575"/>
      <c r="L229" s="575"/>
      <c r="M229" s="575"/>
      <c r="N229" s="575"/>
      <c r="O229" s="575"/>
    </row>
    <row r="230" spans="1:15" x14ac:dyDescent="0.25">
      <c r="A230" s="601" t="s">
        <v>448</v>
      </c>
      <c r="B230" s="636">
        <v>1.1499999999999999</v>
      </c>
      <c r="C230" s="601"/>
      <c r="D230" s="601" t="s">
        <v>319</v>
      </c>
      <c r="E230" s="601" t="s">
        <v>319</v>
      </c>
      <c r="F230" s="601" t="s">
        <v>319</v>
      </c>
      <c r="G230" s="601" t="s">
        <v>449</v>
      </c>
      <c r="H230" s="601" t="s">
        <v>325</v>
      </c>
      <c r="I230" s="601" t="s">
        <v>468</v>
      </c>
      <c r="J230" s="575"/>
      <c r="K230" s="575"/>
      <c r="L230" s="575"/>
      <c r="M230" s="575"/>
      <c r="N230" s="575"/>
      <c r="O230" s="575"/>
    </row>
    <row r="231" spans="1:15" x14ac:dyDescent="0.25">
      <c r="A231" s="601" t="s">
        <v>448</v>
      </c>
      <c r="B231" s="636">
        <v>1.1499999999999999</v>
      </c>
      <c r="C231" s="601"/>
      <c r="D231" s="601" t="s">
        <v>319</v>
      </c>
      <c r="E231" s="601" t="s">
        <v>319</v>
      </c>
      <c r="F231" s="601" t="s">
        <v>319</v>
      </c>
      <c r="G231" s="601" t="s">
        <v>449</v>
      </c>
      <c r="H231" s="601" t="s">
        <v>325</v>
      </c>
      <c r="I231" s="601" t="s">
        <v>469</v>
      </c>
      <c r="J231" s="575"/>
      <c r="K231" s="575"/>
      <c r="L231" s="575"/>
      <c r="M231" s="575"/>
      <c r="N231" s="575"/>
      <c r="O231" s="575"/>
    </row>
    <row r="232" spans="1:15" x14ac:dyDescent="0.25">
      <c r="A232" s="601" t="s">
        <v>448</v>
      </c>
      <c r="B232" s="636">
        <v>1.1499999999999999</v>
      </c>
      <c r="C232" s="601"/>
      <c r="D232" s="601" t="s">
        <v>319</v>
      </c>
      <c r="E232" s="601" t="s">
        <v>319</v>
      </c>
      <c r="F232" s="601" t="s">
        <v>319</v>
      </c>
      <c r="G232" s="601" t="s">
        <v>449</v>
      </c>
      <c r="H232" s="601" t="s">
        <v>325</v>
      </c>
      <c r="I232" s="601" t="s">
        <v>470</v>
      </c>
      <c r="J232" s="575"/>
      <c r="K232" s="575"/>
      <c r="L232" s="575"/>
      <c r="M232" s="575"/>
      <c r="N232" s="575"/>
      <c r="O232" s="575"/>
    </row>
    <row r="233" spans="1:15" x14ac:dyDescent="0.25">
      <c r="A233" s="601" t="s">
        <v>448</v>
      </c>
      <c r="B233" s="636">
        <v>1.1499999999999999</v>
      </c>
      <c r="C233" s="601"/>
      <c r="D233" s="601" t="s">
        <v>319</v>
      </c>
      <c r="E233" s="601" t="s">
        <v>319</v>
      </c>
      <c r="F233" s="601" t="s">
        <v>319</v>
      </c>
      <c r="G233" s="601" t="s">
        <v>449</v>
      </c>
      <c r="H233" s="601" t="s">
        <v>325</v>
      </c>
      <c r="I233" s="601" t="s">
        <v>471</v>
      </c>
      <c r="J233" s="575"/>
      <c r="K233" s="575"/>
      <c r="L233" s="575"/>
      <c r="M233" s="575"/>
      <c r="N233" s="575"/>
      <c r="O233" s="575"/>
    </row>
    <row r="234" spans="1:15" x14ac:dyDescent="0.25">
      <c r="A234" s="601" t="s">
        <v>448</v>
      </c>
      <c r="B234" s="636">
        <v>1.05</v>
      </c>
      <c r="C234" s="601"/>
      <c r="D234" s="601" t="s">
        <v>319</v>
      </c>
      <c r="E234" s="601" t="s">
        <v>319</v>
      </c>
      <c r="F234" s="601" t="s">
        <v>319</v>
      </c>
      <c r="G234" s="601" t="s">
        <v>449</v>
      </c>
      <c r="H234" s="601" t="s">
        <v>325</v>
      </c>
      <c r="I234" s="601" t="s">
        <v>472</v>
      </c>
      <c r="J234" s="575"/>
      <c r="K234" s="575"/>
      <c r="L234" s="575"/>
      <c r="M234" s="575"/>
      <c r="N234" s="575"/>
      <c r="O234" s="575"/>
    </row>
    <row r="235" spans="1:15" x14ac:dyDescent="0.25">
      <c r="A235" s="601" t="s">
        <v>448</v>
      </c>
      <c r="B235" s="636">
        <v>1.05</v>
      </c>
      <c r="C235" s="601"/>
      <c r="D235" s="601" t="s">
        <v>319</v>
      </c>
      <c r="E235" s="601" t="s">
        <v>319</v>
      </c>
      <c r="F235" s="601" t="s">
        <v>319</v>
      </c>
      <c r="G235" s="601" t="s">
        <v>449</v>
      </c>
      <c r="H235" s="601" t="s">
        <v>325</v>
      </c>
      <c r="I235" s="601" t="s">
        <v>473</v>
      </c>
      <c r="J235" s="575"/>
      <c r="K235" s="575"/>
      <c r="L235" s="575"/>
      <c r="M235" s="575"/>
      <c r="N235" s="575"/>
      <c r="O235" s="575"/>
    </row>
    <row r="236" spans="1:15" x14ac:dyDescent="0.25">
      <c r="A236" s="601" t="s">
        <v>448</v>
      </c>
      <c r="B236" s="636">
        <v>1.05</v>
      </c>
      <c r="C236" s="601"/>
      <c r="D236" s="601" t="s">
        <v>319</v>
      </c>
      <c r="E236" s="601" t="s">
        <v>319</v>
      </c>
      <c r="F236" s="601" t="s">
        <v>319</v>
      </c>
      <c r="G236" s="601" t="s">
        <v>449</v>
      </c>
      <c r="H236" s="601" t="s">
        <v>325</v>
      </c>
      <c r="I236" s="601" t="s">
        <v>474</v>
      </c>
      <c r="J236" s="575"/>
      <c r="K236" s="575"/>
      <c r="L236" s="575"/>
      <c r="M236" s="575"/>
      <c r="N236" s="575"/>
      <c r="O236" s="575"/>
    </row>
    <row r="237" spans="1:15" x14ac:dyDescent="0.25">
      <c r="A237" s="601" t="s">
        <v>448</v>
      </c>
      <c r="B237" s="636">
        <v>1.05</v>
      </c>
      <c r="C237" s="601"/>
      <c r="D237" s="601" t="s">
        <v>319</v>
      </c>
      <c r="E237" s="601" t="s">
        <v>319</v>
      </c>
      <c r="F237" s="601" t="s">
        <v>319</v>
      </c>
      <c r="G237" s="601" t="s">
        <v>449</v>
      </c>
      <c r="H237" s="601" t="s">
        <v>325</v>
      </c>
      <c r="I237" s="601" t="s">
        <v>475</v>
      </c>
      <c r="J237" s="575"/>
      <c r="K237" s="575"/>
      <c r="L237" s="575"/>
      <c r="M237" s="575"/>
      <c r="N237" s="575"/>
      <c r="O237" s="575"/>
    </row>
    <row r="238" spans="1:15" x14ac:dyDescent="0.25">
      <c r="A238" s="601" t="s">
        <v>448</v>
      </c>
      <c r="B238" s="636">
        <v>1.05</v>
      </c>
      <c r="C238" s="601"/>
      <c r="D238" s="601" t="s">
        <v>319</v>
      </c>
      <c r="E238" s="601" t="s">
        <v>319</v>
      </c>
      <c r="F238" s="601" t="s">
        <v>319</v>
      </c>
      <c r="G238" s="601" t="s">
        <v>449</v>
      </c>
      <c r="H238" s="601" t="s">
        <v>325</v>
      </c>
      <c r="I238" s="601" t="s">
        <v>476</v>
      </c>
      <c r="J238" s="575"/>
      <c r="K238" s="575"/>
      <c r="L238" s="575"/>
      <c r="M238" s="575"/>
      <c r="N238" s="575"/>
      <c r="O238" s="575"/>
    </row>
    <row r="239" spans="1:15" x14ac:dyDescent="0.25">
      <c r="A239" s="601" t="s">
        <v>448</v>
      </c>
      <c r="B239" s="636">
        <v>1.0249999999999999</v>
      </c>
      <c r="C239" s="601"/>
      <c r="D239" s="601" t="s">
        <v>319</v>
      </c>
      <c r="E239" s="601" t="s">
        <v>319</v>
      </c>
      <c r="F239" s="601" t="s">
        <v>319</v>
      </c>
      <c r="G239" s="601" t="s">
        <v>449</v>
      </c>
      <c r="H239" s="601" t="s">
        <v>325</v>
      </c>
      <c r="I239" s="601" t="s">
        <v>477</v>
      </c>
      <c r="J239" s="575"/>
      <c r="K239" s="575"/>
      <c r="L239" s="575"/>
      <c r="M239" s="575"/>
      <c r="N239" s="575"/>
      <c r="O239" s="575"/>
    </row>
    <row r="240" spans="1:15" x14ac:dyDescent="0.25">
      <c r="A240" s="601" t="s">
        <v>448</v>
      </c>
      <c r="B240" s="636">
        <v>1.0249999999999999</v>
      </c>
      <c r="C240" s="601"/>
      <c r="D240" s="601" t="s">
        <v>319</v>
      </c>
      <c r="E240" s="601" t="s">
        <v>319</v>
      </c>
      <c r="F240" s="601" t="s">
        <v>319</v>
      </c>
      <c r="G240" s="601" t="s">
        <v>449</v>
      </c>
      <c r="H240" s="601" t="s">
        <v>325</v>
      </c>
      <c r="I240" s="601" t="s">
        <v>478</v>
      </c>
      <c r="J240" s="575"/>
      <c r="K240" s="575"/>
      <c r="L240" s="575"/>
      <c r="M240" s="575"/>
      <c r="N240" s="575"/>
      <c r="O240" s="575"/>
    </row>
    <row r="241" spans="1:15" x14ac:dyDescent="0.25">
      <c r="A241" s="601" t="s">
        <v>448</v>
      </c>
      <c r="B241" s="636">
        <v>1.0249999999999999</v>
      </c>
      <c r="C241" s="601"/>
      <c r="D241" s="601" t="s">
        <v>319</v>
      </c>
      <c r="E241" s="601" t="s">
        <v>319</v>
      </c>
      <c r="F241" s="601" t="s">
        <v>319</v>
      </c>
      <c r="G241" s="601" t="s">
        <v>449</v>
      </c>
      <c r="H241" s="601" t="s">
        <v>325</v>
      </c>
      <c r="I241" s="601" t="s">
        <v>479</v>
      </c>
      <c r="J241" s="575"/>
      <c r="K241" s="575"/>
      <c r="L241" s="575"/>
      <c r="M241" s="575"/>
      <c r="N241" s="575"/>
      <c r="O241" s="575"/>
    </row>
    <row r="242" spans="1:15" x14ac:dyDescent="0.25">
      <c r="A242" s="601" t="s">
        <v>448</v>
      </c>
      <c r="B242" s="636">
        <v>1.0249999999999999</v>
      </c>
      <c r="C242" s="601"/>
      <c r="D242" s="601" t="s">
        <v>319</v>
      </c>
      <c r="E242" s="601" t="s">
        <v>319</v>
      </c>
      <c r="F242" s="601" t="s">
        <v>319</v>
      </c>
      <c r="G242" s="601" t="s">
        <v>449</v>
      </c>
      <c r="H242" s="601" t="s">
        <v>325</v>
      </c>
      <c r="I242" s="601" t="s">
        <v>480</v>
      </c>
      <c r="J242" s="575"/>
      <c r="K242" s="575"/>
      <c r="L242" s="575"/>
      <c r="M242" s="575"/>
      <c r="N242" s="575"/>
      <c r="O242" s="575"/>
    </row>
    <row r="243" spans="1:15" x14ac:dyDescent="0.25">
      <c r="A243" s="601" t="s">
        <v>448</v>
      </c>
      <c r="B243" s="636">
        <v>1.0249999999999999</v>
      </c>
      <c r="C243" s="601"/>
      <c r="D243" s="601" t="s">
        <v>319</v>
      </c>
      <c r="E243" s="601" t="s">
        <v>319</v>
      </c>
      <c r="F243" s="601" t="s">
        <v>319</v>
      </c>
      <c r="G243" s="601" t="s">
        <v>449</v>
      </c>
      <c r="H243" s="601" t="s">
        <v>325</v>
      </c>
      <c r="I243" s="601" t="s">
        <v>481</v>
      </c>
      <c r="J243" s="575"/>
      <c r="K243" s="575"/>
      <c r="L243" s="575"/>
      <c r="M243" s="575"/>
      <c r="N243" s="575"/>
      <c r="O243" s="575"/>
    </row>
    <row r="244" spans="1:15" x14ac:dyDescent="0.25">
      <c r="A244" s="601" t="s">
        <v>448</v>
      </c>
      <c r="B244" s="636">
        <v>1</v>
      </c>
      <c r="C244" s="601"/>
      <c r="D244" s="601" t="s">
        <v>319</v>
      </c>
      <c r="E244" s="601" t="s">
        <v>319</v>
      </c>
      <c r="F244" s="601" t="s">
        <v>319</v>
      </c>
      <c r="G244" s="601" t="s">
        <v>449</v>
      </c>
      <c r="H244" s="601" t="s">
        <v>325</v>
      </c>
      <c r="I244" s="601" t="s">
        <v>482</v>
      </c>
      <c r="J244" s="575"/>
      <c r="K244" s="575"/>
      <c r="L244" s="575"/>
      <c r="M244" s="575"/>
      <c r="N244" s="575"/>
      <c r="O244" s="575"/>
    </row>
    <row r="245" spans="1:15" x14ac:dyDescent="0.25">
      <c r="A245" s="601" t="s">
        <v>448</v>
      </c>
      <c r="B245" s="636">
        <v>1</v>
      </c>
      <c r="C245" s="601"/>
      <c r="D245" s="601" t="s">
        <v>319</v>
      </c>
      <c r="E245" s="601" t="s">
        <v>319</v>
      </c>
      <c r="F245" s="601" t="s">
        <v>319</v>
      </c>
      <c r="G245" s="601" t="s">
        <v>449</v>
      </c>
      <c r="H245" s="601" t="s">
        <v>325</v>
      </c>
      <c r="I245" s="601" t="s">
        <v>483</v>
      </c>
      <c r="J245" s="575"/>
      <c r="K245" s="575"/>
      <c r="L245" s="575"/>
      <c r="M245" s="575"/>
      <c r="N245" s="575"/>
      <c r="O245" s="575"/>
    </row>
    <row r="246" spans="1:15" x14ac:dyDescent="0.25">
      <c r="A246" s="601" t="s">
        <v>448</v>
      </c>
      <c r="B246" s="636">
        <v>1</v>
      </c>
      <c r="C246" s="601"/>
      <c r="D246" s="601" t="s">
        <v>319</v>
      </c>
      <c r="E246" s="601" t="s">
        <v>319</v>
      </c>
      <c r="F246" s="601" t="s">
        <v>319</v>
      </c>
      <c r="G246" s="601" t="s">
        <v>449</v>
      </c>
      <c r="H246" s="601" t="s">
        <v>325</v>
      </c>
      <c r="I246" s="601" t="s">
        <v>484</v>
      </c>
      <c r="J246" s="575"/>
      <c r="K246" s="575"/>
      <c r="L246" s="575"/>
      <c r="M246" s="575"/>
      <c r="N246" s="575"/>
      <c r="O246" s="575"/>
    </row>
    <row r="247" spans="1:15" x14ac:dyDescent="0.25">
      <c r="A247" s="601" t="s">
        <v>448</v>
      </c>
      <c r="B247" s="636">
        <v>1</v>
      </c>
      <c r="C247" s="601"/>
      <c r="D247" s="601" t="s">
        <v>319</v>
      </c>
      <c r="E247" s="601" t="s">
        <v>319</v>
      </c>
      <c r="F247" s="601" t="s">
        <v>319</v>
      </c>
      <c r="G247" s="601" t="s">
        <v>449</v>
      </c>
      <c r="H247" s="601" t="s">
        <v>325</v>
      </c>
      <c r="I247" s="601" t="s">
        <v>485</v>
      </c>
      <c r="J247" s="575"/>
      <c r="K247" s="575"/>
      <c r="L247" s="575"/>
      <c r="M247" s="575"/>
      <c r="N247" s="575"/>
      <c r="O247" s="575"/>
    </row>
    <row r="248" spans="1:15" x14ac:dyDescent="0.25">
      <c r="A248" s="601" t="s">
        <v>448</v>
      </c>
      <c r="B248" s="636">
        <v>1</v>
      </c>
      <c r="C248" s="601"/>
      <c r="D248" s="601" t="s">
        <v>319</v>
      </c>
      <c r="E248" s="601" t="s">
        <v>319</v>
      </c>
      <c r="F248" s="601" t="s">
        <v>319</v>
      </c>
      <c r="G248" s="601" t="s">
        <v>449</v>
      </c>
      <c r="H248" s="601" t="s">
        <v>325</v>
      </c>
      <c r="I248" s="601" t="s">
        <v>486</v>
      </c>
      <c r="J248" s="575"/>
      <c r="K248" s="575"/>
      <c r="L248" s="575"/>
      <c r="M248" s="575"/>
      <c r="N248" s="575"/>
      <c r="O248" s="575"/>
    </row>
    <row r="249" spans="1:15" x14ac:dyDescent="0.25">
      <c r="A249" s="601" t="s">
        <v>448</v>
      </c>
      <c r="B249" s="636">
        <v>1</v>
      </c>
      <c r="C249" s="601"/>
      <c r="D249" s="601" t="s">
        <v>319</v>
      </c>
      <c r="E249" s="601" t="s">
        <v>319</v>
      </c>
      <c r="F249" s="601" t="s">
        <v>319</v>
      </c>
      <c r="G249" s="601" t="s">
        <v>449</v>
      </c>
      <c r="H249" s="601" t="s">
        <v>325</v>
      </c>
      <c r="I249" s="601" t="s">
        <v>487</v>
      </c>
      <c r="J249" s="575"/>
      <c r="K249" s="575"/>
      <c r="L249" s="575"/>
      <c r="M249" s="575"/>
      <c r="N249" s="575"/>
      <c r="O249" s="575"/>
    </row>
    <row r="250" spans="1:15" x14ac:dyDescent="0.25">
      <c r="A250" s="601" t="s">
        <v>448</v>
      </c>
      <c r="B250" s="636">
        <v>1</v>
      </c>
      <c r="C250" s="601"/>
      <c r="D250" s="601" t="s">
        <v>319</v>
      </c>
      <c r="E250" s="601" t="s">
        <v>319</v>
      </c>
      <c r="F250" s="601" t="s">
        <v>319</v>
      </c>
      <c r="G250" s="601" t="s">
        <v>449</v>
      </c>
      <c r="H250" s="601" t="s">
        <v>325</v>
      </c>
      <c r="I250" s="601" t="s">
        <v>488</v>
      </c>
      <c r="J250" s="575"/>
      <c r="K250" s="575"/>
      <c r="L250" s="575"/>
      <c r="M250" s="575"/>
      <c r="N250" s="575"/>
      <c r="O250" s="575"/>
    </row>
    <row r="251" spans="1:15" x14ac:dyDescent="0.25">
      <c r="A251" s="601" t="s">
        <v>448</v>
      </c>
      <c r="B251" s="636">
        <v>1</v>
      </c>
      <c r="C251" s="601"/>
      <c r="D251" s="601" t="s">
        <v>319</v>
      </c>
      <c r="E251" s="601" t="s">
        <v>319</v>
      </c>
      <c r="F251" s="601" t="s">
        <v>319</v>
      </c>
      <c r="G251" s="601" t="s">
        <v>449</v>
      </c>
      <c r="H251" s="601" t="s">
        <v>325</v>
      </c>
      <c r="I251" s="601" t="s">
        <v>489</v>
      </c>
      <c r="J251" s="575"/>
      <c r="K251" s="575"/>
      <c r="L251" s="575"/>
      <c r="M251" s="575"/>
      <c r="N251" s="575"/>
      <c r="O251" s="575"/>
    </row>
    <row r="252" spans="1:15" x14ac:dyDescent="0.25">
      <c r="A252" s="601" t="s">
        <v>448</v>
      </c>
      <c r="B252" s="636">
        <v>1</v>
      </c>
      <c r="C252" s="601"/>
      <c r="D252" s="601" t="s">
        <v>319</v>
      </c>
      <c r="E252" s="601" t="s">
        <v>319</v>
      </c>
      <c r="F252" s="601" t="s">
        <v>319</v>
      </c>
      <c r="G252" s="601" t="s">
        <v>449</v>
      </c>
      <c r="H252" s="601" t="s">
        <v>325</v>
      </c>
      <c r="I252" s="601" t="s">
        <v>490</v>
      </c>
      <c r="J252" s="575"/>
      <c r="K252" s="575"/>
      <c r="L252" s="575"/>
      <c r="M252" s="575"/>
      <c r="N252" s="575"/>
      <c r="O252" s="575"/>
    </row>
    <row r="253" spans="1:15" x14ac:dyDescent="0.25">
      <c r="A253" s="601" t="s">
        <v>448</v>
      </c>
      <c r="B253" s="636">
        <v>1</v>
      </c>
      <c r="C253" s="601"/>
      <c r="D253" s="601" t="s">
        <v>319</v>
      </c>
      <c r="E253" s="601" t="s">
        <v>319</v>
      </c>
      <c r="F253" s="601" t="s">
        <v>319</v>
      </c>
      <c r="G253" s="601" t="s">
        <v>449</v>
      </c>
      <c r="H253" s="601" t="s">
        <v>325</v>
      </c>
      <c r="I253" s="601" t="s">
        <v>491</v>
      </c>
      <c r="J253" s="575"/>
      <c r="K253" s="575"/>
      <c r="L253" s="575"/>
      <c r="M253" s="575"/>
      <c r="N253" s="575"/>
      <c r="O253" s="575"/>
    </row>
    <row r="254" spans="1:15" x14ac:dyDescent="0.25">
      <c r="A254" s="601" t="s">
        <v>448</v>
      </c>
      <c r="B254" s="636">
        <v>1</v>
      </c>
      <c r="C254" s="601"/>
      <c r="D254" s="601" t="s">
        <v>319</v>
      </c>
      <c r="E254" s="601" t="s">
        <v>319</v>
      </c>
      <c r="F254" s="601" t="s">
        <v>319</v>
      </c>
      <c r="G254" s="601" t="s">
        <v>449</v>
      </c>
      <c r="H254" s="601" t="s">
        <v>325</v>
      </c>
      <c r="I254" s="601" t="s">
        <v>492</v>
      </c>
      <c r="J254" s="575"/>
      <c r="K254" s="575"/>
      <c r="L254" s="575"/>
      <c r="M254" s="575"/>
      <c r="N254" s="575"/>
      <c r="O254" s="575"/>
    </row>
    <row r="255" spans="1:15" x14ac:dyDescent="0.25">
      <c r="A255" s="601" t="s">
        <v>448</v>
      </c>
      <c r="B255" s="636">
        <v>1</v>
      </c>
      <c r="C255" s="601"/>
      <c r="D255" s="601" t="s">
        <v>319</v>
      </c>
      <c r="E255" s="601" t="s">
        <v>319</v>
      </c>
      <c r="F255" s="601" t="s">
        <v>319</v>
      </c>
      <c r="G255" s="601" t="s">
        <v>449</v>
      </c>
      <c r="H255" s="601" t="s">
        <v>325</v>
      </c>
      <c r="I255" s="601" t="s">
        <v>493</v>
      </c>
      <c r="J255" s="575"/>
      <c r="K255" s="575"/>
      <c r="L255" s="575"/>
      <c r="M255" s="575"/>
      <c r="N255" s="575"/>
      <c r="O255" s="575"/>
    </row>
    <row r="256" spans="1:15" x14ac:dyDescent="0.25">
      <c r="A256" s="601" t="s">
        <v>448</v>
      </c>
      <c r="B256" s="636">
        <v>1</v>
      </c>
      <c r="C256" s="601"/>
      <c r="D256" s="601" t="s">
        <v>319</v>
      </c>
      <c r="E256" s="601" t="s">
        <v>319</v>
      </c>
      <c r="F256" s="601" t="s">
        <v>319</v>
      </c>
      <c r="G256" s="601" t="s">
        <v>449</v>
      </c>
      <c r="H256" s="601" t="s">
        <v>325</v>
      </c>
      <c r="I256" s="601" t="s">
        <v>494</v>
      </c>
      <c r="J256" s="575"/>
      <c r="K256" s="575"/>
      <c r="L256" s="575"/>
      <c r="M256" s="575"/>
      <c r="N256" s="575"/>
      <c r="O256" s="575"/>
    </row>
    <row r="257" spans="1:15" x14ac:dyDescent="0.25">
      <c r="A257" s="601" t="s">
        <v>448</v>
      </c>
      <c r="B257" s="636">
        <v>1</v>
      </c>
      <c r="C257" s="601"/>
      <c r="D257" s="601" t="s">
        <v>319</v>
      </c>
      <c r="E257" s="601" t="s">
        <v>319</v>
      </c>
      <c r="F257" s="601" t="s">
        <v>319</v>
      </c>
      <c r="G257" s="601" t="s">
        <v>449</v>
      </c>
      <c r="H257" s="601" t="s">
        <v>325</v>
      </c>
      <c r="I257" s="601" t="s">
        <v>495</v>
      </c>
      <c r="J257" s="575"/>
      <c r="K257" s="575"/>
      <c r="L257" s="575"/>
      <c r="M257" s="575"/>
      <c r="N257" s="575"/>
      <c r="O257" s="575"/>
    </row>
    <row r="258" spans="1:15" x14ac:dyDescent="0.25">
      <c r="A258" s="601" t="s">
        <v>448</v>
      </c>
      <c r="B258" s="636">
        <v>1</v>
      </c>
      <c r="C258" s="601"/>
      <c r="D258" s="601" t="s">
        <v>319</v>
      </c>
      <c r="E258" s="601" t="s">
        <v>319</v>
      </c>
      <c r="F258" s="601" t="s">
        <v>319</v>
      </c>
      <c r="G258" s="601" t="s">
        <v>449</v>
      </c>
      <c r="H258" s="601" t="s">
        <v>325</v>
      </c>
      <c r="I258" s="601" t="s">
        <v>496</v>
      </c>
      <c r="J258" s="575"/>
      <c r="K258" s="575"/>
      <c r="L258" s="575"/>
      <c r="M258" s="575"/>
      <c r="N258" s="575"/>
      <c r="O258" s="575"/>
    </row>
    <row r="259" spans="1:15" x14ac:dyDescent="0.25">
      <c r="A259" s="601" t="s">
        <v>448</v>
      </c>
      <c r="B259" s="636">
        <v>1</v>
      </c>
      <c r="C259" s="601"/>
      <c r="D259" s="601" t="s">
        <v>319</v>
      </c>
      <c r="E259" s="601" t="s">
        <v>319</v>
      </c>
      <c r="F259" s="601" t="s">
        <v>319</v>
      </c>
      <c r="G259" s="601" t="s">
        <v>449</v>
      </c>
      <c r="H259" s="601" t="s">
        <v>325</v>
      </c>
      <c r="I259" s="601" t="s">
        <v>497</v>
      </c>
      <c r="J259" s="575"/>
      <c r="K259" s="575"/>
      <c r="L259" s="575"/>
      <c r="M259" s="575"/>
      <c r="N259" s="575"/>
      <c r="O259" s="575"/>
    </row>
    <row r="260" spans="1:15" x14ac:dyDescent="0.25">
      <c r="A260" s="601" t="s">
        <v>448</v>
      </c>
      <c r="B260" s="636">
        <v>1</v>
      </c>
      <c r="C260" s="601"/>
      <c r="D260" s="601" t="s">
        <v>319</v>
      </c>
      <c r="E260" s="601" t="s">
        <v>319</v>
      </c>
      <c r="F260" s="601" t="s">
        <v>319</v>
      </c>
      <c r="G260" s="601" t="s">
        <v>449</v>
      </c>
      <c r="H260" s="601" t="s">
        <v>325</v>
      </c>
      <c r="I260" s="601" t="s">
        <v>498</v>
      </c>
      <c r="J260" s="575"/>
      <c r="K260" s="575"/>
      <c r="L260" s="575"/>
      <c r="M260" s="575"/>
      <c r="N260" s="575"/>
      <c r="O260" s="575"/>
    </row>
    <row r="261" spans="1:15" x14ac:dyDescent="0.25">
      <c r="A261" s="601" t="s">
        <v>448</v>
      </c>
      <c r="B261" s="636">
        <v>1</v>
      </c>
      <c r="C261" s="601"/>
      <c r="D261" s="601" t="s">
        <v>319</v>
      </c>
      <c r="E261" s="601" t="s">
        <v>319</v>
      </c>
      <c r="F261" s="601" t="s">
        <v>319</v>
      </c>
      <c r="G261" s="601" t="s">
        <v>449</v>
      </c>
      <c r="H261" s="601" t="s">
        <v>325</v>
      </c>
      <c r="I261" s="601" t="s">
        <v>499</v>
      </c>
      <c r="J261" s="575"/>
      <c r="K261" s="575"/>
      <c r="L261" s="575"/>
      <c r="M261" s="575"/>
      <c r="N261" s="575"/>
      <c r="O261" s="575"/>
    </row>
    <row r="262" spans="1:15" x14ac:dyDescent="0.25">
      <c r="A262" s="601" t="s">
        <v>448</v>
      </c>
      <c r="B262" s="636">
        <v>1</v>
      </c>
      <c r="C262" s="601"/>
      <c r="D262" s="601" t="s">
        <v>319</v>
      </c>
      <c r="E262" s="601" t="s">
        <v>319</v>
      </c>
      <c r="F262" s="601" t="s">
        <v>319</v>
      </c>
      <c r="G262" s="601" t="s">
        <v>449</v>
      </c>
      <c r="H262" s="601" t="s">
        <v>325</v>
      </c>
      <c r="I262" s="601" t="s">
        <v>500</v>
      </c>
      <c r="J262" s="575"/>
      <c r="K262" s="575"/>
      <c r="L262" s="575"/>
      <c r="M262" s="575"/>
      <c r="N262" s="575"/>
      <c r="O262" s="575"/>
    </row>
    <row r="263" spans="1:15" x14ac:dyDescent="0.25">
      <c r="A263" s="601" t="s">
        <v>448</v>
      </c>
      <c r="B263" s="636">
        <v>1</v>
      </c>
      <c r="C263" s="601"/>
      <c r="D263" s="601" t="s">
        <v>319</v>
      </c>
      <c r="E263" s="601" t="s">
        <v>319</v>
      </c>
      <c r="F263" s="601" t="s">
        <v>319</v>
      </c>
      <c r="G263" s="601" t="s">
        <v>449</v>
      </c>
      <c r="H263" s="601" t="s">
        <v>325</v>
      </c>
      <c r="I263" s="601" t="s">
        <v>501</v>
      </c>
      <c r="J263" s="575"/>
      <c r="K263" s="575"/>
      <c r="L263" s="575"/>
      <c r="M263" s="575"/>
      <c r="N263" s="575"/>
      <c r="O263" s="575"/>
    </row>
    <row r="264" spans="1:15" x14ac:dyDescent="0.25">
      <c r="A264" s="601" t="s">
        <v>448</v>
      </c>
      <c r="B264" s="636">
        <v>1</v>
      </c>
      <c r="C264" s="601"/>
      <c r="D264" s="601" t="s">
        <v>319</v>
      </c>
      <c r="E264" s="601" t="s">
        <v>319</v>
      </c>
      <c r="F264" s="601" t="s">
        <v>319</v>
      </c>
      <c r="G264" s="601" t="s">
        <v>449</v>
      </c>
      <c r="H264" s="601" t="s">
        <v>325</v>
      </c>
      <c r="I264" s="601" t="s">
        <v>502</v>
      </c>
      <c r="J264" s="575"/>
      <c r="K264" s="575"/>
      <c r="L264" s="575"/>
      <c r="M264" s="575"/>
      <c r="N264" s="575"/>
      <c r="O264" s="575"/>
    </row>
    <row r="265" spans="1:15" x14ac:dyDescent="0.25">
      <c r="A265" s="601" t="s">
        <v>448</v>
      </c>
      <c r="B265" s="636">
        <v>1</v>
      </c>
      <c r="C265" s="601"/>
      <c r="D265" s="601" t="s">
        <v>319</v>
      </c>
      <c r="E265" s="601" t="s">
        <v>319</v>
      </c>
      <c r="F265" s="601" t="s">
        <v>319</v>
      </c>
      <c r="G265" s="601" t="s">
        <v>449</v>
      </c>
      <c r="H265" s="601" t="s">
        <v>325</v>
      </c>
      <c r="I265" s="601" t="s">
        <v>503</v>
      </c>
      <c r="J265" s="575"/>
      <c r="K265" s="575"/>
      <c r="L265" s="575"/>
      <c r="M265" s="575"/>
      <c r="N265" s="575"/>
      <c r="O265" s="575"/>
    </row>
    <row r="266" spans="1:15" x14ac:dyDescent="0.25">
      <c r="A266" s="601" t="s">
        <v>448</v>
      </c>
      <c r="B266" s="636">
        <v>1</v>
      </c>
      <c r="C266" s="601"/>
      <c r="D266" s="601" t="s">
        <v>319</v>
      </c>
      <c r="E266" s="601" t="s">
        <v>319</v>
      </c>
      <c r="F266" s="601" t="s">
        <v>319</v>
      </c>
      <c r="G266" s="601" t="s">
        <v>449</v>
      </c>
      <c r="H266" s="601" t="s">
        <v>325</v>
      </c>
      <c r="I266" s="601" t="s">
        <v>504</v>
      </c>
      <c r="J266" s="575"/>
      <c r="K266" s="575"/>
      <c r="L266" s="575"/>
      <c r="M266" s="575"/>
      <c r="N266" s="575"/>
      <c r="O266" s="575"/>
    </row>
    <row r="267" spans="1:15" x14ac:dyDescent="0.25">
      <c r="A267" s="601" t="s">
        <v>505</v>
      </c>
      <c r="B267" s="602">
        <v>1</v>
      </c>
      <c r="C267" s="601"/>
      <c r="D267" s="601" t="s">
        <v>319</v>
      </c>
      <c r="E267" s="601" t="s">
        <v>319</v>
      </c>
      <c r="F267" s="601" t="s">
        <v>319</v>
      </c>
      <c r="G267" s="601" t="s">
        <v>505</v>
      </c>
      <c r="H267" s="601" t="s">
        <v>322</v>
      </c>
      <c r="I267" s="601" t="s">
        <v>506</v>
      </c>
      <c r="J267" s="575"/>
      <c r="K267" s="575"/>
      <c r="L267" s="575"/>
      <c r="M267" s="575"/>
      <c r="N267" s="575"/>
      <c r="O267" s="575"/>
    </row>
    <row r="268" spans="1:15" x14ac:dyDescent="0.25">
      <c r="A268" s="601" t="s">
        <v>505</v>
      </c>
      <c r="B268" s="602">
        <v>1</v>
      </c>
      <c r="C268" s="601"/>
      <c r="D268" s="601" t="s">
        <v>319</v>
      </c>
      <c r="E268" s="601" t="s">
        <v>319</v>
      </c>
      <c r="F268" s="601" t="s">
        <v>319</v>
      </c>
      <c r="G268" s="601" t="s">
        <v>505</v>
      </c>
      <c r="H268" s="601" t="s">
        <v>322</v>
      </c>
      <c r="I268" s="601" t="s">
        <v>507</v>
      </c>
      <c r="J268" s="575"/>
      <c r="K268" s="575"/>
      <c r="L268" s="575"/>
      <c r="M268" s="575"/>
      <c r="N268" s="575"/>
      <c r="O268" s="575"/>
    </row>
    <row r="269" spans="1:15" x14ac:dyDescent="0.25">
      <c r="A269" s="601" t="s">
        <v>505</v>
      </c>
      <c r="B269" s="602">
        <v>1</v>
      </c>
      <c r="C269" s="601"/>
      <c r="D269" s="601" t="s">
        <v>319</v>
      </c>
      <c r="E269" s="601" t="s">
        <v>319</v>
      </c>
      <c r="F269" s="601" t="s">
        <v>319</v>
      </c>
      <c r="G269" s="601" t="s">
        <v>505</v>
      </c>
      <c r="H269" s="601" t="s">
        <v>322</v>
      </c>
      <c r="I269" s="601" t="s">
        <v>508</v>
      </c>
      <c r="J269" s="575"/>
      <c r="K269" s="575"/>
      <c r="L269" s="575"/>
      <c r="M269" s="575"/>
      <c r="N269" s="575"/>
      <c r="O269" s="575"/>
    </row>
    <row r="270" spans="1:15" x14ac:dyDescent="0.25">
      <c r="A270" s="601" t="s">
        <v>505</v>
      </c>
      <c r="B270" s="602">
        <v>1.2</v>
      </c>
      <c r="C270" s="601"/>
      <c r="D270" s="601" t="s">
        <v>319</v>
      </c>
      <c r="E270" s="601" t="s">
        <v>319</v>
      </c>
      <c r="F270" s="601" t="s">
        <v>319</v>
      </c>
      <c r="G270" s="601" t="s">
        <v>505</v>
      </c>
      <c r="H270" s="601" t="s">
        <v>322</v>
      </c>
      <c r="I270" s="601" t="s">
        <v>509</v>
      </c>
      <c r="J270" s="575"/>
      <c r="K270" s="575"/>
      <c r="L270" s="575"/>
      <c r="M270" s="575"/>
      <c r="N270" s="575"/>
      <c r="O270" s="575"/>
    </row>
    <row r="271" spans="1:15" x14ac:dyDescent="0.25">
      <c r="A271" s="634" t="s">
        <v>510</v>
      </c>
      <c r="B271" s="635">
        <v>1</v>
      </c>
      <c r="C271" s="634"/>
      <c r="D271" s="634" t="s">
        <v>319</v>
      </c>
      <c r="E271" s="634" t="s">
        <v>319</v>
      </c>
      <c r="F271" s="634" t="s">
        <v>319</v>
      </c>
      <c r="G271" s="634" t="s">
        <v>511</v>
      </c>
      <c r="H271" s="634" t="s">
        <v>322</v>
      </c>
      <c r="I271" s="634" t="s">
        <v>512</v>
      </c>
      <c r="J271" s="576"/>
      <c r="K271" s="576"/>
      <c r="L271" s="576"/>
      <c r="M271" s="576"/>
      <c r="N271" s="576"/>
      <c r="O271" s="576"/>
    </row>
    <row r="272" spans="1:15" x14ac:dyDescent="0.25">
      <c r="A272" s="634" t="s">
        <v>510</v>
      </c>
      <c r="B272" s="635">
        <v>1</v>
      </c>
      <c r="C272" s="634"/>
      <c r="D272" s="634" t="s">
        <v>319</v>
      </c>
      <c r="E272" s="634" t="s">
        <v>319</v>
      </c>
      <c r="F272" s="634" t="s">
        <v>319</v>
      </c>
      <c r="G272" s="634" t="s">
        <v>511</v>
      </c>
      <c r="H272" s="634" t="s">
        <v>322</v>
      </c>
      <c r="I272" s="634" t="s">
        <v>513</v>
      </c>
      <c r="J272" s="576"/>
      <c r="K272" s="576"/>
      <c r="L272" s="576"/>
      <c r="M272" s="576"/>
      <c r="N272" s="576"/>
      <c r="O272" s="576"/>
    </row>
    <row r="273" spans="1:15" x14ac:dyDescent="0.25">
      <c r="A273" s="634" t="s">
        <v>510</v>
      </c>
      <c r="B273" s="635">
        <v>1</v>
      </c>
      <c r="C273" s="634"/>
      <c r="D273" s="634" t="s">
        <v>319</v>
      </c>
      <c r="E273" s="634" t="s">
        <v>319</v>
      </c>
      <c r="F273" s="634" t="s">
        <v>319</v>
      </c>
      <c r="G273" s="634" t="s">
        <v>511</v>
      </c>
      <c r="H273" s="634" t="s">
        <v>322</v>
      </c>
      <c r="I273" s="634" t="s">
        <v>514</v>
      </c>
      <c r="J273" s="576"/>
      <c r="K273" s="576"/>
      <c r="L273" s="576"/>
      <c r="M273" s="576"/>
      <c r="N273" s="576"/>
      <c r="O273" s="576"/>
    </row>
    <row r="274" spans="1:15" x14ac:dyDescent="0.25">
      <c r="A274" s="634" t="s">
        <v>510</v>
      </c>
      <c r="B274" s="635">
        <v>1.1000000000000001</v>
      </c>
      <c r="C274" s="634"/>
      <c r="D274" s="634" t="s">
        <v>319</v>
      </c>
      <c r="E274" s="634" t="s">
        <v>319</v>
      </c>
      <c r="F274" s="634" t="s">
        <v>319</v>
      </c>
      <c r="G274" s="634" t="s">
        <v>511</v>
      </c>
      <c r="H274" s="634" t="s">
        <v>322</v>
      </c>
      <c r="I274" s="634" t="s">
        <v>515</v>
      </c>
      <c r="J274" s="576"/>
      <c r="K274" s="576"/>
      <c r="L274" s="576"/>
      <c r="M274" s="576"/>
      <c r="N274" s="576"/>
      <c r="O274" s="576"/>
    </row>
    <row r="275" spans="1:15" x14ac:dyDescent="0.25">
      <c r="A275" s="634" t="s">
        <v>510</v>
      </c>
      <c r="B275" s="635">
        <v>1.2</v>
      </c>
      <c r="C275" s="634"/>
      <c r="D275" s="634" t="s">
        <v>319</v>
      </c>
      <c r="E275" s="634" t="s">
        <v>319</v>
      </c>
      <c r="F275" s="634" t="s">
        <v>319</v>
      </c>
      <c r="G275" s="634" t="s">
        <v>511</v>
      </c>
      <c r="H275" s="634" t="s">
        <v>322</v>
      </c>
      <c r="I275" s="634" t="s">
        <v>516</v>
      </c>
      <c r="J275" s="576"/>
      <c r="K275" s="576"/>
      <c r="L275" s="576"/>
      <c r="M275" s="576"/>
      <c r="N275" s="576"/>
      <c r="O275" s="576"/>
    </row>
    <row r="276" spans="1:15" x14ac:dyDescent="0.25">
      <c r="A276" s="634" t="s">
        <v>510</v>
      </c>
      <c r="B276" s="635">
        <v>1</v>
      </c>
      <c r="C276" s="634"/>
      <c r="D276" s="634" t="s">
        <v>319</v>
      </c>
      <c r="E276" s="634" t="s">
        <v>319</v>
      </c>
      <c r="F276" s="634" t="s">
        <v>319</v>
      </c>
      <c r="G276" s="634" t="s">
        <v>511</v>
      </c>
      <c r="H276" s="634" t="s">
        <v>322</v>
      </c>
      <c r="I276" s="634" t="s">
        <v>517</v>
      </c>
      <c r="J276" s="576"/>
      <c r="K276" s="576"/>
      <c r="L276" s="576"/>
      <c r="M276" s="576"/>
      <c r="N276" s="576"/>
      <c r="O276" s="576"/>
    </row>
    <row r="277" spans="1:15" x14ac:dyDescent="0.25">
      <c r="A277" s="631" t="s">
        <v>191</v>
      </c>
      <c r="B277" s="632">
        <v>1</v>
      </c>
      <c r="C277" s="633"/>
      <c r="D277" s="631" t="s">
        <v>319</v>
      </c>
      <c r="E277" s="631" t="s">
        <v>319</v>
      </c>
      <c r="F277" s="631" t="s">
        <v>319</v>
      </c>
      <c r="G277" s="631" t="s">
        <v>321</v>
      </c>
      <c r="H277" s="631" t="s">
        <v>322</v>
      </c>
      <c r="I277" s="631" t="s">
        <v>518</v>
      </c>
      <c r="J277" s="577"/>
      <c r="K277" s="577"/>
      <c r="L277" s="577"/>
      <c r="M277" s="577"/>
      <c r="N277" s="577"/>
      <c r="O277" s="577"/>
    </row>
    <row r="278" spans="1:15" x14ac:dyDescent="0.25">
      <c r="A278" s="631" t="s">
        <v>191</v>
      </c>
      <c r="B278" s="632">
        <v>1</v>
      </c>
      <c r="C278" s="633"/>
      <c r="D278" s="631" t="s">
        <v>319</v>
      </c>
      <c r="E278" s="631" t="s">
        <v>319</v>
      </c>
      <c r="F278" s="631" t="s">
        <v>319</v>
      </c>
      <c r="G278" s="631" t="s">
        <v>321</v>
      </c>
      <c r="H278" s="631" t="s">
        <v>322</v>
      </c>
      <c r="I278" s="631" t="s">
        <v>519</v>
      </c>
      <c r="J278" s="577"/>
      <c r="K278" s="577"/>
      <c r="L278" s="577"/>
      <c r="M278" s="577"/>
      <c r="N278" s="577"/>
      <c r="O278" s="577"/>
    </row>
    <row r="279" spans="1:15" x14ac:dyDescent="0.25">
      <c r="A279" s="631" t="s">
        <v>191</v>
      </c>
      <c r="B279" s="632">
        <v>1</v>
      </c>
      <c r="C279" s="633"/>
      <c r="D279" s="631" t="s">
        <v>319</v>
      </c>
      <c r="E279" s="631" t="s">
        <v>319</v>
      </c>
      <c r="F279" s="631" t="s">
        <v>319</v>
      </c>
      <c r="G279" s="631" t="s">
        <v>321</v>
      </c>
      <c r="H279" s="631" t="s">
        <v>322</v>
      </c>
      <c r="I279" s="631" t="s">
        <v>520</v>
      </c>
      <c r="J279" s="577"/>
      <c r="K279" s="577"/>
      <c r="L279" s="577"/>
      <c r="M279" s="577"/>
      <c r="N279" s="577"/>
      <c r="O279" s="577"/>
    </row>
    <row r="280" spans="1:15" s="399" customFormat="1" x14ac:dyDescent="0.25">
      <c r="A280" s="631" t="s">
        <v>191</v>
      </c>
      <c r="B280" s="632">
        <v>1</v>
      </c>
      <c r="C280" s="633"/>
      <c r="D280" s="631" t="s">
        <v>319</v>
      </c>
      <c r="E280" s="631" t="s">
        <v>319</v>
      </c>
      <c r="F280" s="631" t="s">
        <v>319</v>
      </c>
      <c r="G280" s="631" t="s">
        <v>321</v>
      </c>
      <c r="H280" s="631" t="s">
        <v>322</v>
      </c>
      <c r="I280" s="631" t="s">
        <v>521</v>
      </c>
      <c r="J280" s="577"/>
      <c r="K280" s="577"/>
      <c r="L280" s="577"/>
      <c r="M280" s="577"/>
      <c r="N280" s="577"/>
      <c r="O280" s="577"/>
    </row>
    <row r="281" spans="1:15" x14ac:dyDescent="0.25">
      <c r="A281" s="631" t="s">
        <v>191</v>
      </c>
      <c r="B281" s="632">
        <v>1.1499999999999999</v>
      </c>
      <c r="C281" s="633"/>
      <c r="D281" s="631" t="s">
        <v>319</v>
      </c>
      <c r="E281" s="631" t="s">
        <v>319</v>
      </c>
      <c r="F281" s="631" t="s">
        <v>319</v>
      </c>
      <c r="G281" s="631" t="s">
        <v>321</v>
      </c>
      <c r="H281" s="631" t="s">
        <v>322</v>
      </c>
      <c r="I281" s="631" t="s">
        <v>522</v>
      </c>
      <c r="J281" s="577"/>
      <c r="K281" s="577"/>
      <c r="L281" s="577"/>
      <c r="M281" s="577"/>
      <c r="N281" s="577"/>
      <c r="O281" s="577"/>
    </row>
  </sheetData>
  <autoFilter ref="A1:O281" xr:uid="{3D5A6070-CDC7-4293-AF01-6D0838640189}"/>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2C950-0B64-419F-B2C7-C231729F51CB}">
  <sheetPr filterMode="1">
    <tabColor rgb="FFFFFF00"/>
  </sheetPr>
  <dimension ref="A1:O282"/>
  <sheetViews>
    <sheetView workbookViewId="0">
      <pane ySplit="1" topLeftCell="A278" activePane="bottomLeft" state="frozen"/>
      <selection activeCell="P38" sqref="P38"/>
      <selection pane="bottomLeft" activeCell="I296" sqref="A1:O282"/>
    </sheetView>
  </sheetViews>
  <sheetFormatPr defaultColWidth="9.1796875" defaultRowHeight="10.5" x14ac:dyDescent="0.25"/>
  <cols>
    <col min="1" max="1" width="15.54296875" style="570" bestFit="1" customWidth="1"/>
    <col min="2" max="2" width="10.7265625" style="573" bestFit="1" customWidth="1"/>
    <col min="3" max="3" width="3.26953125" style="570" customWidth="1"/>
    <col min="4" max="4" width="5.1796875" style="570" customWidth="1"/>
    <col min="5" max="6" width="5.269531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hidden="1"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hidden="1"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hidden="1"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hidden="1"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hidden="1"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hidden="1"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hidden="1"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hidden="1"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hidden="1"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hidden="1"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hidden="1"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hidden="1"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hidden="1"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hidden="1"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hidden="1"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hidden="1"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hidden="1"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hidden="1"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hidden="1"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hidden="1"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hidden="1"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hidden="1"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hidden="1"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hidden="1" x14ac:dyDescent="0.25">
      <c r="A25" s="601" t="s">
        <v>327</v>
      </c>
      <c r="B25" s="602">
        <v>0.65</v>
      </c>
      <c r="C25" s="601"/>
      <c r="D25" s="601" t="s">
        <v>319</v>
      </c>
      <c r="E25" s="601" t="s">
        <v>319</v>
      </c>
      <c r="F25" s="601" t="s">
        <v>319</v>
      </c>
      <c r="G25" s="601" t="s">
        <v>327</v>
      </c>
      <c r="H25" s="601" t="s">
        <v>322</v>
      </c>
      <c r="I25" s="603">
        <v>15000</v>
      </c>
      <c r="J25" s="577"/>
      <c r="K25" s="577"/>
      <c r="L25" s="577"/>
      <c r="M25" s="577"/>
      <c r="N25" s="577"/>
      <c r="O25" s="577"/>
    </row>
    <row r="26" spans="1:15" hidden="1" x14ac:dyDescent="0.25">
      <c r="A26" s="601" t="s">
        <v>327</v>
      </c>
      <c r="B26" s="602">
        <v>0.71</v>
      </c>
      <c r="C26" s="601"/>
      <c r="D26" s="601" t="s">
        <v>319</v>
      </c>
      <c r="E26" s="601" t="s">
        <v>319</v>
      </c>
      <c r="F26" s="601" t="s">
        <v>319</v>
      </c>
      <c r="G26" s="601" t="s">
        <v>327</v>
      </c>
      <c r="H26" s="601" t="s">
        <v>322</v>
      </c>
      <c r="I26" s="603">
        <v>25000</v>
      </c>
      <c r="J26" s="577"/>
      <c r="K26" s="577"/>
      <c r="L26" s="577"/>
      <c r="M26" s="577"/>
      <c r="N26" s="577"/>
      <c r="O26" s="577"/>
    </row>
    <row r="27" spans="1:15" hidden="1" x14ac:dyDescent="0.25">
      <c r="A27" s="601" t="s">
        <v>327</v>
      </c>
      <c r="B27" s="602">
        <v>0.84</v>
      </c>
      <c r="C27" s="601"/>
      <c r="D27" s="601" t="s">
        <v>319</v>
      </c>
      <c r="E27" s="601" t="s">
        <v>319</v>
      </c>
      <c r="F27" s="601" t="s">
        <v>319</v>
      </c>
      <c r="G27" s="601" t="s">
        <v>327</v>
      </c>
      <c r="H27" s="601" t="s">
        <v>322</v>
      </c>
      <c r="I27" s="603">
        <v>50000</v>
      </c>
      <c r="J27" s="577"/>
      <c r="K27" s="577"/>
      <c r="L27" s="577"/>
      <c r="M27" s="577"/>
      <c r="N27" s="577"/>
      <c r="O27" s="577"/>
    </row>
    <row r="28" spans="1:15" hidden="1" x14ac:dyDescent="0.25">
      <c r="A28" s="601" t="s">
        <v>327</v>
      </c>
      <c r="B28" s="602">
        <v>1</v>
      </c>
      <c r="C28" s="601"/>
      <c r="D28" s="601" t="s">
        <v>319</v>
      </c>
      <c r="E28" s="601" t="s">
        <v>319</v>
      </c>
      <c r="F28" s="601" t="s">
        <v>319</v>
      </c>
      <c r="G28" s="601" t="s">
        <v>327</v>
      </c>
      <c r="H28" s="601" t="s">
        <v>322</v>
      </c>
      <c r="I28" s="603">
        <v>100000</v>
      </c>
      <c r="J28" s="577"/>
      <c r="K28" s="577"/>
      <c r="L28" s="577"/>
      <c r="M28" s="577"/>
      <c r="N28" s="577"/>
      <c r="O28" s="577"/>
    </row>
    <row r="29" spans="1:15" hidden="1" x14ac:dyDescent="0.25">
      <c r="A29" s="601" t="s">
        <v>327</v>
      </c>
      <c r="B29" s="602">
        <v>1.4</v>
      </c>
      <c r="C29" s="601"/>
      <c r="D29" s="601" t="s">
        <v>319</v>
      </c>
      <c r="E29" s="601" t="s">
        <v>319</v>
      </c>
      <c r="F29" s="601" t="s">
        <v>319</v>
      </c>
      <c r="G29" s="601" t="s">
        <v>327</v>
      </c>
      <c r="H29" s="601" t="s">
        <v>322</v>
      </c>
      <c r="I29" s="603">
        <v>250000</v>
      </c>
      <c r="J29" s="577"/>
      <c r="K29" s="577"/>
      <c r="L29" s="577"/>
      <c r="M29" s="577"/>
      <c r="N29" s="577"/>
      <c r="O29" s="577"/>
    </row>
    <row r="30" spans="1:15" hidden="1" x14ac:dyDescent="0.25">
      <c r="A30" s="601" t="s">
        <v>327</v>
      </c>
      <c r="B30" s="602">
        <v>1.53</v>
      </c>
      <c r="C30" s="601"/>
      <c r="D30" s="601" t="s">
        <v>319</v>
      </c>
      <c r="E30" s="601" t="s">
        <v>319</v>
      </c>
      <c r="F30" s="601" t="s">
        <v>319</v>
      </c>
      <c r="G30" s="601" t="s">
        <v>327</v>
      </c>
      <c r="H30" s="601" t="s">
        <v>322</v>
      </c>
      <c r="I30" s="603">
        <v>300000</v>
      </c>
      <c r="J30" s="577"/>
      <c r="K30" s="577"/>
      <c r="L30" s="577"/>
      <c r="M30" s="577"/>
      <c r="N30" s="577"/>
      <c r="O30" s="577"/>
    </row>
    <row r="31" spans="1:15" hidden="1" x14ac:dyDescent="0.25">
      <c r="A31" s="601" t="s">
        <v>327</v>
      </c>
      <c r="B31" s="602">
        <v>1.95</v>
      </c>
      <c r="C31" s="601"/>
      <c r="D31" s="601" t="s">
        <v>319</v>
      </c>
      <c r="E31" s="601" t="s">
        <v>319</v>
      </c>
      <c r="F31" s="601" t="s">
        <v>319</v>
      </c>
      <c r="G31" s="601" t="s">
        <v>327</v>
      </c>
      <c r="H31" s="601" t="s">
        <v>322</v>
      </c>
      <c r="I31" s="603">
        <v>500000</v>
      </c>
      <c r="J31" s="577"/>
      <c r="K31" s="577"/>
      <c r="L31" s="577"/>
      <c r="M31" s="577"/>
      <c r="N31" s="577"/>
      <c r="O31" s="577"/>
    </row>
    <row r="32" spans="1:15" hidden="1" x14ac:dyDescent="0.25">
      <c r="A32" s="630" t="s">
        <v>336</v>
      </c>
      <c r="B32" s="629">
        <v>1.02</v>
      </c>
      <c r="C32" s="630"/>
      <c r="D32" s="630" t="s">
        <v>319</v>
      </c>
      <c r="E32" s="630" t="s">
        <v>319</v>
      </c>
      <c r="F32" s="630" t="s">
        <v>319</v>
      </c>
      <c r="G32" s="630" t="s">
        <v>324</v>
      </c>
      <c r="H32" s="601" t="s">
        <v>325</v>
      </c>
      <c r="I32" s="601" t="s">
        <v>337</v>
      </c>
      <c r="J32" s="630" t="s">
        <v>338</v>
      </c>
      <c r="K32" s="630" t="s">
        <v>339</v>
      </c>
      <c r="L32" s="630" t="s">
        <v>320</v>
      </c>
      <c r="M32" s="630" t="s">
        <v>321</v>
      </c>
      <c r="N32" s="630" t="s">
        <v>340</v>
      </c>
      <c r="O32" s="630" t="s">
        <v>341</v>
      </c>
    </row>
    <row r="33" spans="1:15" hidden="1" x14ac:dyDescent="0.25">
      <c r="A33" s="630" t="s">
        <v>336</v>
      </c>
      <c r="B33" s="629">
        <v>1.02</v>
      </c>
      <c r="C33" s="630"/>
      <c r="D33" s="630" t="s">
        <v>319</v>
      </c>
      <c r="E33" s="630" t="s">
        <v>319</v>
      </c>
      <c r="F33" s="630" t="s">
        <v>319</v>
      </c>
      <c r="G33" s="630" t="s">
        <v>324</v>
      </c>
      <c r="H33" s="601" t="s">
        <v>325</v>
      </c>
      <c r="I33" s="601" t="s">
        <v>342</v>
      </c>
      <c r="J33" s="630" t="s">
        <v>338</v>
      </c>
      <c r="K33" s="630" t="s">
        <v>339</v>
      </c>
      <c r="L33" s="630" t="s">
        <v>320</v>
      </c>
      <c r="M33" s="630" t="s">
        <v>321</v>
      </c>
      <c r="N33" s="630" t="s">
        <v>340</v>
      </c>
      <c r="O33" s="630" t="s">
        <v>341</v>
      </c>
    </row>
    <row r="34" spans="1:15" hidden="1" x14ac:dyDescent="0.25">
      <c r="A34" s="630" t="s">
        <v>336</v>
      </c>
      <c r="B34" s="629">
        <v>1.02</v>
      </c>
      <c r="C34" s="630"/>
      <c r="D34" s="630" t="s">
        <v>319</v>
      </c>
      <c r="E34" s="630" t="s">
        <v>319</v>
      </c>
      <c r="F34" s="630" t="s">
        <v>319</v>
      </c>
      <c r="G34" s="630" t="s">
        <v>324</v>
      </c>
      <c r="H34" s="601" t="s">
        <v>325</v>
      </c>
      <c r="I34" s="601" t="s">
        <v>343</v>
      </c>
      <c r="J34" s="630" t="s">
        <v>338</v>
      </c>
      <c r="K34" s="630" t="s">
        <v>339</v>
      </c>
      <c r="L34" s="630" t="s">
        <v>320</v>
      </c>
      <c r="M34" s="630" t="s">
        <v>321</v>
      </c>
      <c r="N34" s="630" t="s">
        <v>340</v>
      </c>
      <c r="O34" s="630" t="s">
        <v>341</v>
      </c>
    </row>
    <row r="35" spans="1:15" hidden="1" x14ac:dyDescent="0.25">
      <c r="A35" s="630" t="s">
        <v>336</v>
      </c>
      <c r="B35" s="629">
        <v>1.02</v>
      </c>
      <c r="C35" s="630"/>
      <c r="D35" s="630" t="s">
        <v>319</v>
      </c>
      <c r="E35" s="630" t="s">
        <v>319</v>
      </c>
      <c r="F35" s="630" t="s">
        <v>319</v>
      </c>
      <c r="G35" s="630" t="s">
        <v>324</v>
      </c>
      <c r="H35" s="601" t="s">
        <v>325</v>
      </c>
      <c r="I35" s="601" t="s">
        <v>344</v>
      </c>
      <c r="J35" s="630" t="s">
        <v>338</v>
      </c>
      <c r="K35" s="630" t="s">
        <v>339</v>
      </c>
      <c r="L35" s="630" t="s">
        <v>320</v>
      </c>
      <c r="M35" s="630" t="s">
        <v>321</v>
      </c>
      <c r="N35" s="630" t="s">
        <v>340</v>
      </c>
      <c r="O35" s="630" t="s">
        <v>341</v>
      </c>
    </row>
    <row r="36" spans="1:15" hidden="1" x14ac:dyDescent="0.25">
      <c r="A36" s="630" t="s">
        <v>336</v>
      </c>
      <c r="B36" s="629">
        <v>1.02</v>
      </c>
      <c r="C36" s="630"/>
      <c r="D36" s="630" t="s">
        <v>319</v>
      </c>
      <c r="E36" s="630" t="s">
        <v>319</v>
      </c>
      <c r="F36" s="630" t="s">
        <v>319</v>
      </c>
      <c r="G36" s="630" t="s">
        <v>324</v>
      </c>
      <c r="H36" s="601" t="s">
        <v>325</v>
      </c>
      <c r="I36" s="601" t="s">
        <v>345</v>
      </c>
      <c r="J36" s="630" t="s">
        <v>338</v>
      </c>
      <c r="K36" s="630" t="s">
        <v>339</v>
      </c>
      <c r="L36" s="630" t="s">
        <v>320</v>
      </c>
      <c r="M36" s="630" t="s">
        <v>321</v>
      </c>
      <c r="N36" s="630" t="s">
        <v>340</v>
      </c>
      <c r="O36" s="630" t="s">
        <v>341</v>
      </c>
    </row>
    <row r="37" spans="1:15" hidden="1" x14ac:dyDescent="0.25">
      <c r="A37" s="630" t="s">
        <v>336</v>
      </c>
      <c r="B37" s="629">
        <v>1.08</v>
      </c>
      <c r="C37" s="630"/>
      <c r="D37" s="630" t="s">
        <v>319</v>
      </c>
      <c r="E37" s="630" t="s">
        <v>319</v>
      </c>
      <c r="F37" s="630" t="s">
        <v>319</v>
      </c>
      <c r="G37" s="630" t="s">
        <v>324</v>
      </c>
      <c r="H37" s="601" t="s">
        <v>325</v>
      </c>
      <c r="I37" s="601" t="s">
        <v>346</v>
      </c>
      <c r="J37" s="630" t="s">
        <v>338</v>
      </c>
      <c r="K37" s="630" t="s">
        <v>339</v>
      </c>
      <c r="L37" s="630" t="s">
        <v>320</v>
      </c>
      <c r="M37" s="630" t="s">
        <v>321</v>
      </c>
      <c r="N37" s="630" t="s">
        <v>340</v>
      </c>
      <c r="O37" s="630" t="s">
        <v>341</v>
      </c>
    </row>
    <row r="38" spans="1:15" hidden="1" x14ac:dyDescent="0.25">
      <c r="A38" s="630" t="s">
        <v>336</v>
      </c>
      <c r="B38" s="629">
        <v>1.08</v>
      </c>
      <c r="C38" s="630"/>
      <c r="D38" s="630" t="s">
        <v>319</v>
      </c>
      <c r="E38" s="630" t="s">
        <v>319</v>
      </c>
      <c r="F38" s="630" t="s">
        <v>319</v>
      </c>
      <c r="G38" s="630" t="s">
        <v>324</v>
      </c>
      <c r="H38" s="601" t="s">
        <v>325</v>
      </c>
      <c r="I38" s="601" t="s">
        <v>347</v>
      </c>
      <c r="J38" s="630" t="s">
        <v>338</v>
      </c>
      <c r="K38" s="630" t="s">
        <v>339</v>
      </c>
      <c r="L38" s="630" t="s">
        <v>320</v>
      </c>
      <c r="M38" s="630" t="s">
        <v>321</v>
      </c>
      <c r="N38" s="630" t="s">
        <v>340</v>
      </c>
      <c r="O38" s="630" t="s">
        <v>341</v>
      </c>
    </row>
    <row r="39" spans="1:15" hidden="1" x14ac:dyDescent="0.25">
      <c r="A39" s="630" t="s">
        <v>336</v>
      </c>
      <c r="B39" s="629">
        <v>1.08</v>
      </c>
      <c r="C39" s="630"/>
      <c r="D39" s="630" t="s">
        <v>319</v>
      </c>
      <c r="E39" s="630" t="s">
        <v>319</v>
      </c>
      <c r="F39" s="630" t="s">
        <v>319</v>
      </c>
      <c r="G39" s="630" t="s">
        <v>324</v>
      </c>
      <c r="H39" s="601" t="s">
        <v>325</v>
      </c>
      <c r="I39" s="601" t="s">
        <v>348</v>
      </c>
      <c r="J39" s="630" t="s">
        <v>338</v>
      </c>
      <c r="K39" s="630" t="s">
        <v>339</v>
      </c>
      <c r="L39" s="630" t="s">
        <v>320</v>
      </c>
      <c r="M39" s="630" t="s">
        <v>321</v>
      </c>
      <c r="N39" s="630" t="s">
        <v>340</v>
      </c>
      <c r="O39" s="630" t="s">
        <v>341</v>
      </c>
    </row>
    <row r="40" spans="1:15" hidden="1" x14ac:dyDescent="0.25">
      <c r="A40" s="630" t="s">
        <v>336</v>
      </c>
      <c r="B40" s="629">
        <v>1.08</v>
      </c>
      <c r="C40" s="630"/>
      <c r="D40" s="630" t="s">
        <v>319</v>
      </c>
      <c r="E40" s="630" t="s">
        <v>319</v>
      </c>
      <c r="F40" s="630" t="s">
        <v>319</v>
      </c>
      <c r="G40" s="630" t="s">
        <v>324</v>
      </c>
      <c r="H40" s="601" t="s">
        <v>325</v>
      </c>
      <c r="I40" s="601" t="s">
        <v>349</v>
      </c>
      <c r="J40" s="630" t="s">
        <v>338</v>
      </c>
      <c r="K40" s="630" t="s">
        <v>339</v>
      </c>
      <c r="L40" s="630" t="s">
        <v>320</v>
      </c>
      <c r="M40" s="630" t="s">
        <v>321</v>
      </c>
      <c r="N40" s="630" t="s">
        <v>340</v>
      </c>
      <c r="O40" s="630" t="s">
        <v>341</v>
      </c>
    </row>
    <row r="41" spans="1:15" hidden="1" x14ac:dyDescent="0.25">
      <c r="A41" s="630" t="s">
        <v>336</v>
      </c>
      <c r="B41" s="629">
        <v>1.08</v>
      </c>
      <c r="C41" s="630"/>
      <c r="D41" s="630" t="s">
        <v>319</v>
      </c>
      <c r="E41" s="630" t="s">
        <v>319</v>
      </c>
      <c r="F41" s="630" t="s">
        <v>319</v>
      </c>
      <c r="G41" s="630" t="s">
        <v>324</v>
      </c>
      <c r="H41" s="601" t="s">
        <v>325</v>
      </c>
      <c r="I41" s="601" t="s">
        <v>350</v>
      </c>
      <c r="J41" s="630" t="s">
        <v>338</v>
      </c>
      <c r="K41" s="630" t="s">
        <v>339</v>
      </c>
      <c r="L41" s="630" t="s">
        <v>320</v>
      </c>
      <c r="M41" s="630" t="s">
        <v>321</v>
      </c>
      <c r="N41" s="630" t="s">
        <v>340</v>
      </c>
      <c r="O41" s="630" t="s">
        <v>341</v>
      </c>
    </row>
    <row r="42" spans="1:15" hidden="1" x14ac:dyDescent="0.25">
      <c r="A42" s="630" t="s">
        <v>336</v>
      </c>
      <c r="B42" s="629">
        <v>1.08</v>
      </c>
      <c r="C42" s="630"/>
      <c r="D42" s="630" t="s">
        <v>319</v>
      </c>
      <c r="E42" s="630" t="s">
        <v>319</v>
      </c>
      <c r="F42" s="630" t="s">
        <v>319</v>
      </c>
      <c r="G42" s="630" t="s">
        <v>324</v>
      </c>
      <c r="H42" s="601" t="s">
        <v>325</v>
      </c>
      <c r="I42" s="601" t="s">
        <v>351</v>
      </c>
      <c r="J42" s="630" t="s">
        <v>338</v>
      </c>
      <c r="K42" s="630" t="s">
        <v>339</v>
      </c>
      <c r="L42" s="630" t="s">
        <v>320</v>
      </c>
      <c r="M42" s="630" t="s">
        <v>321</v>
      </c>
      <c r="N42" s="630" t="s">
        <v>340</v>
      </c>
      <c r="O42" s="630" t="s">
        <v>341</v>
      </c>
    </row>
    <row r="43" spans="1:15" hidden="1" x14ac:dyDescent="0.25">
      <c r="A43" s="630" t="s">
        <v>336</v>
      </c>
      <c r="B43" s="629">
        <v>1.08</v>
      </c>
      <c r="C43" s="630"/>
      <c r="D43" s="630" t="s">
        <v>319</v>
      </c>
      <c r="E43" s="630" t="s">
        <v>319</v>
      </c>
      <c r="F43" s="630" t="s">
        <v>319</v>
      </c>
      <c r="G43" s="630" t="s">
        <v>324</v>
      </c>
      <c r="H43" s="601" t="s">
        <v>325</v>
      </c>
      <c r="I43" s="601" t="s">
        <v>352</v>
      </c>
      <c r="J43" s="630" t="s">
        <v>338</v>
      </c>
      <c r="K43" s="630" t="s">
        <v>339</v>
      </c>
      <c r="L43" s="630" t="s">
        <v>320</v>
      </c>
      <c r="M43" s="630" t="s">
        <v>321</v>
      </c>
      <c r="N43" s="630" t="s">
        <v>340</v>
      </c>
      <c r="O43" s="630" t="s">
        <v>341</v>
      </c>
    </row>
    <row r="44" spans="1:15" hidden="1" x14ac:dyDescent="0.25">
      <c r="A44" s="630" t="s">
        <v>336</v>
      </c>
      <c r="B44" s="629">
        <v>1.08</v>
      </c>
      <c r="C44" s="630"/>
      <c r="D44" s="630" t="s">
        <v>319</v>
      </c>
      <c r="E44" s="630" t="s">
        <v>319</v>
      </c>
      <c r="F44" s="630" t="s">
        <v>319</v>
      </c>
      <c r="G44" s="630" t="s">
        <v>324</v>
      </c>
      <c r="H44" s="601" t="s">
        <v>325</v>
      </c>
      <c r="I44" s="601" t="s">
        <v>353</v>
      </c>
      <c r="J44" s="630" t="s">
        <v>338</v>
      </c>
      <c r="K44" s="630" t="s">
        <v>339</v>
      </c>
      <c r="L44" s="630" t="s">
        <v>320</v>
      </c>
      <c r="M44" s="630" t="s">
        <v>321</v>
      </c>
      <c r="N44" s="630" t="s">
        <v>340</v>
      </c>
      <c r="O44" s="630" t="s">
        <v>341</v>
      </c>
    </row>
    <row r="45" spans="1:15" hidden="1" x14ac:dyDescent="0.25">
      <c r="A45" s="630" t="s">
        <v>336</v>
      </c>
      <c r="B45" s="629">
        <v>1.08</v>
      </c>
      <c r="C45" s="630"/>
      <c r="D45" s="630" t="s">
        <v>319</v>
      </c>
      <c r="E45" s="630" t="s">
        <v>319</v>
      </c>
      <c r="F45" s="630" t="s">
        <v>319</v>
      </c>
      <c r="G45" s="630" t="s">
        <v>324</v>
      </c>
      <c r="H45" s="601" t="s">
        <v>325</v>
      </c>
      <c r="I45" s="601" t="s">
        <v>354</v>
      </c>
      <c r="J45" s="630" t="s">
        <v>338</v>
      </c>
      <c r="K45" s="630" t="s">
        <v>339</v>
      </c>
      <c r="L45" s="630" t="s">
        <v>320</v>
      </c>
      <c r="M45" s="630" t="s">
        <v>321</v>
      </c>
      <c r="N45" s="630" t="s">
        <v>340</v>
      </c>
      <c r="O45" s="630" t="s">
        <v>341</v>
      </c>
    </row>
    <row r="46" spans="1:15" hidden="1" x14ac:dyDescent="0.25">
      <c r="A46" s="630" t="s">
        <v>336</v>
      </c>
      <c r="B46" s="629">
        <v>1.08</v>
      </c>
      <c r="C46" s="630"/>
      <c r="D46" s="630" t="s">
        <v>319</v>
      </c>
      <c r="E46" s="630" t="s">
        <v>319</v>
      </c>
      <c r="F46" s="630" t="s">
        <v>319</v>
      </c>
      <c r="G46" s="630" t="s">
        <v>324</v>
      </c>
      <c r="H46" s="601" t="s">
        <v>325</v>
      </c>
      <c r="I46" s="601" t="s">
        <v>355</v>
      </c>
      <c r="J46" s="630" t="s">
        <v>338</v>
      </c>
      <c r="K46" s="630" t="s">
        <v>339</v>
      </c>
      <c r="L46" s="630" t="s">
        <v>320</v>
      </c>
      <c r="M46" s="630" t="s">
        <v>321</v>
      </c>
      <c r="N46" s="630" t="s">
        <v>340</v>
      </c>
      <c r="O46" s="630" t="s">
        <v>341</v>
      </c>
    </row>
    <row r="47" spans="1:15" hidden="1" x14ac:dyDescent="0.25">
      <c r="A47" s="630" t="s">
        <v>336</v>
      </c>
      <c r="B47" s="629">
        <v>1.2</v>
      </c>
      <c r="C47" s="630"/>
      <c r="D47" s="630" t="s">
        <v>319</v>
      </c>
      <c r="E47" s="630" t="s">
        <v>319</v>
      </c>
      <c r="F47" s="630" t="s">
        <v>319</v>
      </c>
      <c r="G47" s="630" t="s">
        <v>324</v>
      </c>
      <c r="H47" s="601" t="s">
        <v>325</v>
      </c>
      <c r="I47" s="601" t="s">
        <v>356</v>
      </c>
      <c r="J47" s="630" t="s">
        <v>338</v>
      </c>
      <c r="K47" s="630" t="s">
        <v>339</v>
      </c>
      <c r="L47" s="630" t="s">
        <v>320</v>
      </c>
      <c r="M47" s="630" t="s">
        <v>321</v>
      </c>
      <c r="N47" s="630" t="s">
        <v>340</v>
      </c>
      <c r="O47" s="630" t="s">
        <v>341</v>
      </c>
    </row>
    <row r="48" spans="1:15" hidden="1" x14ac:dyDescent="0.25">
      <c r="A48" s="630" t="s">
        <v>336</v>
      </c>
      <c r="B48" s="629">
        <v>1.2</v>
      </c>
      <c r="C48" s="630"/>
      <c r="D48" s="630" t="s">
        <v>319</v>
      </c>
      <c r="E48" s="630" t="s">
        <v>319</v>
      </c>
      <c r="F48" s="630" t="s">
        <v>319</v>
      </c>
      <c r="G48" s="630" t="s">
        <v>324</v>
      </c>
      <c r="H48" s="601" t="s">
        <v>325</v>
      </c>
      <c r="I48" s="601" t="s">
        <v>357</v>
      </c>
      <c r="J48" s="630" t="s">
        <v>338</v>
      </c>
      <c r="K48" s="630" t="s">
        <v>339</v>
      </c>
      <c r="L48" s="630" t="s">
        <v>320</v>
      </c>
      <c r="M48" s="630" t="s">
        <v>321</v>
      </c>
      <c r="N48" s="630" t="s">
        <v>340</v>
      </c>
      <c r="O48" s="630" t="s">
        <v>341</v>
      </c>
    </row>
    <row r="49" spans="1:15" hidden="1" x14ac:dyDescent="0.25">
      <c r="A49" s="630" t="s">
        <v>336</v>
      </c>
      <c r="B49" s="629">
        <v>1.2</v>
      </c>
      <c r="C49" s="630"/>
      <c r="D49" s="630" t="s">
        <v>319</v>
      </c>
      <c r="E49" s="630" t="s">
        <v>319</v>
      </c>
      <c r="F49" s="630" t="s">
        <v>319</v>
      </c>
      <c r="G49" s="630" t="s">
        <v>324</v>
      </c>
      <c r="H49" s="601" t="s">
        <v>325</v>
      </c>
      <c r="I49" s="601" t="s">
        <v>358</v>
      </c>
      <c r="J49" s="630" t="s">
        <v>338</v>
      </c>
      <c r="K49" s="630" t="s">
        <v>339</v>
      </c>
      <c r="L49" s="630" t="s">
        <v>320</v>
      </c>
      <c r="M49" s="630" t="s">
        <v>321</v>
      </c>
      <c r="N49" s="630" t="s">
        <v>340</v>
      </c>
      <c r="O49" s="630" t="s">
        <v>341</v>
      </c>
    </row>
    <row r="50" spans="1:15" hidden="1" x14ac:dyDescent="0.25">
      <c r="A50" s="630" t="s">
        <v>336</v>
      </c>
      <c r="B50" s="629">
        <v>1.2</v>
      </c>
      <c r="C50" s="630"/>
      <c r="D50" s="630" t="s">
        <v>319</v>
      </c>
      <c r="E50" s="630" t="s">
        <v>319</v>
      </c>
      <c r="F50" s="630" t="s">
        <v>319</v>
      </c>
      <c r="G50" s="630" t="s">
        <v>324</v>
      </c>
      <c r="H50" s="601" t="s">
        <v>325</v>
      </c>
      <c r="I50" s="601" t="s">
        <v>359</v>
      </c>
      <c r="J50" s="630" t="s">
        <v>338</v>
      </c>
      <c r="K50" s="630" t="s">
        <v>339</v>
      </c>
      <c r="L50" s="630" t="s">
        <v>320</v>
      </c>
      <c r="M50" s="630" t="s">
        <v>321</v>
      </c>
      <c r="N50" s="630" t="s">
        <v>340</v>
      </c>
      <c r="O50" s="630" t="s">
        <v>341</v>
      </c>
    </row>
    <row r="51" spans="1:15" hidden="1" x14ac:dyDescent="0.25">
      <c r="A51" s="630" t="s">
        <v>336</v>
      </c>
      <c r="B51" s="629">
        <v>1.2</v>
      </c>
      <c r="C51" s="630"/>
      <c r="D51" s="630" t="s">
        <v>319</v>
      </c>
      <c r="E51" s="630" t="s">
        <v>319</v>
      </c>
      <c r="F51" s="630" t="s">
        <v>319</v>
      </c>
      <c r="G51" s="630" t="s">
        <v>324</v>
      </c>
      <c r="H51" s="601" t="s">
        <v>325</v>
      </c>
      <c r="I51" s="601" t="s">
        <v>360</v>
      </c>
      <c r="J51" s="630" t="s">
        <v>338</v>
      </c>
      <c r="K51" s="630" t="s">
        <v>339</v>
      </c>
      <c r="L51" s="630" t="s">
        <v>320</v>
      </c>
      <c r="M51" s="630" t="s">
        <v>321</v>
      </c>
      <c r="N51" s="630" t="s">
        <v>340</v>
      </c>
      <c r="O51" s="630" t="s">
        <v>341</v>
      </c>
    </row>
    <row r="52" spans="1:15" hidden="1" x14ac:dyDescent="0.25">
      <c r="A52" s="630" t="s">
        <v>336</v>
      </c>
      <c r="B52" s="629">
        <v>1.2</v>
      </c>
      <c r="C52" s="630"/>
      <c r="D52" s="630" t="s">
        <v>319</v>
      </c>
      <c r="E52" s="630" t="s">
        <v>319</v>
      </c>
      <c r="F52" s="630" t="s">
        <v>319</v>
      </c>
      <c r="G52" s="630" t="s">
        <v>324</v>
      </c>
      <c r="H52" s="601" t="s">
        <v>325</v>
      </c>
      <c r="I52" s="601" t="s">
        <v>361</v>
      </c>
      <c r="J52" s="630" t="s">
        <v>338</v>
      </c>
      <c r="K52" s="630" t="s">
        <v>339</v>
      </c>
      <c r="L52" s="630" t="s">
        <v>320</v>
      </c>
      <c r="M52" s="630" t="s">
        <v>321</v>
      </c>
      <c r="N52" s="630" t="s">
        <v>340</v>
      </c>
      <c r="O52" s="630" t="s">
        <v>341</v>
      </c>
    </row>
    <row r="53" spans="1:15" hidden="1" x14ac:dyDescent="0.25">
      <c r="A53" s="630" t="s">
        <v>336</v>
      </c>
      <c r="B53" s="629">
        <v>1.2</v>
      </c>
      <c r="C53" s="630"/>
      <c r="D53" s="630" t="s">
        <v>319</v>
      </c>
      <c r="E53" s="630" t="s">
        <v>319</v>
      </c>
      <c r="F53" s="630" t="s">
        <v>319</v>
      </c>
      <c r="G53" s="630" t="s">
        <v>324</v>
      </c>
      <c r="H53" s="601" t="s">
        <v>325</v>
      </c>
      <c r="I53" s="601" t="s">
        <v>362</v>
      </c>
      <c r="J53" s="630" t="s">
        <v>338</v>
      </c>
      <c r="K53" s="630" t="s">
        <v>339</v>
      </c>
      <c r="L53" s="630" t="s">
        <v>320</v>
      </c>
      <c r="M53" s="630" t="s">
        <v>321</v>
      </c>
      <c r="N53" s="630" t="s">
        <v>340</v>
      </c>
      <c r="O53" s="630" t="s">
        <v>341</v>
      </c>
    </row>
    <row r="54" spans="1:15" hidden="1" x14ac:dyDescent="0.25">
      <c r="A54" s="630" t="s">
        <v>336</v>
      </c>
      <c r="B54" s="629">
        <v>1.2</v>
      </c>
      <c r="C54" s="630"/>
      <c r="D54" s="630" t="s">
        <v>319</v>
      </c>
      <c r="E54" s="630" t="s">
        <v>319</v>
      </c>
      <c r="F54" s="630" t="s">
        <v>319</v>
      </c>
      <c r="G54" s="630" t="s">
        <v>324</v>
      </c>
      <c r="H54" s="601" t="s">
        <v>325</v>
      </c>
      <c r="I54" s="601" t="s">
        <v>363</v>
      </c>
      <c r="J54" s="630" t="s">
        <v>338</v>
      </c>
      <c r="K54" s="630" t="s">
        <v>339</v>
      </c>
      <c r="L54" s="630" t="s">
        <v>320</v>
      </c>
      <c r="M54" s="630" t="s">
        <v>321</v>
      </c>
      <c r="N54" s="630" t="s">
        <v>340</v>
      </c>
      <c r="O54" s="630" t="s">
        <v>341</v>
      </c>
    </row>
    <row r="55" spans="1:15" hidden="1" x14ac:dyDescent="0.25">
      <c r="A55" s="630" t="s">
        <v>336</v>
      </c>
      <c r="B55" s="629">
        <v>1.2</v>
      </c>
      <c r="C55" s="630"/>
      <c r="D55" s="630" t="s">
        <v>319</v>
      </c>
      <c r="E55" s="630" t="s">
        <v>319</v>
      </c>
      <c r="F55" s="630" t="s">
        <v>319</v>
      </c>
      <c r="G55" s="630" t="s">
        <v>324</v>
      </c>
      <c r="H55" s="601" t="s">
        <v>325</v>
      </c>
      <c r="I55" s="601" t="s">
        <v>364</v>
      </c>
      <c r="J55" s="630" t="s">
        <v>338</v>
      </c>
      <c r="K55" s="630" t="s">
        <v>339</v>
      </c>
      <c r="L55" s="630" t="s">
        <v>320</v>
      </c>
      <c r="M55" s="630" t="s">
        <v>321</v>
      </c>
      <c r="N55" s="630" t="s">
        <v>340</v>
      </c>
      <c r="O55" s="630" t="s">
        <v>341</v>
      </c>
    </row>
    <row r="56" spans="1:15" hidden="1" x14ac:dyDescent="0.25">
      <c r="A56" s="630" t="s">
        <v>336</v>
      </c>
      <c r="B56" s="629">
        <v>1.2</v>
      </c>
      <c r="C56" s="630"/>
      <c r="D56" s="630" t="s">
        <v>319</v>
      </c>
      <c r="E56" s="630" t="s">
        <v>319</v>
      </c>
      <c r="F56" s="630" t="s">
        <v>319</v>
      </c>
      <c r="G56" s="630" t="s">
        <v>324</v>
      </c>
      <c r="H56" s="601" t="s">
        <v>325</v>
      </c>
      <c r="I56" s="601" t="s">
        <v>365</v>
      </c>
      <c r="J56" s="630" t="s">
        <v>338</v>
      </c>
      <c r="K56" s="630" t="s">
        <v>339</v>
      </c>
      <c r="L56" s="630" t="s">
        <v>320</v>
      </c>
      <c r="M56" s="630" t="s">
        <v>321</v>
      </c>
      <c r="N56" s="630" t="s">
        <v>340</v>
      </c>
      <c r="O56" s="630" t="s">
        <v>341</v>
      </c>
    </row>
    <row r="57" spans="1:15" hidden="1" x14ac:dyDescent="0.25">
      <c r="A57" s="630" t="s">
        <v>336</v>
      </c>
      <c r="B57" s="629">
        <v>1.38</v>
      </c>
      <c r="C57" s="630"/>
      <c r="D57" s="630" t="s">
        <v>319</v>
      </c>
      <c r="E57" s="630" t="s">
        <v>319</v>
      </c>
      <c r="F57" s="630" t="s">
        <v>319</v>
      </c>
      <c r="G57" s="630" t="s">
        <v>324</v>
      </c>
      <c r="H57" s="601" t="s">
        <v>325</v>
      </c>
      <c r="I57" s="601" t="s">
        <v>366</v>
      </c>
      <c r="J57" s="630" t="s">
        <v>338</v>
      </c>
      <c r="K57" s="630" t="s">
        <v>339</v>
      </c>
      <c r="L57" s="630" t="s">
        <v>320</v>
      </c>
      <c r="M57" s="630" t="s">
        <v>321</v>
      </c>
      <c r="N57" s="630" t="s">
        <v>340</v>
      </c>
      <c r="O57" s="630" t="s">
        <v>341</v>
      </c>
    </row>
    <row r="58" spans="1:15" hidden="1" x14ac:dyDescent="0.25">
      <c r="A58" s="630" t="s">
        <v>336</v>
      </c>
      <c r="B58" s="629">
        <v>1.38</v>
      </c>
      <c r="C58" s="630"/>
      <c r="D58" s="630" t="s">
        <v>319</v>
      </c>
      <c r="E58" s="630" t="s">
        <v>319</v>
      </c>
      <c r="F58" s="630" t="s">
        <v>319</v>
      </c>
      <c r="G58" s="630" t="s">
        <v>324</v>
      </c>
      <c r="H58" s="601" t="s">
        <v>325</v>
      </c>
      <c r="I58" s="601" t="s">
        <v>367</v>
      </c>
      <c r="J58" s="630" t="s">
        <v>338</v>
      </c>
      <c r="K58" s="630" t="s">
        <v>339</v>
      </c>
      <c r="L58" s="630" t="s">
        <v>320</v>
      </c>
      <c r="M58" s="630" t="s">
        <v>321</v>
      </c>
      <c r="N58" s="630" t="s">
        <v>340</v>
      </c>
      <c r="O58" s="630" t="s">
        <v>341</v>
      </c>
    </row>
    <row r="59" spans="1:15" hidden="1" x14ac:dyDescent="0.25">
      <c r="A59" s="630" t="s">
        <v>336</v>
      </c>
      <c r="B59" s="629">
        <v>1.38</v>
      </c>
      <c r="C59" s="630"/>
      <c r="D59" s="630" t="s">
        <v>319</v>
      </c>
      <c r="E59" s="630" t="s">
        <v>319</v>
      </c>
      <c r="F59" s="630" t="s">
        <v>319</v>
      </c>
      <c r="G59" s="630" t="s">
        <v>324</v>
      </c>
      <c r="H59" s="601" t="s">
        <v>325</v>
      </c>
      <c r="I59" s="601" t="s">
        <v>368</v>
      </c>
      <c r="J59" s="630" t="s">
        <v>338</v>
      </c>
      <c r="K59" s="630" t="s">
        <v>339</v>
      </c>
      <c r="L59" s="630" t="s">
        <v>320</v>
      </c>
      <c r="M59" s="630" t="s">
        <v>321</v>
      </c>
      <c r="N59" s="630" t="s">
        <v>340</v>
      </c>
      <c r="O59" s="630" t="s">
        <v>341</v>
      </c>
    </row>
    <row r="60" spans="1:15" hidden="1" x14ac:dyDescent="0.25">
      <c r="A60" s="630" t="s">
        <v>336</v>
      </c>
      <c r="B60" s="629">
        <v>1.38</v>
      </c>
      <c r="C60" s="630"/>
      <c r="D60" s="630" t="s">
        <v>319</v>
      </c>
      <c r="E60" s="630" t="s">
        <v>319</v>
      </c>
      <c r="F60" s="630" t="s">
        <v>319</v>
      </c>
      <c r="G60" s="630" t="s">
        <v>324</v>
      </c>
      <c r="H60" s="601" t="s">
        <v>325</v>
      </c>
      <c r="I60" s="601" t="s">
        <v>369</v>
      </c>
      <c r="J60" s="630" t="s">
        <v>338</v>
      </c>
      <c r="K60" s="630" t="s">
        <v>339</v>
      </c>
      <c r="L60" s="630" t="s">
        <v>320</v>
      </c>
      <c r="M60" s="630" t="s">
        <v>321</v>
      </c>
      <c r="N60" s="630" t="s">
        <v>340</v>
      </c>
      <c r="O60" s="630" t="s">
        <v>341</v>
      </c>
    </row>
    <row r="61" spans="1:15" hidden="1" x14ac:dyDescent="0.25">
      <c r="A61" s="630" t="s">
        <v>336</v>
      </c>
      <c r="B61" s="629">
        <v>1.38</v>
      </c>
      <c r="C61" s="630"/>
      <c r="D61" s="630" t="s">
        <v>319</v>
      </c>
      <c r="E61" s="630" t="s">
        <v>319</v>
      </c>
      <c r="F61" s="630" t="s">
        <v>319</v>
      </c>
      <c r="G61" s="630" t="s">
        <v>324</v>
      </c>
      <c r="H61" s="601" t="s">
        <v>325</v>
      </c>
      <c r="I61" s="601" t="s">
        <v>370</v>
      </c>
      <c r="J61" s="630" t="s">
        <v>338</v>
      </c>
      <c r="K61" s="630" t="s">
        <v>339</v>
      </c>
      <c r="L61" s="630" t="s">
        <v>320</v>
      </c>
      <c r="M61" s="630" t="s">
        <v>321</v>
      </c>
      <c r="N61" s="630" t="s">
        <v>340</v>
      </c>
      <c r="O61" s="630" t="s">
        <v>341</v>
      </c>
    </row>
    <row r="62" spans="1:15" hidden="1" x14ac:dyDescent="0.25">
      <c r="A62" s="630" t="s">
        <v>336</v>
      </c>
      <c r="B62" s="629">
        <v>1.38</v>
      </c>
      <c r="C62" s="630"/>
      <c r="D62" s="630" t="s">
        <v>319</v>
      </c>
      <c r="E62" s="630" t="s">
        <v>319</v>
      </c>
      <c r="F62" s="630" t="s">
        <v>319</v>
      </c>
      <c r="G62" s="630" t="s">
        <v>324</v>
      </c>
      <c r="H62" s="601" t="s">
        <v>325</v>
      </c>
      <c r="I62" s="601" t="s">
        <v>371</v>
      </c>
      <c r="J62" s="630" t="s">
        <v>338</v>
      </c>
      <c r="K62" s="630" t="s">
        <v>339</v>
      </c>
      <c r="L62" s="630" t="s">
        <v>320</v>
      </c>
      <c r="M62" s="630" t="s">
        <v>321</v>
      </c>
      <c r="N62" s="630" t="s">
        <v>340</v>
      </c>
      <c r="O62" s="630" t="s">
        <v>341</v>
      </c>
    </row>
    <row r="63" spans="1:15" hidden="1" x14ac:dyDescent="0.25">
      <c r="A63" s="630" t="s">
        <v>336</v>
      </c>
      <c r="B63" s="629">
        <v>1.38</v>
      </c>
      <c r="C63" s="630"/>
      <c r="D63" s="630" t="s">
        <v>319</v>
      </c>
      <c r="E63" s="630" t="s">
        <v>319</v>
      </c>
      <c r="F63" s="630" t="s">
        <v>319</v>
      </c>
      <c r="G63" s="630" t="s">
        <v>324</v>
      </c>
      <c r="H63" s="601" t="s">
        <v>325</v>
      </c>
      <c r="I63" s="601" t="s">
        <v>372</v>
      </c>
      <c r="J63" s="630" t="s">
        <v>338</v>
      </c>
      <c r="K63" s="630" t="s">
        <v>339</v>
      </c>
      <c r="L63" s="630" t="s">
        <v>320</v>
      </c>
      <c r="M63" s="630" t="s">
        <v>321</v>
      </c>
      <c r="N63" s="630" t="s">
        <v>340</v>
      </c>
      <c r="O63" s="630" t="s">
        <v>341</v>
      </c>
    </row>
    <row r="64" spans="1:15" hidden="1" x14ac:dyDescent="0.25">
      <c r="A64" s="630" t="s">
        <v>336</v>
      </c>
      <c r="B64" s="629">
        <v>1.38</v>
      </c>
      <c r="C64" s="630"/>
      <c r="D64" s="630" t="s">
        <v>319</v>
      </c>
      <c r="E64" s="630" t="s">
        <v>319</v>
      </c>
      <c r="F64" s="630" t="s">
        <v>319</v>
      </c>
      <c r="G64" s="630" t="s">
        <v>324</v>
      </c>
      <c r="H64" s="601" t="s">
        <v>325</v>
      </c>
      <c r="I64" s="601" t="s">
        <v>373</v>
      </c>
      <c r="J64" s="630" t="s">
        <v>338</v>
      </c>
      <c r="K64" s="630" t="s">
        <v>339</v>
      </c>
      <c r="L64" s="630" t="s">
        <v>320</v>
      </c>
      <c r="M64" s="630" t="s">
        <v>321</v>
      </c>
      <c r="N64" s="630" t="s">
        <v>340</v>
      </c>
      <c r="O64" s="630" t="s">
        <v>341</v>
      </c>
    </row>
    <row r="65" spans="1:15" hidden="1" x14ac:dyDescent="0.25">
      <c r="A65" s="630" t="s">
        <v>336</v>
      </c>
      <c r="B65" s="629">
        <v>1.38</v>
      </c>
      <c r="C65" s="630"/>
      <c r="D65" s="630" t="s">
        <v>319</v>
      </c>
      <c r="E65" s="630" t="s">
        <v>319</v>
      </c>
      <c r="F65" s="630" t="s">
        <v>319</v>
      </c>
      <c r="G65" s="630" t="s">
        <v>324</v>
      </c>
      <c r="H65" s="601" t="s">
        <v>325</v>
      </c>
      <c r="I65" s="601" t="s">
        <v>374</v>
      </c>
      <c r="J65" s="630" t="s">
        <v>338</v>
      </c>
      <c r="K65" s="630" t="s">
        <v>339</v>
      </c>
      <c r="L65" s="630" t="s">
        <v>320</v>
      </c>
      <c r="M65" s="630" t="s">
        <v>321</v>
      </c>
      <c r="N65" s="630" t="s">
        <v>340</v>
      </c>
      <c r="O65" s="630" t="s">
        <v>341</v>
      </c>
    </row>
    <row r="66" spans="1:15" hidden="1" x14ac:dyDescent="0.25">
      <c r="A66" s="630" t="s">
        <v>336</v>
      </c>
      <c r="B66" s="629">
        <v>1.38</v>
      </c>
      <c r="C66" s="630"/>
      <c r="D66" s="630" t="s">
        <v>319</v>
      </c>
      <c r="E66" s="630" t="s">
        <v>319</v>
      </c>
      <c r="F66" s="630" t="s">
        <v>319</v>
      </c>
      <c r="G66" s="630" t="s">
        <v>324</v>
      </c>
      <c r="H66" s="601" t="s">
        <v>325</v>
      </c>
      <c r="I66" s="601" t="s">
        <v>375</v>
      </c>
      <c r="J66" s="630" t="s">
        <v>338</v>
      </c>
      <c r="K66" s="630" t="s">
        <v>339</v>
      </c>
      <c r="L66" s="630" t="s">
        <v>320</v>
      </c>
      <c r="M66" s="630" t="s">
        <v>321</v>
      </c>
      <c r="N66" s="630" t="s">
        <v>340</v>
      </c>
      <c r="O66" s="630" t="s">
        <v>341</v>
      </c>
    </row>
    <row r="67" spans="1:15" hidden="1" x14ac:dyDescent="0.25">
      <c r="A67" s="630" t="s">
        <v>336</v>
      </c>
      <c r="B67" s="629">
        <v>2.4</v>
      </c>
      <c r="C67" s="630"/>
      <c r="D67" s="630" t="s">
        <v>319</v>
      </c>
      <c r="E67" s="630" t="s">
        <v>319</v>
      </c>
      <c r="F67" s="630" t="s">
        <v>319</v>
      </c>
      <c r="G67" s="630" t="s">
        <v>324</v>
      </c>
      <c r="H67" s="601" t="s">
        <v>325</v>
      </c>
      <c r="I67" s="601" t="s">
        <v>376</v>
      </c>
      <c r="J67" s="630" t="s">
        <v>338</v>
      </c>
      <c r="K67" s="630" t="s">
        <v>339</v>
      </c>
      <c r="L67" s="630" t="s">
        <v>320</v>
      </c>
      <c r="M67" s="630" t="s">
        <v>321</v>
      </c>
      <c r="N67" s="630" t="s">
        <v>340</v>
      </c>
      <c r="O67" s="630" t="s">
        <v>341</v>
      </c>
    </row>
    <row r="68" spans="1:15" hidden="1" x14ac:dyDescent="0.25">
      <c r="A68" s="630" t="s">
        <v>336</v>
      </c>
      <c r="B68" s="629">
        <v>2.4</v>
      </c>
      <c r="C68" s="630"/>
      <c r="D68" s="630" t="s">
        <v>319</v>
      </c>
      <c r="E68" s="630" t="s">
        <v>319</v>
      </c>
      <c r="F68" s="630" t="s">
        <v>319</v>
      </c>
      <c r="G68" s="630" t="s">
        <v>324</v>
      </c>
      <c r="H68" s="601" t="s">
        <v>325</v>
      </c>
      <c r="I68" s="601" t="s">
        <v>377</v>
      </c>
      <c r="J68" s="630" t="s">
        <v>338</v>
      </c>
      <c r="K68" s="630" t="s">
        <v>339</v>
      </c>
      <c r="L68" s="630" t="s">
        <v>320</v>
      </c>
      <c r="M68" s="630" t="s">
        <v>321</v>
      </c>
      <c r="N68" s="630" t="s">
        <v>340</v>
      </c>
      <c r="O68" s="630" t="s">
        <v>341</v>
      </c>
    </row>
    <row r="69" spans="1:15" hidden="1" x14ac:dyDescent="0.25">
      <c r="A69" s="630" t="s">
        <v>336</v>
      </c>
      <c r="B69" s="629">
        <v>2.4</v>
      </c>
      <c r="C69" s="630"/>
      <c r="D69" s="630" t="s">
        <v>319</v>
      </c>
      <c r="E69" s="630" t="s">
        <v>319</v>
      </c>
      <c r="F69" s="630" t="s">
        <v>319</v>
      </c>
      <c r="G69" s="630" t="s">
        <v>324</v>
      </c>
      <c r="H69" s="601" t="s">
        <v>325</v>
      </c>
      <c r="I69" s="601" t="s">
        <v>378</v>
      </c>
      <c r="J69" s="630" t="s">
        <v>338</v>
      </c>
      <c r="K69" s="630" t="s">
        <v>339</v>
      </c>
      <c r="L69" s="630" t="s">
        <v>320</v>
      </c>
      <c r="M69" s="630" t="s">
        <v>321</v>
      </c>
      <c r="N69" s="630" t="s">
        <v>340</v>
      </c>
      <c r="O69" s="630" t="s">
        <v>341</v>
      </c>
    </row>
    <row r="70" spans="1:15" hidden="1" x14ac:dyDescent="0.25">
      <c r="A70" s="630" t="s">
        <v>336</v>
      </c>
      <c r="B70" s="629">
        <v>2.4</v>
      </c>
      <c r="C70" s="630"/>
      <c r="D70" s="630" t="s">
        <v>319</v>
      </c>
      <c r="E70" s="630" t="s">
        <v>319</v>
      </c>
      <c r="F70" s="630" t="s">
        <v>319</v>
      </c>
      <c r="G70" s="630" t="s">
        <v>324</v>
      </c>
      <c r="H70" s="601" t="s">
        <v>325</v>
      </c>
      <c r="I70" s="601" t="s">
        <v>379</v>
      </c>
      <c r="J70" s="630" t="s">
        <v>338</v>
      </c>
      <c r="K70" s="630" t="s">
        <v>339</v>
      </c>
      <c r="L70" s="630" t="s">
        <v>320</v>
      </c>
      <c r="M70" s="630" t="s">
        <v>321</v>
      </c>
      <c r="N70" s="630" t="s">
        <v>340</v>
      </c>
      <c r="O70" s="630" t="s">
        <v>341</v>
      </c>
    </row>
    <row r="71" spans="1:15" hidden="1" x14ac:dyDescent="0.25">
      <c r="A71" s="630" t="s">
        <v>336</v>
      </c>
      <c r="B71" s="629">
        <v>2.4</v>
      </c>
      <c r="C71" s="630"/>
      <c r="D71" s="630" t="s">
        <v>319</v>
      </c>
      <c r="E71" s="630" t="s">
        <v>319</v>
      </c>
      <c r="F71" s="630" t="s">
        <v>319</v>
      </c>
      <c r="G71" s="630" t="s">
        <v>324</v>
      </c>
      <c r="H71" s="601" t="s">
        <v>325</v>
      </c>
      <c r="I71" s="601" t="s">
        <v>380</v>
      </c>
      <c r="J71" s="630" t="s">
        <v>338</v>
      </c>
      <c r="K71" s="630" t="s">
        <v>339</v>
      </c>
      <c r="L71" s="630" t="s">
        <v>320</v>
      </c>
      <c r="M71" s="630" t="s">
        <v>321</v>
      </c>
      <c r="N71" s="630" t="s">
        <v>340</v>
      </c>
      <c r="O71" s="630" t="s">
        <v>341</v>
      </c>
    </row>
    <row r="72" spans="1:15" hidden="1" x14ac:dyDescent="0.25">
      <c r="A72" s="630" t="s">
        <v>336</v>
      </c>
      <c r="B72" s="629">
        <v>2.4</v>
      </c>
      <c r="C72" s="630"/>
      <c r="D72" s="630" t="s">
        <v>319</v>
      </c>
      <c r="E72" s="630" t="s">
        <v>319</v>
      </c>
      <c r="F72" s="630" t="s">
        <v>319</v>
      </c>
      <c r="G72" s="630" t="s">
        <v>324</v>
      </c>
      <c r="H72" s="601" t="s">
        <v>325</v>
      </c>
      <c r="I72" s="601" t="s">
        <v>381</v>
      </c>
      <c r="J72" s="630" t="s">
        <v>338</v>
      </c>
      <c r="K72" s="630" t="s">
        <v>339</v>
      </c>
      <c r="L72" s="630" t="s">
        <v>320</v>
      </c>
      <c r="M72" s="630" t="s">
        <v>321</v>
      </c>
      <c r="N72" s="630" t="s">
        <v>340</v>
      </c>
      <c r="O72" s="630" t="s">
        <v>341</v>
      </c>
    </row>
    <row r="73" spans="1:15" hidden="1" x14ac:dyDescent="0.25">
      <c r="A73" s="630" t="s">
        <v>336</v>
      </c>
      <c r="B73" s="629">
        <v>2.4</v>
      </c>
      <c r="C73" s="630"/>
      <c r="D73" s="630" t="s">
        <v>319</v>
      </c>
      <c r="E73" s="630" t="s">
        <v>319</v>
      </c>
      <c r="F73" s="630" t="s">
        <v>319</v>
      </c>
      <c r="G73" s="630" t="s">
        <v>324</v>
      </c>
      <c r="H73" s="601" t="s">
        <v>325</v>
      </c>
      <c r="I73" s="601" t="s">
        <v>382</v>
      </c>
      <c r="J73" s="630" t="s">
        <v>338</v>
      </c>
      <c r="K73" s="630" t="s">
        <v>339</v>
      </c>
      <c r="L73" s="630" t="s">
        <v>320</v>
      </c>
      <c r="M73" s="630" t="s">
        <v>321</v>
      </c>
      <c r="N73" s="630" t="s">
        <v>340</v>
      </c>
      <c r="O73" s="630" t="s">
        <v>341</v>
      </c>
    </row>
    <row r="74" spans="1:15" hidden="1" x14ac:dyDescent="0.25">
      <c r="A74" s="630" t="s">
        <v>336</v>
      </c>
      <c r="B74" s="629">
        <v>2.4</v>
      </c>
      <c r="C74" s="630"/>
      <c r="D74" s="630" t="s">
        <v>319</v>
      </c>
      <c r="E74" s="630" t="s">
        <v>319</v>
      </c>
      <c r="F74" s="630" t="s">
        <v>319</v>
      </c>
      <c r="G74" s="630" t="s">
        <v>324</v>
      </c>
      <c r="H74" s="601" t="s">
        <v>325</v>
      </c>
      <c r="I74" s="601" t="s">
        <v>383</v>
      </c>
      <c r="J74" s="630" t="s">
        <v>338</v>
      </c>
      <c r="K74" s="630" t="s">
        <v>339</v>
      </c>
      <c r="L74" s="630" t="s">
        <v>320</v>
      </c>
      <c r="M74" s="630" t="s">
        <v>321</v>
      </c>
      <c r="N74" s="630" t="s">
        <v>340</v>
      </c>
      <c r="O74" s="630" t="s">
        <v>341</v>
      </c>
    </row>
    <row r="75" spans="1:15" hidden="1" x14ac:dyDescent="0.25">
      <c r="A75" s="630" t="s">
        <v>336</v>
      </c>
      <c r="B75" s="629">
        <v>2.4</v>
      </c>
      <c r="C75" s="630"/>
      <c r="D75" s="630" t="s">
        <v>319</v>
      </c>
      <c r="E75" s="630" t="s">
        <v>319</v>
      </c>
      <c r="F75" s="630" t="s">
        <v>319</v>
      </c>
      <c r="G75" s="630" t="s">
        <v>324</v>
      </c>
      <c r="H75" s="601" t="s">
        <v>325</v>
      </c>
      <c r="I75" s="601" t="s">
        <v>384</v>
      </c>
      <c r="J75" s="630" t="s">
        <v>338</v>
      </c>
      <c r="K75" s="630" t="s">
        <v>339</v>
      </c>
      <c r="L75" s="630" t="s">
        <v>320</v>
      </c>
      <c r="M75" s="630" t="s">
        <v>321</v>
      </c>
      <c r="N75" s="630" t="s">
        <v>340</v>
      </c>
      <c r="O75" s="630" t="s">
        <v>341</v>
      </c>
    </row>
    <row r="76" spans="1:15" hidden="1" x14ac:dyDescent="0.25">
      <c r="A76" s="630" t="s">
        <v>336</v>
      </c>
      <c r="B76" s="629">
        <v>2.4</v>
      </c>
      <c r="C76" s="630"/>
      <c r="D76" s="630" t="s">
        <v>319</v>
      </c>
      <c r="E76" s="630" t="s">
        <v>319</v>
      </c>
      <c r="F76" s="630" t="s">
        <v>319</v>
      </c>
      <c r="G76" s="630" t="s">
        <v>324</v>
      </c>
      <c r="H76" s="601" t="s">
        <v>325</v>
      </c>
      <c r="I76" s="601" t="s">
        <v>385</v>
      </c>
      <c r="J76" s="630" t="s">
        <v>338</v>
      </c>
      <c r="K76" s="630" t="s">
        <v>339</v>
      </c>
      <c r="L76" s="630" t="s">
        <v>320</v>
      </c>
      <c r="M76" s="630" t="s">
        <v>321</v>
      </c>
      <c r="N76" s="630" t="s">
        <v>340</v>
      </c>
      <c r="O76" s="630" t="s">
        <v>341</v>
      </c>
    </row>
    <row r="77" spans="1:15" hidden="1" x14ac:dyDescent="0.25">
      <c r="A77" s="630" t="s">
        <v>336</v>
      </c>
      <c r="B77" s="629">
        <v>3</v>
      </c>
      <c r="C77" s="630"/>
      <c r="D77" s="630" t="s">
        <v>319</v>
      </c>
      <c r="E77" s="630" t="s">
        <v>319</v>
      </c>
      <c r="F77" s="630" t="s">
        <v>319</v>
      </c>
      <c r="G77" s="630" t="s">
        <v>324</v>
      </c>
      <c r="H77" s="601" t="s">
        <v>325</v>
      </c>
      <c r="I77" s="601" t="s">
        <v>386</v>
      </c>
      <c r="J77" s="630" t="s">
        <v>338</v>
      </c>
      <c r="K77" s="630" t="s">
        <v>339</v>
      </c>
      <c r="L77" s="630" t="s">
        <v>320</v>
      </c>
      <c r="M77" s="630" t="s">
        <v>321</v>
      </c>
      <c r="N77" s="630" t="s">
        <v>340</v>
      </c>
      <c r="O77" s="630" t="s">
        <v>341</v>
      </c>
    </row>
    <row r="78" spans="1:15" hidden="1" x14ac:dyDescent="0.25">
      <c r="A78" s="630" t="s">
        <v>336</v>
      </c>
      <c r="B78" s="629">
        <v>3</v>
      </c>
      <c r="C78" s="630"/>
      <c r="D78" s="630" t="s">
        <v>319</v>
      </c>
      <c r="E78" s="630" t="s">
        <v>319</v>
      </c>
      <c r="F78" s="630" t="s">
        <v>319</v>
      </c>
      <c r="G78" s="630" t="s">
        <v>324</v>
      </c>
      <c r="H78" s="601" t="s">
        <v>325</v>
      </c>
      <c r="I78" s="601" t="s">
        <v>387</v>
      </c>
      <c r="J78" s="630" t="s">
        <v>338</v>
      </c>
      <c r="K78" s="630" t="s">
        <v>339</v>
      </c>
      <c r="L78" s="630" t="s">
        <v>320</v>
      </c>
      <c r="M78" s="630" t="s">
        <v>321</v>
      </c>
      <c r="N78" s="630" t="s">
        <v>340</v>
      </c>
      <c r="O78" s="630" t="s">
        <v>341</v>
      </c>
    </row>
    <row r="79" spans="1:15" hidden="1" x14ac:dyDescent="0.25">
      <c r="A79" s="630" t="s">
        <v>336</v>
      </c>
      <c r="B79" s="629">
        <v>3</v>
      </c>
      <c r="C79" s="630"/>
      <c r="D79" s="630" t="s">
        <v>319</v>
      </c>
      <c r="E79" s="630" t="s">
        <v>319</v>
      </c>
      <c r="F79" s="630" t="s">
        <v>319</v>
      </c>
      <c r="G79" s="630" t="s">
        <v>324</v>
      </c>
      <c r="H79" s="601" t="s">
        <v>325</v>
      </c>
      <c r="I79" s="601" t="s">
        <v>388</v>
      </c>
      <c r="J79" s="630" t="s">
        <v>338</v>
      </c>
      <c r="K79" s="630" t="s">
        <v>339</v>
      </c>
      <c r="L79" s="630" t="s">
        <v>320</v>
      </c>
      <c r="M79" s="630" t="s">
        <v>321</v>
      </c>
      <c r="N79" s="630" t="s">
        <v>340</v>
      </c>
      <c r="O79" s="630" t="s">
        <v>341</v>
      </c>
    </row>
    <row r="80" spans="1:15" hidden="1" x14ac:dyDescent="0.25">
      <c r="A80" s="630" t="s">
        <v>336</v>
      </c>
      <c r="B80" s="629">
        <v>3</v>
      </c>
      <c r="C80" s="630"/>
      <c r="D80" s="630" t="s">
        <v>319</v>
      </c>
      <c r="E80" s="630" t="s">
        <v>319</v>
      </c>
      <c r="F80" s="630" t="s">
        <v>319</v>
      </c>
      <c r="G80" s="630" t="s">
        <v>324</v>
      </c>
      <c r="H80" s="601" t="s">
        <v>325</v>
      </c>
      <c r="I80" s="601" t="s">
        <v>389</v>
      </c>
      <c r="J80" s="630" t="s">
        <v>338</v>
      </c>
      <c r="K80" s="630" t="s">
        <v>339</v>
      </c>
      <c r="L80" s="630" t="s">
        <v>320</v>
      </c>
      <c r="M80" s="630" t="s">
        <v>321</v>
      </c>
      <c r="N80" s="630" t="s">
        <v>340</v>
      </c>
      <c r="O80" s="630" t="s">
        <v>341</v>
      </c>
    </row>
    <row r="81" spans="1:15" hidden="1" x14ac:dyDescent="0.25">
      <c r="A81" s="630" t="s">
        <v>336</v>
      </c>
      <c r="B81" s="629">
        <v>3</v>
      </c>
      <c r="C81" s="630"/>
      <c r="D81" s="630" t="s">
        <v>319</v>
      </c>
      <c r="E81" s="630" t="s">
        <v>319</v>
      </c>
      <c r="F81" s="630" t="s">
        <v>319</v>
      </c>
      <c r="G81" s="630" t="s">
        <v>324</v>
      </c>
      <c r="H81" s="601" t="s">
        <v>325</v>
      </c>
      <c r="I81" s="601" t="s">
        <v>390</v>
      </c>
      <c r="J81" s="630" t="s">
        <v>338</v>
      </c>
      <c r="K81" s="630" t="s">
        <v>339</v>
      </c>
      <c r="L81" s="630" t="s">
        <v>320</v>
      </c>
      <c r="M81" s="630" t="s">
        <v>321</v>
      </c>
      <c r="N81" s="630" t="s">
        <v>340</v>
      </c>
      <c r="O81" s="630" t="s">
        <v>341</v>
      </c>
    </row>
    <row r="82" spans="1:15" hidden="1" x14ac:dyDescent="0.25">
      <c r="A82" s="630" t="s">
        <v>336</v>
      </c>
      <c r="B82" s="629">
        <v>3</v>
      </c>
      <c r="C82" s="630"/>
      <c r="D82" s="630" t="s">
        <v>319</v>
      </c>
      <c r="E82" s="630" t="s">
        <v>319</v>
      </c>
      <c r="F82" s="630" t="s">
        <v>319</v>
      </c>
      <c r="G82" s="630" t="s">
        <v>324</v>
      </c>
      <c r="H82" s="601" t="s">
        <v>325</v>
      </c>
      <c r="I82" s="601" t="s">
        <v>391</v>
      </c>
      <c r="J82" s="630" t="s">
        <v>338</v>
      </c>
      <c r="K82" s="630" t="s">
        <v>339</v>
      </c>
      <c r="L82" s="630" t="s">
        <v>320</v>
      </c>
      <c r="M82" s="630" t="s">
        <v>321</v>
      </c>
      <c r="N82" s="630" t="s">
        <v>340</v>
      </c>
      <c r="O82" s="630" t="s">
        <v>341</v>
      </c>
    </row>
    <row r="83" spans="1:15" hidden="1" x14ac:dyDescent="0.25">
      <c r="A83" s="630" t="s">
        <v>336</v>
      </c>
      <c r="B83" s="629">
        <v>3</v>
      </c>
      <c r="C83" s="630"/>
      <c r="D83" s="630" t="s">
        <v>319</v>
      </c>
      <c r="E83" s="630" t="s">
        <v>319</v>
      </c>
      <c r="F83" s="630" t="s">
        <v>319</v>
      </c>
      <c r="G83" s="630" t="s">
        <v>324</v>
      </c>
      <c r="H83" s="601" t="s">
        <v>325</v>
      </c>
      <c r="I83" s="601" t="s">
        <v>392</v>
      </c>
      <c r="J83" s="630" t="s">
        <v>338</v>
      </c>
      <c r="K83" s="630" t="s">
        <v>339</v>
      </c>
      <c r="L83" s="630" t="s">
        <v>320</v>
      </c>
      <c r="M83" s="630" t="s">
        <v>321</v>
      </c>
      <c r="N83" s="630" t="s">
        <v>340</v>
      </c>
      <c r="O83" s="630" t="s">
        <v>341</v>
      </c>
    </row>
    <row r="84" spans="1:15" hidden="1" x14ac:dyDescent="0.25">
      <c r="A84" s="630" t="s">
        <v>336</v>
      </c>
      <c r="B84" s="629">
        <v>3</v>
      </c>
      <c r="C84" s="630"/>
      <c r="D84" s="630" t="s">
        <v>319</v>
      </c>
      <c r="E84" s="630" t="s">
        <v>319</v>
      </c>
      <c r="F84" s="630" t="s">
        <v>319</v>
      </c>
      <c r="G84" s="630" t="s">
        <v>324</v>
      </c>
      <c r="H84" s="601" t="s">
        <v>325</v>
      </c>
      <c r="I84" s="601" t="s">
        <v>393</v>
      </c>
      <c r="J84" s="630" t="s">
        <v>338</v>
      </c>
      <c r="K84" s="630" t="s">
        <v>339</v>
      </c>
      <c r="L84" s="630" t="s">
        <v>320</v>
      </c>
      <c r="M84" s="630" t="s">
        <v>321</v>
      </c>
      <c r="N84" s="630" t="s">
        <v>340</v>
      </c>
      <c r="O84" s="630" t="s">
        <v>341</v>
      </c>
    </row>
    <row r="85" spans="1:15" hidden="1" x14ac:dyDescent="0.25">
      <c r="A85" s="630" t="s">
        <v>336</v>
      </c>
      <c r="B85" s="629">
        <v>3</v>
      </c>
      <c r="C85" s="630"/>
      <c r="D85" s="630" t="s">
        <v>319</v>
      </c>
      <c r="E85" s="630" t="s">
        <v>319</v>
      </c>
      <c r="F85" s="630" t="s">
        <v>319</v>
      </c>
      <c r="G85" s="630" t="s">
        <v>324</v>
      </c>
      <c r="H85" s="601" t="s">
        <v>325</v>
      </c>
      <c r="I85" s="601" t="s">
        <v>394</v>
      </c>
      <c r="J85" s="630" t="s">
        <v>338</v>
      </c>
      <c r="K85" s="630" t="s">
        <v>339</v>
      </c>
      <c r="L85" s="630" t="s">
        <v>320</v>
      </c>
      <c r="M85" s="630" t="s">
        <v>321</v>
      </c>
      <c r="N85" s="630" t="s">
        <v>340</v>
      </c>
      <c r="O85" s="630" t="s">
        <v>341</v>
      </c>
    </row>
    <row r="86" spans="1:15" hidden="1" x14ac:dyDescent="0.25">
      <c r="A86" s="630" t="s">
        <v>336</v>
      </c>
      <c r="B86" s="629">
        <v>3</v>
      </c>
      <c r="C86" s="630"/>
      <c r="D86" s="630" t="s">
        <v>319</v>
      </c>
      <c r="E86" s="630" t="s">
        <v>319</v>
      </c>
      <c r="F86" s="630" t="s">
        <v>319</v>
      </c>
      <c r="G86" s="630" t="s">
        <v>324</v>
      </c>
      <c r="H86" s="601" t="s">
        <v>325</v>
      </c>
      <c r="I86" s="601" t="s">
        <v>395</v>
      </c>
      <c r="J86" s="630" t="s">
        <v>338</v>
      </c>
      <c r="K86" s="630" t="s">
        <v>339</v>
      </c>
      <c r="L86" s="630" t="s">
        <v>320</v>
      </c>
      <c r="M86" s="630" t="s">
        <v>321</v>
      </c>
      <c r="N86" s="630" t="s">
        <v>340</v>
      </c>
      <c r="O86" s="630" t="s">
        <v>341</v>
      </c>
    </row>
    <row r="87" spans="1:15" hidden="1" x14ac:dyDescent="0.25">
      <c r="A87" s="630" t="s">
        <v>336</v>
      </c>
      <c r="B87" s="629">
        <v>3</v>
      </c>
      <c r="C87" s="630"/>
      <c r="D87" s="630" t="s">
        <v>319</v>
      </c>
      <c r="E87" s="630" t="s">
        <v>319</v>
      </c>
      <c r="F87" s="630" t="s">
        <v>319</v>
      </c>
      <c r="G87" s="630" t="s">
        <v>324</v>
      </c>
      <c r="H87" s="601" t="s">
        <v>325</v>
      </c>
      <c r="I87" s="601" t="s">
        <v>396</v>
      </c>
      <c r="J87" s="630" t="s">
        <v>338</v>
      </c>
      <c r="K87" s="630" t="s">
        <v>339</v>
      </c>
      <c r="L87" s="630" t="s">
        <v>320</v>
      </c>
      <c r="M87" s="630" t="s">
        <v>321</v>
      </c>
      <c r="N87" s="630" t="s">
        <v>340</v>
      </c>
      <c r="O87" s="630" t="s">
        <v>341</v>
      </c>
    </row>
    <row r="88" spans="1:15" hidden="1" x14ac:dyDescent="0.25">
      <c r="A88" s="630" t="s">
        <v>336</v>
      </c>
      <c r="B88" s="629">
        <v>3</v>
      </c>
      <c r="C88" s="630"/>
      <c r="D88" s="630" t="s">
        <v>319</v>
      </c>
      <c r="E88" s="630" t="s">
        <v>319</v>
      </c>
      <c r="F88" s="630" t="s">
        <v>319</v>
      </c>
      <c r="G88" s="630" t="s">
        <v>324</v>
      </c>
      <c r="H88" s="601" t="s">
        <v>325</v>
      </c>
      <c r="I88" s="601" t="s">
        <v>397</v>
      </c>
      <c r="J88" s="630" t="s">
        <v>338</v>
      </c>
      <c r="K88" s="630" t="s">
        <v>339</v>
      </c>
      <c r="L88" s="630" t="s">
        <v>320</v>
      </c>
      <c r="M88" s="630" t="s">
        <v>321</v>
      </c>
      <c r="N88" s="630" t="s">
        <v>340</v>
      </c>
      <c r="O88" s="630" t="s">
        <v>341</v>
      </c>
    </row>
    <row r="89" spans="1:15" hidden="1" x14ac:dyDescent="0.25">
      <c r="A89" s="630" t="s">
        <v>336</v>
      </c>
      <c r="B89" s="629">
        <v>3</v>
      </c>
      <c r="C89" s="630"/>
      <c r="D89" s="630" t="s">
        <v>319</v>
      </c>
      <c r="E89" s="630" t="s">
        <v>319</v>
      </c>
      <c r="F89" s="630" t="s">
        <v>319</v>
      </c>
      <c r="G89" s="630" t="s">
        <v>324</v>
      </c>
      <c r="H89" s="601" t="s">
        <v>325</v>
      </c>
      <c r="I89" s="601" t="s">
        <v>398</v>
      </c>
      <c r="J89" s="630" t="s">
        <v>338</v>
      </c>
      <c r="K89" s="630" t="s">
        <v>339</v>
      </c>
      <c r="L89" s="630" t="s">
        <v>320</v>
      </c>
      <c r="M89" s="630" t="s">
        <v>321</v>
      </c>
      <c r="N89" s="630" t="s">
        <v>340</v>
      </c>
      <c r="O89" s="630" t="s">
        <v>341</v>
      </c>
    </row>
    <row r="90" spans="1:15" hidden="1" x14ac:dyDescent="0.25">
      <c r="A90" s="630" t="s">
        <v>336</v>
      </c>
      <c r="B90" s="629">
        <v>3</v>
      </c>
      <c r="C90" s="630"/>
      <c r="D90" s="630" t="s">
        <v>319</v>
      </c>
      <c r="E90" s="630" t="s">
        <v>319</v>
      </c>
      <c r="F90" s="630" t="s">
        <v>319</v>
      </c>
      <c r="G90" s="630" t="s">
        <v>324</v>
      </c>
      <c r="H90" s="601" t="s">
        <v>325</v>
      </c>
      <c r="I90" s="601" t="s">
        <v>399</v>
      </c>
      <c r="J90" s="630" t="s">
        <v>338</v>
      </c>
      <c r="K90" s="630" t="s">
        <v>339</v>
      </c>
      <c r="L90" s="630" t="s">
        <v>320</v>
      </c>
      <c r="M90" s="630" t="s">
        <v>321</v>
      </c>
      <c r="N90" s="630" t="s">
        <v>340</v>
      </c>
      <c r="O90" s="630" t="s">
        <v>341</v>
      </c>
    </row>
    <row r="91" spans="1:15" hidden="1" x14ac:dyDescent="0.25">
      <c r="A91" s="630" t="s">
        <v>336</v>
      </c>
      <c r="B91" s="629">
        <v>3</v>
      </c>
      <c r="C91" s="630"/>
      <c r="D91" s="630" t="s">
        <v>319</v>
      </c>
      <c r="E91" s="630" t="s">
        <v>319</v>
      </c>
      <c r="F91" s="630" t="s">
        <v>319</v>
      </c>
      <c r="G91" s="630" t="s">
        <v>324</v>
      </c>
      <c r="H91" s="601" t="s">
        <v>325</v>
      </c>
      <c r="I91" s="601" t="s">
        <v>400</v>
      </c>
      <c r="J91" s="630" t="s">
        <v>338</v>
      </c>
      <c r="K91" s="630" t="s">
        <v>339</v>
      </c>
      <c r="L91" s="630" t="s">
        <v>320</v>
      </c>
      <c r="M91" s="630" t="s">
        <v>321</v>
      </c>
      <c r="N91" s="630" t="s">
        <v>340</v>
      </c>
      <c r="O91" s="630" t="s">
        <v>341</v>
      </c>
    </row>
    <row r="92" spans="1:15" hidden="1" x14ac:dyDescent="0.25">
      <c r="A92" s="630" t="s">
        <v>336</v>
      </c>
      <c r="B92" s="629">
        <v>3</v>
      </c>
      <c r="C92" s="630"/>
      <c r="D92" s="630" t="s">
        <v>319</v>
      </c>
      <c r="E92" s="630" t="s">
        <v>319</v>
      </c>
      <c r="F92" s="630" t="s">
        <v>319</v>
      </c>
      <c r="G92" s="630" t="s">
        <v>324</v>
      </c>
      <c r="H92" s="601" t="s">
        <v>325</v>
      </c>
      <c r="I92" s="601" t="s">
        <v>401</v>
      </c>
      <c r="J92" s="630" t="s">
        <v>338</v>
      </c>
      <c r="K92" s="630" t="s">
        <v>339</v>
      </c>
      <c r="L92" s="630" t="s">
        <v>320</v>
      </c>
      <c r="M92" s="630" t="s">
        <v>321</v>
      </c>
      <c r="N92" s="630" t="s">
        <v>340</v>
      </c>
      <c r="O92" s="630" t="s">
        <v>341</v>
      </c>
    </row>
    <row r="93" spans="1:15" hidden="1" x14ac:dyDescent="0.25">
      <c r="A93" s="630" t="s">
        <v>336</v>
      </c>
      <c r="B93" s="629">
        <v>3</v>
      </c>
      <c r="C93" s="630"/>
      <c r="D93" s="630" t="s">
        <v>319</v>
      </c>
      <c r="E93" s="630" t="s">
        <v>319</v>
      </c>
      <c r="F93" s="630" t="s">
        <v>319</v>
      </c>
      <c r="G93" s="630" t="s">
        <v>324</v>
      </c>
      <c r="H93" s="601" t="s">
        <v>325</v>
      </c>
      <c r="I93" s="601" t="s">
        <v>402</v>
      </c>
      <c r="J93" s="630" t="s">
        <v>338</v>
      </c>
      <c r="K93" s="630" t="s">
        <v>339</v>
      </c>
      <c r="L93" s="630" t="s">
        <v>320</v>
      </c>
      <c r="M93" s="630" t="s">
        <v>321</v>
      </c>
      <c r="N93" s="630" t="s">
        <v>340</v>
      </c>
      <c r="O93" s="630" t="s">
        <v>341</v>
      </c>
    </row>
    <row r="94" spans="1:15" hidden="1" x14ac:dyDescent="0.25">
      <c r="A94" s="630" t="s">
        <v>336</v>
      </c>
      <c r="B94" s="629">
        <v>3</v>
      </c>
      <c r="C94" s="630"/>
      <c r="D94" s="630" t="s">
        <v>319</v>
      </c>
      <c r="E94" s="630" t="s">
        <v>319</v>
      </c>
      <c r="F94" s="630" t="s">
        <v>319</v>
      </c>
      <c r="G94" s="630" t="s">
        <v>324</v>
      </c>
      <c r="H94" s="601" t="s">
        <v>325</v>
      </c>
      <c r="I94" s="601" t="s">
        <v>403</v>
      </c>
      <c r="J94" s="630" t="s">
        <v>338</v>
      </c>
      <c r="K94" s="630" t="s">
        <v>339</v>
      </c>
      <c r="L94" s="630" t="s">
        <v>320</v>
      </c>
      <c r="M94" s="630" t="s">
        <v>321</v>
      </c>
      <c r="N94" s="630" t="s">
        <v>340</v>
      </c>
      <c r="O94" s="630" t="s">
        <v>341</v>
      </c>
    </row>
    <row r="95" spans="1:15" hidden="1" x14ac:dyDescent="0.25">
      <c r="A95" s="630" t="s">
        <v>336</v>
      </c>
      <c r="B95" s="629">
        <v>3</v>
      </c>
      <c r="C95" s="630"/>
      <c r="D95" s="630" t="s">
        <v>319</v>
      </c>
      <c r="E95" s="630" t="s">
        <v>319</v>
      </c>
      <c r="F95" s="630" t="s">
        <v>319</v>
      </c>
      <c r="G95" s="630" t="s">
        <v>324</v>
      </c>
      <c r="H95" s="601" t="s">
        <v>325</v>
      </c>
      <c r="I95" s="601" t="s">
        <v>404</v>
      </c>
      <c r="J95" s="630" t="s">
        <v>338</v>
      </c>
      <c r="K95" s="630" t="s">
        <v>339</v>
      </c>
      <c r="L95" s="630" t="s">
        <v>320</v>
      </c>
      <c r="M95" s="630" t="s">
        <v>321</v>
      </c>
      <c r="N95" s="630" t="s">
        <v>340</v>
      </c>
      <c r="O95" s="630" t="s">
        <v>341</v>
      </c>
    </row>
    <row r="96" spans="1:15" hidden="1" x14ac:dyDescent="0.25">
      <c r="A96" s="630" t="s">
        <v>336</v>
      </c>
      <c r="B96" s="629">
        <v>3</v>
      </c>
      <c r="C96" s="630"/>
      <c r="D96" s="630" t="s">
        <v>319</v>
      </c>
      <c r="E96" s="630" t="s">
        <v>319</v>
      </c>
      <c r="F96" s="630" t="s">
        <v>319</v>
      </c>
      <c r="G96" s="630" t="s">
        <v>324</v>
      </c>
      <c r="H96" s="601" t="s">
        <v>325</v>
      </c>
      <c r="I96" s="601" t="s">
        <v>405</v>
      </c>
      <c r="J96" s="630" t="s">
        <v>338</v>
      </c>
      <c r="K96" s="630" t="s">
        <v>339</v>
      </c>
      <c r="L96" s="630" t="s">
        <v>320</v>
      </c>
      <c r="M96" s="630" t="s">
        <v>321</v>
      </c>
      <c r="N96" s="630" t="s">
        <v>340</v>
      </c>
      <c r="O96" s="630" t="s">
        <v>341</v>
      </c>
    </row>
    <row r="97" spans="1:15" hidden="1" x14ac:dyDescent="0.25">
      <c r="A97" s="630" t="s">
        <v>336</v>
      </c>
      <c r="B97" s="629">
        <v>3</v>
      </c>
      <c r="C97" s="630"/>
      <c r="D97" s="630" t="s">
        <v>319</v>
      </c>
      <c r="E97" s="630" t="s">
        <v>319</v>
      </c>
      <c r="F97" s="630" t="s">
        <v>319</v>
      </c>
      <c r="G97" s="630" t="s">
        <v>324</v>
      </c>
      <c r="H97" s="601" t="s">
        <v>325</v>
      </c>
      <c r="I97" s="601" t="s">
        <v>406</v>
      </c>
      <c r="J97" s="630" t="s">
        <v>338</v>
      </c>
      <c r="K97" s="630" t="s">
        <v>339</v>
      </c>
      <c r="L97" s="630" t="s">
        <v>320</v>
      </c>
      <c r="M97" s="630" t="s">
        <v>321</v>
      </c>
      <c r="N97" s="630" t="s">
        <v>340</v>
      </c>
      <c r="O97" s="630" t="s">
        <v>341</v>
      </c>
    </row>
    <row r="98" spans="1:15" hidden="1" x14ac:dyDescent="0.25">
      <c r="A98" s="630" t="s">
        <v>336</v>
      </c>
      <c r="B98" s="629">
        <v>3</v>
      </c>
      <c r="C98" s="630"/>
      <c r="D98" s="630" t="s">
        <v>319</v>
      </c>
      <c r="E98" s="630" t="s">
        <v>319</v>
      </c>
      <c r="F98" s="630" t="s">
        <v>319</v>
      </c>
      <c r="G98" s="630" t="s">
        <v>324</v>
      </c>
      <c r="H98" s="601" t="s">
        <v>325</v>
      </c>
      <c r="I98" s="601" t="s">
        <v>407</v>
      </c>
      <c r="J98" s="630" t="s">
        <v>338</v>
      </c>
      <c r="K98" s="630" t="s">
        <v>339</v>
      </c>
      <c r="L98" s="630" t="s">
        <v>320</v>
      </c>
      <c r="M98" s="630" t="s">
        <v>321</v>
      </c>
      <c r="N98" s="630" t="s">
        <v>340</v>
      </c>
      <c r="O98" s="630" t="s">
        <v>341</v>
      </c>
    </row>
    <row r="99" spans="1:15" hidden="1" x14ac:dyDescent="0.25">
      <c r="A99" s="630" t="s">
        <v>336</v>
      </c>
      <c r="B99" s="629">
        <v>3</v>
      </c>
      <c r="C99" s="630"/>
      <c r="D99" s="630" t="s">
        <v>319</v>
      </c>
      <c r="E99" s="630" t="s">
        <v>319</v>
      </c>
      <c r="F99" s="630" t="s">
        <v>319</v>
      </c>
      <c r="G99" s="630" t="s">
        <v>324</v>
      </c>
      <c r="H99" s="601" t="s">
        <v>325</v>
      </c>
      <c r="I99" s="601" t="s">
        <v>408</v>
      </c>
      <c r="J99" s="630" t="s">
        <v>338</v>
      </c>
      <c r="K99" s="630" t="s">
        <v>339</v>
      </c>
      <c r="L99" s="630" t="s">
        <v>320</v>
      </c>
      <c r="M99" s="630" t="s">
        <v>321</v>
      </c>
      <c r="N99" s="630" t="s">
        <v>340</v>
      </c>
      <c r="O99" s="630" t="s">
        <v>341</v>
      </c>
    </row>
    <row r="100" spans="1:15" hidden="1" x14ac:dyDescent="0.25">
      <c r="A100" s="630" t="s">
        <v>336</v>
      </c>
      <c r="B100" s="629">
        <v>3</v>
      </c>
      <c r="C100" s="630"/>
      <c r="D100" s="630" t="s">
        <v>319</v>
      </c>
      <c r="E100" s="630" t="s">
        <v>319</v>
      </c>
      <c r="F100" s="630" t="s">
        <v>319</v>
      </c>
      <c r="G100" s="630" t="s">
        <v>324</v>
      </c>
      <c r="H100" s="601" t="s">
        <v>325</v>
      </c>
      <c r="I100" s="601" t="s">
        <v>409</v>
      </c>
      <c r="J100" s="630" t="s">
        <v>338</v>
      </c>
      <c r="K100" s="630" t="s">
        <v>339</v>
      </c>
      <c r="L100" s="630" t="s">
        <v>320</v>
      </c>
      <c r="M100" s="630" t="s">
        <v>321</v>
      </c>
      <c r="N100" s="630" t="s">
        <v>340</v>
      </c>
      <c r="O100" s="630" t="s">
        <v>341</v>
      </c>
    </row>
    <row r="101" spans="1:15" hidden="1" x14ac:dyDescent="0.25">
      <c r="A101" s="630" t="s">
        <v>336</v>
      </c>
      <c r="B101" s="629">
        <v>3</v>
      </c>
      <c r="C101" s="630"/>
      <c r="D101" s="630" t="s">
        <v>319</v>
      </c>
      <c r="E101" s="630" t="s">
        <v>319</v>
      </c>
      <c r="F101" s="630" t="s">
        <v>319</v>
      </c>
      <c r="G101" s="630" t="s">
        <v>324</v>
      </c>
      <c r="H101" s="601" t="s">
        <v>325</v>
      </c>
      <c r="I101" s="601" t="s">
        <v>410</v>
      </c>
      <c r="J101" s="630" t="s">
        <v>338</v>
      </c>
      <c r="K101" s="630" t="s">
        <v>339</v>
      </c>
      <c r="L101" s="630" t="s">
        <v>320</v>
      </c>
      <c r="M101" s="630" t="s">
        <v>321</v>
      </c>
      <c r="N101" s="630" t="s">
        <v>340</v>
      </c>
      <c r="O101" s="630" t="s">
        <v>341</v>
      </c>
    </row>
    <row r="102" spans="1:15" hidden="1" x14ac:dyDescent="0.25">
      <c r="A102" s="630" t="s">
        <v>336</v>
      </c>
      <c r="B102" s="629">
        <v>3</v>
      </c>
      <c r="C102" s="630"/>
      <c r="D102" s="630" t="s">
        <v>319</v>
      </c>
      <c r="E102" s="630" t="s">
        <v>319</v>
      </c>
      <c r="F102" s="630" t="s">
        <v>319</v>
      </c>
      <c r="G102" s="630" t="s">
        <v>324</v>
      </c>
      <c r="H102" s="601" t="s">
        <v>325</v>
      </c>
      <c r="I102" s="601" t="s">
        <v>411</v>
      </c>
      <c r="J102" s="630" t="s">
        <v>338</v>
      </c>
      <c r="K102" s="630" t="s">
        <v>339</v>
      </c>
      <c r="L102" s="630" t="s">
        <v>320</v>
      </c>
      <c r="M102" s="630" t="s">
        <v>321</v>
      </c>
      <c r="N102" s="630" t="s">
        <v>340</v>
      </c>
      <c r="O102" s="630" t="s">
        <v>341</v>
      </c>
    </row>
    <row r="103" spans="1:15" hidden="1" x14ac:dyDescent="0.25">
      <c r="A103" s="630" t="s">
        <v>336</v>
      </c>
      <c r="B103" s="629">
        <v>3</v>
      </c>
      <c r="C103" s="630"/>
      <c r="D103" s="630" t="s">
        <v>319</v>
      </c>
      <c r="E103" s="630" t="s">
        <v>319</v>
      </c>
      <c r="F103" s="630" t="s">
        <v>319</v>
      </c>
      <c r="G103" s="630" t="s">
        <v>324</v>
      </c>
      <c r="H103" s="601" t="s">
        <v>325</v>
      </c>
      <c r="I103" s="601" t="s">
        <v>412</v>
      </c>
      <c r="J103" s="630" t="s">
        <v>338</v>
      </c>
      <c r="K103" s="630" t="s">
        <v>339</v>
      </c>
      <c r="L103" s="630" t="s">
        <v>320</v>
      </c>
      <c r="M103" s="630" t="s">
        <v>321</v>
      </c>
      <c r="N103" s="630" t="s">
        <v>340</v>
      </c>
      <c r="O103" s="630" t="s">
        <v>341</v>
      </c>
    </row>
    <row r="104" spans="1:15" hidden="1" x14ac:dyDescent="0.25">
      <c r="A104" s="630" t="s">
        <v>336</v>
      </c>
      <c r="B104" s="629">
        <v>3</v>
      </c>
      <c r="C104" s="630"/>
      <c r="D104" s="630" t="s">
        <v>319</v>
      </c>
      <c r="E104" s="630" t="s">
        <v>319</v>
      </c>
      <c r="F104" s="630" t="s">
        <v>319</v>
      </c>
      <c r="G104" s="630" t="s">
        <v>324</v>
      </c>
      <c r="H104" s="601" t="s">
        <v>325</v>
      </c>
      <c r="I104" s="601" t="s">
        <v>413</v>
      </c>
      <c r="J104" s="630" t="s">
        <v>338</v>
      </c>
      <c r="K104" s="630" t="s">
        <v>339</v>
      </c>
      <c r="L104" s="630" t="s">
        <v>320</v>
      </c>
      <c r="M104" s="630" t="s">
        <v>321</v>
      </c>
      <c r="N104" s="630" t="s">
        <v>340</v>
      </c>
      <c r="O104" s="630" t="s">
        <v>341</v>
      </c>
    </row>
    <row r="105" spans="1:15" hidden="1" x14ac:dyDescent="0.25">
      <c r="A105" s="630" t="s">
        <v>336</v>
      </c>
      <c r="B105" s="629">
        <v>3</v>
      </c>
      <c r="C105" s="630"/>
      <c r="D105" s="630" t="s">
        <v>319</v>
      </c>
      <c r="E105" s="630" t="s">
        <v>319</v>
      </c>
      <c r="F105" s="630" t="s">
        <v>319</v>
      </c>
      <c r="G105" s="630" t="s">
        <v>324</v>
      </c>
      <c r="H105" s="601" t="s">
        <v>325</v>
      </c>
      <c r="I105" s="601" t="s">
        <v>414</v>
      </c>
      <c r="J105" s="630" t="s">
        <v>338</v>
      </c>
      <c r="K105" s="630" t="s">
        <v>339</v>
      </c>
      <c r="L105" s="630" t="s">
        <v>320</v>
      </c>
      <c r="M105" s="630" t="s">
        <v>321</v>
      </c>
      <c r="N105" s="630" t="s">
        <v>340</v>
      </c>
      <c r="O105" s="630" t="s">
        <v>341</v>
      </c>
    </row>
    <row r="106" spans="1:15" hidden="1" x14ac:dyDescent="0.25">
      <c r="A106" s="630" t="s">
        <v>336</v>
      </c>
      <c r="B106" s="629">
        <v>3</v>
      </c>
      <c r="C106" s="630"/>
      <c r="D106" s="630" t="s">
        <v>319</v>
      </c>
      <c r="E106" s="630" t="s">
        <v>319</v>
      </c>
      <c r="F106" s="630" t="s">
        <v>319</v>
      </c>
      <c r="G106" s="630" t="s">
        <v>324</v>
      </c>
      <c r="H106" s="601" t="s">
        <v>325</v>
      </c>
      <c r="I106" s="601" t="s">
        <v>415</v>
      </c>
      <c r="J106" s="630" t="s">
        <v>338</v>
      </c>
      <c r="K106" s="630" t="s">
        <v>339</v>
      </c>
      <c r="L106" s="630" t="s">
        <v>320</v>
      </c>
      <c r="M106" s="630" t="s">
        <v>321</v>
      </c>
      <c r="N106" s="630" t="s">
        <v>340</v>
      </c>
      <c r="O106" s="630" t="s">
        <v>341</v>
      </c>
    </row>
    <row r="107" spans="1:15" hidden="1" x14ac:dyDescent="0.25">
      <c r="A107" s="630" t="s">
        <v>336</v>
      </c>
      <c r="B107" s="629">
        <v>3</v>
      </c>
      <c r="C107" s="630"/>
      <c r="D107" s="630" t="s">
        <v>319</v>
      </c>
      <c r="E107" s="630" t="s">
        <v>319</v>
      </c>
      <c r="F107" s="630" t="s">
        <v>319</v>
      </c>
      <c r="G107" s="630" t="s">
        <v>324</v>
      </c>
      <c r="H107" s="601" t="s">
        <v>325</v>
      </c>
      <c r="I107" s="601" t="s">
        <v>416</v>
      </c>
      <c r="J107" s="630" t="s">
        <v>338</v>
      </c>
      <c r="K107" s="630" t="s">
        <v>339</v>
      </c>
      <c r="L107" s="630" t="s">
        <v>320</v>
      </c>
      <c r="M107" s="630" t="s">
        <v>321</v>
      </c>
      <c r="N107" s="630" t="s">
        <v>340</v>
      </c>
      <c r="O107" s="630" t="s">
        <v>341</v>
      </c>
    </row>
    <row r="108" spans="1:15" hidden="1" x14ac:dyDescent="0.25">
      <c r="A108" s="630" t="s">
        <v>336</v>
      </c>
      <c r="B108" s="629">
        <v>0.85</v>
      </c>
      <c r="C108" s="630"/>
      <c r="D108" s="630" t="s">
        <v>319</v>
      </c>
      <c r="E108" s="630" t="s">
        <v>319</v>
      </c>
      <c r="F108" s="630" t="s">
        <v>319</v>
      </c>
      <c r="G108" s="630" t="s">
        <v>324</v>
      </c>
      <c r="H108" s="601" t="s">
        <v>325</v>
      </c>
      <c r="I108" s="601" t="s">
        <v>337</v>
      </c>
      <c r="J108" s="630" t="s">
        <v>338</v>
      </c>
      <c r="K108" s="630" t="s">
        <v>339</v>
      </c>
      <c r="L108" s="630" t="b">
        <v>0</v>
      </c>
      <c r="M108" s="630" t="s">
        <v>321</v>
      </c>
      <c r="N108" s="630" t="s">
        <v>340</v>
      </c>
      <c r="O108" s="630" t="s">
        <v>341</v>
      </c>
    </row>
    <row r="109" spans="1:15" hidden="1" x14ac:dyDescent="0.25">
      <c r="A109" s="630" t="s">
        <v>336</v>
      </c>
      <c r="B109" s="629">
        <v>0.85</v>
      </c>
      <c r="C109" s="630"/>
      <c r="D109" s="630" t="s">
        <v>319</v>
      </c>
      <c r="E109" s="630" t="s">
        <v>319</v>
      </c>
      <c r="F109" s="630" t="s">
        <v>319</v>
      </c>
      <c r="G109" s="630" t="s">
        <v>324</v>
      </c>
      <c r="H109" s="601" t="s">
        <v>325</v>
      </c>
      <c r="I109" s="601" t="s">
        <v>342</v>
      </c>
      <c r="J109" s="630" t="s">
        <v>338</v>
      </c>
      <c r="K109" s="630" t="s">
        <v>339</v>
      </c>
      <c r="L109" s="630" t="b">
        <v>0</v>
      </c>
      <c r="M109" s="630" t="s">
        <v>321</v>
      </c>
      <c r="N109" s="630" t="s">
        <v>340</v>
      </c>
      <c r="O109" s="630" t="s">
        <v>341</v>
      </c>
    </row>
    <row r="110" spans="1:15" hidden="1" x14ac:dyDescent="0.25">
      <c r="A110" s="630" t="s">
        <v>336</v>
      </c>
      <c r="B110" s="629">
        <v>0.85</v>
      </c>
      <c r="C110" s="630"/>
      <c r="D110" s="630" t="s">
        <v>319</v>
      </c>
      <c r="E110" s="630" t="s">
        <v>319</v>
      </c>
      <c r="F110" s="630" t="s">
        <v>319</v>
      </c>
      <c r="G110" s="630" t="s">
        <v>324</v>
      </c>
      <c r="H110" s="601" t="s">
        <v>325</v>
      </c>
      <c r="I110" s="601" t="s">
        <v>343</v>
      </c>
      <c r="J110" s="630" t="s">
        <v>338</v>
      </c>
      <c r="K110" s="630" t="s">
        <v>339</v>
      </c>
      <c r="L110" s="630" t="b">
        <v>0</v>
      </c>
      <c r="M110" s="630" t="s">
        <v>321</v>
      </c>
      <c r="N110" s="630" t="s">
        <v>340</v>
      </c>
      <c r="O110" s="630" t="s">
        <v>341</v>
      </c>
    </row>
    <row r="111" spans="1:15" hidden="1" x14ac:dyDescent="0.25">
      <c r="A111" s="630" t="s">
        <v>336</v>
      </c>
      <c r="B111" s="629">
        <v>0.85</v>
      </c>
      <c r="C111" s="630"/>
      <c r="D111" s="630" t="s">
        <v>319</v>
      </c>
      <c r="E111" s="630" t="s">
        <v>319</v>
      </c>
      <c r="F111" s="630" t="s">
        <v>319</v>
      </c>
      <c r="G111" s="630" t="s">
        <v>324</v>
      </c>
      <c r="H111" s="601" t="s">
        <v>325</v>
      </c>
      <c r="I111" s="601" t="s">
        <v>344</v>
      </c>
      <c r="J111" s="630" t="s">
        <v>338</v>
      </c>
      <c r="K111" s="630" t="s">
        <v>339</v>
      </c>
      <c r="L111" s="630" t="b">
        <v>0</v>
      </c>
      <c r="M111" s="630" t="s">
        <v>321</v>
      </c>
      <c r="N111" s="630" t="s">
        <v>340</v>
      </c>
      <c r="O111" s="630" t="s">
        <v>341</v>
      </c>
    </row>
    <row r="112" spans="1:15" hidden="1" x14ac:dyDescent="0.25">
      <c r="A112" s="630" t="s">
        <v>336</v>
      </c>
      <c r="B112" s="629">
        <v>0.85</v>
      </c>
      <c r="C112" s="630"/>
      <c r="D112" s="630" t="s">
        <v>319</v>
      </c>
      <c r="E112" s="630" t="s">
        <v>319</v>
      </c>
      <c r="F112" s="630" t="s">
        <v>319</v>
      </c>
      <c r="G112" s="630" t="s">
        <v>324</v>
      </c>
      <c r="H112" s="601" t="s">
        <v>325</v>
      </c>
      <c r="I112" s="601" t="s">
        <v>345</v>
      </c>
      <c r="J112" s="630" t="s">
        <v>338</v>
      </c>
      <c r="K112" s="630" t="s">
        <v>339</v>
      </c>
      <c r="L112" s="630" t="b">
        <v>0</v>
      </c>
      <c r="M112" s="630" t="s">
        <v>321</v>
      </c>
      <c r="N112" s="630" t="s">
        <v>340</v>
      </c>
      <c r="O112" s="630" t="s">
        <v>341</v>
      </c>
    </row>
    <row r="113" spans="1:15" hidden="1" x14ac:dyDescent="0.25">
      <c r="A113" s="630" t="s">
        <v>336</v>
      </c>
      <c r="B113" s="629">
        <v>0.9</v>
      </c>
      <c r="C113" s="630"/>
      <c r="D113" s="630" t="s">
        <v>319</v>
      </c>
      <c r="E113" s="630" t="s">
        <v>319</v>
      </c>
      <c r="F113" s="630" t="s">
        <v>319</v>
      </c>
      <c r="G113" s="630" t="s">
        <v>324</v>
      </c>
      <c r="H113" s="601" t="s">
        <v>325</v>
      </c>
      <c r="I113" s="601" t="s">
        <v>346</v>
      </c>
      <c r="J113" s="630" t="s">
        <v>338</v>
      </c>
      <c r="K113" s="630" t="s">
        <v>339</v>
      </c>
      <c r="L113" s="630" t="b">
        <v>0</v>
      </c>
      <c r="M113" s="630" t="s">
        <v>321</v>
      </c>
      <c r="N113" s="630" t="s">
        <v>340</v>
      </c>
      <c r="O113" s="630" t="s">
        <v>341</v>
      </c>
    </row>
    <row r="114" spans="1:15" hidden="1" x14ac:dyDescent="0.25">
      <c r="A114" s="630" t="s">
        <v>336</v>
      </c>
      <c r="B114" s="629">
        <v>0.9</v>
      </c>
      <c r="C114" s="630"/>
      <c r="D114" s="630" t="s">
        <v>319</v>
      </c>
      <c r="E114" s="630" t="s">
        <v>319</v>
      </c>
      <c r="F114" s="630" t="s">
        <v>319</v>
      </c>
      <c r="G114" s="630" t="s">
        <v>324</v>
      </c>
      <c r="H114" s="601" t="s">
        <v>325</v>
      </c>
      <c r="I114" s="601" t="s">
        <v>347</v>
      </c>
      <c r="J114" s="630" t="s">
        <v>338</v>
      </c>
      <c r="K114" s="630" t="s">
        <v>339</v>
      </c>
      <c r="L114" s="630" t="b">
        <v>0</v>
      </c>
      <c r="M114" s="630" t="s">
        <v>321</v>
      </c>
      <c r="N114" s="630" t="s">
        <v>340</v>
      </c>
      <c r="O114" s="630" t="s">
        <v>341</v>
      </c>
    </row>
    <row r="115" spans="1:15" hidden="1" x14ac:dyDescent="0.25">
      <c r="A115" s="630" t="s">
        <v>336</v>
      </c>
      <c r="B115" s="629">
        <v>0.9</v>
      </c>
      <c r="C115" s="630"/>
      <c r="D115" s="630" t="s">
        <v>319</v>
      </c>
      <c r="E115" s="630" t="s">
        <v>319</v>
      </c>
      <c r="F115" s="630" t="s">
        <v>319</v>
      </c>
      <c r="G115" s="630" t="s">
        <v>324</v>
      </c>
      <c r="H115" s="601" t="s">
        <v>325</v>
      </c>
      <c r="I115" s="601" t="s">
        <v>348</v>
      </c>
      <c r="J115" s="630" t="s">
        <v>338</v>
      </c>
      <c r="K115" s="630" t="s">
        <v>339</v>
      </c>
      <c r="L115" s="630" t="b">
        <v>0</v>
      </c>
      <c r="M115" s="630" t="s">
        <v>321</v>
      </c>
      <c r="N115" s="630" t="s">
        <v>340</v>
      </c>
      <c r="O115" s="630" t="s">
        <v>341</v>
      </c>
    </row>
    <row r="116" spans="1:15" hidden="1" x14ac:dyDescent="0.25">
      <c r="A116" s="630" t="s">
        <v>336</v>
      </c>
      <c r="B116" s="629">
        <v>0.9</v>
      </c>
      <c r="C116" s="630"/>
      <c r="D116" s="630" t="s">
        <v>319</v>
      </c>
      <c r="E116" s="630" t="s">
        <v>319</v>
      </c>
      <c r="F116" s="630" t="s">
        <v>319</v>
      </c>
      <c r="G116" s="630" t="s">
        <v>324</v>
      </c>
      <c r="H116" s="601" t="s">
        <v>325</v>
      </c>
      <c r="I116" s="601" t="s">
        <v>349</v>
      </c>
      <c r="J116" s="630" t="s">
        <v>338</v>
      </c>
      <c r="K116" s="630" t="s">
        <v>339</v>
      </c>
      <c r="L116" s="630" t="b">
        <v>0</v>
      </c>
      <c r="M116" s="630" t="s">
        <v>321</v>
      </c>
      <c r="N116" s="630" t="s">
        <v>340</v>
      </c>
      <c r="O116" s="630" t="s">
        <v>341</v>
      </c>
    </row>
    <row r="117" spans="1:15" hidden="1" x14ac:dyDescent="0.25">
      <c r="A117" s="630" t="s">
        <v>336</v>
      </c>
      <c r="B117" s="629">
        <v>0.9</v>
      </c>
      <c r="C117" s="630"/>
      <c r="D117" s="630" t="s">
        <v>319</v>
      </c>
      <c r="E117" s="630" t="s">
        <v>319</v>
      </c>
      <c r="F117" s="630" t="s">
        <v>319</v>
      </c>
      <c r="G117" s="630" t="s">
        <v>324</v>
      </c>
      <c r="H117" s="601" t="s">
        <v>325</v>
      </c>
      <c r="I117" s="601" t="s">
        <v>350</v>
      </c>
      <c r="J117" s="630" t="s">
        <v>338</v>
      </c>
      <c r="K117" s="630" t="s">
        <v>339</v>
      </c>
      <c r="L117" s="630" t="b">
        <v>0</v>
      </c>
      <c r="M117" s="630" t="s">
        <v>321</v>
      </c>
      <c r="N117" s="630" t="s">
        <v>340</v>
      </c>
      <c r="O117" s="630" t="s">
        <v>341</v>
      </c>
    </row>
    <row r="118" spans="1:15" hidden="1" x14ac:dyDescent="0.25">
      <c r="A118" s="630" t="s">
        <v>336</v>
      </c>
      <c r="B118" s="629">
        <v>0.9</v>
      </c>
      <c r="C118" s="630"/>
      <c r="D118" s="630" t="s">
        <v>319</v>
      </c>
      <c r="E118" s="630" t="s">
        <v>319</v>
      </c>
      <c r="F118" s="630" t="s">
        <v>319</v>
      </c>
      <c r="G118" s="630" t="s">
        <v>324</v>
      </c>
      <c r="H118" s="601" t="s">
        <v>325</v>
      </c>
      <c r="I118" s="601" t="s">
        <v>351</v>
      </c>
      <c r="J118" s="630" t="s">
        <v>338</v>
      </c>
      <c r="K118" s="630" t="s">
        <v>339</v>
      </c>
      <c r="L118" s="630" t="b">
        <v>0</v>
      </c>
      <c r="M118" s="630" t="s">
        <v>321</v>
      </c>
      <c r="N118" s="630" t="s">
        <v>340</v>
      </c>
      <c r="O118" s="630" t="s">
        <v>341</v>
      </c>
    </row>
    <row r="119" spans="1:15" hidden="1" x14ac:dyDescent="0.25">
      <c r="A119" s="630" t="s">
        <v>336</v>
      </c>
      <c r="B119" s="629">
        <v>0.9</v>
      </c>
      <c r="C119" s="630"/>
      <c r="D119" s="630" t="s">
        <v>319</v>
      </c>
      <c r="E119" s="630" t="s">
        <v>319</v>
      </c>
      <c r="F119" s="630" t="s">
        <v>319</v>
      </c>
      <c r="G119" s="630" t="s">
        <v>324</v>
      </c>
      <c r="H119" s="601" t="s">
        <v>325</v>
      </c>
      <c r="I119" s="601" t="s">
        <v>352</v>
      </c>
      <c r="J119" s="630" t="s">
        <v>338</v>
      </c>
      <c r="K119" s="630" t="s">
        <v>339</v>
      </c>
      <c r="L119" s="630" t="b">
        <v>0</v>
      </c>
      <c r="M119" s="630" t="s">
        <v>321</v>
      </c>
      <c r="N119" s="630" t="s">
        <v>340</v>
      </c>
      <c r="O119" s="630" t="s">
        <v>341</v>
      </c>
    </row>
    <row r="120" spans="1:15" hidden="1" x14ac:dyDescent="0.25">
      <c r="A120" s="630" t="s">
        <v>336</v>
      </c>
      <c r="B120" s="629">
        <v>0.9</v>
      </c>
      <c r="C120" s="630"/>
      <c r="D120" s="630" t="s">
        <v>319</v>
      </c>
      <c r="E120" s="630" t="s">
        <v>319</v>
      </c>
      <c r="F120" s="630" t="s">
        <v>319</v>
      </c>
      <c r="G120" s="630" t="s">
        <v>324</v>
      </c>
      <c r="H120" s="601" t="s">
        <v>325</v>
      </c>
      <c r="I120" s="601" t="s">
        <v>353</v>
      </c>
      <c r="J120" s="630" t="s">
        <v>338</v>
      </c>
      <c r="K120" s="630" t="s">
        <v>339</v>
      </c>
      <c r="L120" s="630" t="b">
        <v>0</v>
      </c>
      <c r="M120" s="630" t="s">
        <v>321</v>
      </c>
      <c r="N120" s="630" t="s">
        <v>340</v>
      </c>
      <c r="O120" s="630" t="s">
        <v>341</v>
      </c>
    </row>
    <row r="121" spans="1:15" hidden="1" x14ac:dyDescent="0.25">
      <c r="A121" s="630" t="s">
        <v>336</v>
      </c>
      <c r="B121" s="629">
        <v>0.9</v>
      </c>
      <c r="C121" s="630"/>
      <c r="D121" s="630" t="s">
        <v>319</v>
      </c>
      <c r="E121" s="630" t="s">
        <v>319</v>
      </c>
      <c r="F121" s="630" t="s">
        <v>319</v>
      </c>
      <c r="G121" s="630" t="s">
        <v>324</v>
      </c>
      <c r="H121" s="601" t="s">
        <v>325</v>
      </c>
      <c r="I121" s="601" t="s">
        <v>354</v>
      </c>
      <c r="J121" s="630" t="s">
        <v>338</v>
      </c>
      <c r="K121" s="630" t="s">
        <v>339</v>
      </c>
      <c r="L121" s="630" t="b">
        <v>0</v>
      </c>
      <c r="M121" s="630" t="s">
        <v>321</v>
      </c>
      <c r="N121" s="630" t="s">
        <v>340</v>
      </c>
      <c r="O121" s="630" t="s">
        <v>341</v>
      </c>
    </row>
    <row r="122" spans="1:15" hidden="1" x14ac:dyDescent="0.25">
      <c r="A122" s="630" t="s">
        <v>336</v>
      </c>
      <c r="B122" s="629">
        <v>0.9</v>
      </c>
      <c r="C122" s="630"/>
      <c r="D122" s="630" t="s">
        <v>319</v>
      </c>
      <c r="E122" s="630" t="s">
        <v>319</v>
      </c>
      <c r="F122" s="630" t="s">
        <v>319</v>
      </c>
      <c r="G122" s="630" t="s">
        <v>324</v>
      </c>
      <c r="H122" s="601" t="s">
        <v>325</v>
      </c>
      <c r="I122" s="601" t="s">
        <v>355</v>
      </c>
      <c r="J122" s="630" t="s">
        <v>338</v>
      </c>
      <c r="K122" s="630" t="s">
        <v>339</v>
      </c>
      <c r="L122" s="630" t="b">
        <v>0</v>
      </c>
      <c r="M122" s="630" t="s">
        <v>321</v>
      </c>
      <c r="N122" s="630" t="s">
        <v>340</v>
      </c>
      <c r="O122" s="630" t="s">
        <v>341</v>
      </c>
    </row>
    <row r="123" spans="1:15" hidden="1" x14ac:dyDescent="0.25">
      <c r="A123" s="630" t="s">
        <v>336</v>
      </c>
      <c r="B123" s="629">
        <v>1</v>
      </c>
      <c r="C123" s="630"/>
      <c r="D123" s="630" t="s">
        <v>319</v>
      </c>
      <c r="E123" s="630" t="s">
        <v>319</v>
      </c>
      <c r="F123" s="630" t="s">
        <v>319</v>
      </c>
      <c r="G123" s="630" t="s">
        <v>324</v>
      </c>
      <c r="H123" s="601" t="s">
        <v>325</v>
      </c>
      <c r="I123" s="601" t="s">
        <v>356</v>
      </c>
      <c r="J123" s="630" t="s">
        <v>338</v>
      </c>
      <c r="K123" s="630" t="s">
        <v>339</v>
      </c>
      <c r="L123" s="630" t="b">
        <v>0</v>
      </c>
      <c r="M123" s="630" t="s">
        <v>321</v>
      </c>
      <c r="N123" s="630" t="s">
        <v>340</v>
      </c>
      <c r="O123" s="630" t="s">
        <v>341</v>
      </c>
    </row>
    <row r="124" spans="1:15" hidden="1" x14ac:dyDescent="0.25">
      <c r="A124" s="630" t="s">
        <v>336</v>
      </c>
      <c r="B124" s="629">
        <v>1</v>
      </c>
      <c r="C124" s="630"/>
      <c r="D124" s="630" t="s">
        <v>319</v>
      </c>
      <c r="E124" s="630" t="s">
        <v>319</v>
      </c>
      <c r="F124" s="630" t="s">
        <v>319</v>
      </c>
      <c r="G124" s="630" t="s">
        <v>324</v>
      </c>
      <c r="H124" s="601" t="s">
        <v>325</v>
      </c>
      <c r="I124" s="601" t="s">
        <v>357</v>
      </c>
      <c r="J124" s="630" t="s">
        <v>338</v>
      </c>
      <c r="K124" s="630" t="s">
        <v>339</v>
      </c>
      <c r="L124" s="630" t="b">
        <v>0</v>
      </c>
      <c r="M124" s="630" t="s">
        <v>321</v>
      </c>
      <c r="N124" s="630" t="s">
        <v>340</v>
      </c>
      <c r="O124" s="630" t="s">
        <v>341</v>
      </c>
    </row>
    <row r="125" spans="1:15" hidden="1" x14ac:dyDescent="0.25">
      <c r="A125" s="630" t="s">
        <v>336</v>
      </c>
      <c r="B125" s="629">
        <v>1</v>
      </c>
      <c r="C125" s="630"/>
      <c r="D125" s="630" t="s">
        <v>319</v>
      </c>
      <c r="E125" s="630" t="s">
        <v>319</v>
      </c>
      <c r="F125" s="630" t="s">
        <v>319</v>
      </c>
      <c r="G125" s="630" t="s">
        <v>324</v>
      </c>
      <c r="H125" s="601" t="s">
        <v>325</v>
      </c>
      <c r="I125" s="601" t="s">
        <v>358</v>
      </c>
      <c r="J125" s="630" t="s">
        <v>338</v>
      </c>
      <c r="K125" s="630" t="s">
        <v>339</v>
      </c>
      <c r="L125" s="630" t="b">
        <v>0</v>
      </c>
      <c r="M125" s="630" t="s">
        <v>321</v>
      </c>
      <c r="N125" s="630" t="s">
        <v>340</v>
      </c>
      <c r="O125" s="630" t="s">
        <v>341</v>
      </c>
    </row>
    <row r="126" spans="1:15" hidden="1" x14ac:dyDescent="0.25">
      <c r="A126" s="630" t="s">
        <v>336</v>
      </c>
      <c r="B126" s="629">
        <v>1</v>
      </c>
      <c r="C126" s="630"/>
      <c r="D126" s="630" t="s">
        <v>319</v>
      </c>
      <c r="E126" s="630" t="s">
        <v>319</v>
      </c>
      <c r="F126" s="630" t="s">
        <v>319</v>
      </c>
      <c r="G126" s="630" t="s">
        <v>324</v>
      </c>
      <c r="H126" s="601" t="s">
        <v>325</v>
      </c>
      <c r="I126" s="601" t="s">
        <v>359</v>
      </c>
      <c r="J126" s="630" t="s">
        <v>338</v>
      </c>
      <c r="K126" s="630" t="s">
        <v>339</v>
      </c>
      <c r="L126" s="630" t="b">
        <v>0</v>
      </c>
      <c r="M126" s="630" t="s">
        <v>321</v>
      </c>
      <c r="N126" s="630" t="s">
        <v>340</v>
      </c>
      <c r="O126" s="630" t="s">
        <v>341</v>
      </c>
    </row>
    <row r="127" spans="1:15" hidden="1" x14ac:dyDescent="0.25">
      <c r="A127" s="630" t="s">
        <v>336</v>
      </c>
      <c r="B127" s="629">
        <v>1</v>
      </c>
      <c r="C127" s="630"/>
      <c r="D127" s="630" t="s">
        <v>319</v>
      </c>
      <c r="E127" s="630" t="s">
        <v>319</v>
      </c>
      <c r="F127" s="630" t="s">
        <v>319</v>
      </c>
      <c r="G127" s="630" t="s">
        <v>324</v>
      </c>
      <c r="H127" s="601" t="s">
        <v>325</v>
      </c>
      <c r="I127" s="601" t="s">
        <v>360</v>
      </c>
      <c r="J127" s="630" t="s">
        <v>338</v>
      </c>
      <c r="K127" s="630" t="s">
        <v>339</v>
      </c>
      <c r="L127" s="630" t="b">
        <v>0</v>
      </c>
      <c r="M127" s="630" t="s">
        <v>321</v>
      </c>
      <c r="N127" s="630" t="s">
        <v>340</v>
      </c>
      <c r="O127" s="630" t="s">
        <v>341</v>
      </c>
    </row>
    <row r="128" spans="1:15" hidden="1" x14ac:dyDescent="0.25">
      <c r="A128" s="630" t="s">
        <v>336</v>
      </c>
      <c r="B128" s="629">
        <v>1</v>
      </c>
      <c r="C128" s="630"/>
      <c r="D128" s="630" t="s">
        <v>319</v>
      </c>
      <c r="E128" s="630" t="s">
        <v>319</v>
      </c>
      <c r="F128" s="630" t="s">
        <v>319</v>
      </c>
      <c r="G128" s="630" t="s">
        <v>324</v>
      </c>
      <c r="H128" s="601" t="s">
        <v>325</v>
      </c>
      <c r="I128" s="601" t="s">
        <v>361</v>
      </c>
      <c r="J128" s="630" t="s">
        <v>338</v>
      </c>
      <c r="K128" s="630" t="s">
        <v>339</v>
      </c>
      <c r="L128" s="630" t="b">
        <v>0</v>
      </c>
      <c r="M128" s="630" t="s">
        <v>321</v>
      </c>
      <c r="N128" s="630" t="s">
        <v>340</v>
      </c>
      <c r="O128" s="630" t="s">
        <v>341</v>
      </c>
    </row>
    <row r="129" spans="1:15" hidden="1" x14ac:dyDescent="0.25">
      <c r="A129" s="630" t="s">
        <v>336</v>
      </c>
      <c r="B129" s="629">
        <v>1</v>
      </c>
      <c r="C129" s="630"/>
      <c r="D129" s="630" t="s">
        <v>319</v>
      </c>
      <c r="E129" s="630" t="s">
        <v>319</v>
      </c>
      <c r="F129" s="630" t="s">
        <v>319</v>
      </c>
      <c r="G129" s="630" t="s">
        <v>324</v>
      </c>
      <c r="H129" s="601" t="s">
        <v>325</v>
      </c>
      <c r="I129" s="601" t="s">
        <v>362</v>
      </c>
      <c r="J129" s="630" t="s">
        <v>338</v>
      </c>
      <c r="K129" s="630" t="s">
        <v>339</v>
      </c>
      <c r="L129" s="630" t="b">
        <v>0</v>
      </c>
      <c r="M129" s="630" t="s">
        <v>321</v>
      </c>
      <c r="N129" s="630" t="s">
        <v>340</v>
      </c>
      <c r="O129" s="630" t="s">
        <v>341</v>
      </c>
    </row>
    <row r="130" spans="1:15" hidden="1" x14ac:dyDescent="0.25">
      <c r="A130" s="630" t="s">
        <v>336</v>
      </c>
      <c r="B130" s="629">
        <v>1</v>
      </c>
      <c r="C130" s="630"/>
      <c r="D130" s="630" t="s">
        <v>319</v>
      </c>
      <c r="E130" s="630" t="s">
        <v>319</v>
      </c>
      <c r="F130" s="630" t="s">
        <v>319</v>
      </c>
      <c r="G130" s="630" t="s">
        <v>324</v>
      </c>
      <c r="H130" s="601" t="s">
        <v>325</v>
      </c>
      <c r="I130" s="601" t="s">
        <v>363</v>
      </c>
      <c r="J130" s="630" t="s">
        <v>338</v>
      </c>
      <c r="K130" s="630" t="s">
        <v>339</v>
      </c>
      <c r="L130" s="630" t="b">
        <v>0</v>
      </c>
      <c r="M130" s="630" t="s">
        <v>321</v>
      </c>
      <c r="N130" s="630" t="s">
        <v>340</v>
      </c>
      <c r="O130" s="630" t="s">
        <v>341</v>
      </c>
    </row>
    <row r="131" spans="1:15" hidden="1" x14ac:dyDescent="0.25">
      <c r="A131" s="630" t="s">
        <v>336</v>
      </c>
      <c r="B131" s="629">
        <v>1</v>
      </c>
      <c r="C131" s="630"/>
      <c r="D131" s="630" t="s">
        <v>319</v>
      </c>
      <c r="E131" s="630" t="s">
        <v>319</v>
      </c>
      <c r="F131" s="630" t="s">
        <v>319</v>
      </c>
      <c r="G131" s="630" t="s">
        <v>324</v>
      </c>
      <c r="H131" s="601" t="s">
        <v>325</v>
      </c>
      <c r="I131" s="601" t="s">
        <v>364</v>
      </c>
      <c r="J131" s="630" t="s">
        <v>338</v>
      </c>
      <c r="K131" s="630" t="s">
        <v>339</v>
      </c>
      <c r="L131" s="630" t="b">
        <v>0</v>
      </c>
      <c r="M131" s="630" t="s">
        <v>321</v>
      </c>
      <c r="N131" s="630" t="s">
        <v>340</v>
      </c>
      <c r="O131" s="630" t="s">
        <v>341</v>
      </c>
    </row>
    <row r="132" spans="1:15" hidden="1" x14ac:dyDescent="0.25">
      <c r="A132" s="630" t="s">
        <v>336</v>
      </c>
      <c r="B132" s="629">
        <v>1</v>
      </c>
      <c r="C132" s="630"/>
      <c r="D132" s="630" t="s">
        <v>319</v>
      </c>
      <c r="E132" s="630" t="s">
        <v>319</v>
      </c>
      <c r="F132" s="630" t="s">
        <v>319</v>
      </c>
      <c r="G132" s="630" t="s">
        <v>324</v>
      </c>
      <c r="H132" s="601" t="s">
        <v>325</v>
      </c>
      <c r="I132" s="601" t="s">
        <v>365</v>
      </c>
      <c r="J132" s="630" t="s">
        <v>338</v>
      </c>
      <c r="K132" s="630" t="s">
        <v>339</v>
      </c>
      <c r="L132" s="630" t="b">
        <v>0</v>
      </c>
      <c r="M132" s="630" t="s">
        <v>321</v>
      </c>
      <c r="N132" s="630" t="s">
        <v>340</v>
      </c>
      <c r="O132" s="630" t="s">
        <v>341</v>
      </c>
    </row>
    <row r="133" spans="1:15" hidden="1" x14ac:dyDescent="0.25">
      <c r="A133" s="630" t="s">
        <v>336</v>
      </c>
      <c r="B133" s="629">
        <v>1.1499999999999999</v>
      </c>
      <c r="C133" s="630"/>
      <c r="D133" s="630" t="s">
        <v>319</v>
      </c>
      <c r="E133" s="630" t="s">
        <v>319</v>
      </c>
      <c r="F133" s="630" t="s">
        <v>319</v>
      </c>
      <c r="G133" s="630" t="s">
        <v>324</v>
      </c>
      <c r="H133" s="601" t="s">
        <v>325</v>
      </c>
      <c r="I133" s="601" t="s">
        <v>366</v>
      </c>
      <c r="J133" s="630" t="s">
        <v>338</v>
      </c>
      <c r="K133" s="630" t="s">
        <v>339</v>
      </c>
      <c r="L133" s="630" t="b">
        <v>0</v>
      </c>
      <c r="M133" s="630" t="s">
        <v>321</v>
      </c>
      <c r="N133" s="630" t="s">
        <v>340</v>
      </c>
      <c r="O133" s="630" t="s">
        <v>341</v>
      </c>
    </row>
    <row r="134" spans="1:15" hidden="1" x14ac:dyDescent="0.25">
      <c r="A134" s="630" t="s">
        <v>336</v>
      </c>
      <c r="B134" s="629">
        <v>1.1499999999999999</v>
      </c>
      <c r="C134" s="630"/>
      <c r="D134" s="630" t="s">
        <v>319</v>
      </c>
      <c r="E134" s="630" t="s">
        <v>319</v>
      </c>
      <c r="F134" s="630" t="s">
        <v>319</v>
      </c>
      <c r="G134" s="630" t="s">
        <v>324</v>
      </c>
      <c r="H134" s="601" t="s">
        <v>325</v>
      </c>
      <c r="I134" s="601" t="s">
        <v>367</v>
      </c>
      <c r="J134" s="630" t="s">
        <v>338</v>
      </c>
      <c r="K134" s="630" t="s">
        <v>339</v>
      </c>
      <c r="L134" s="630" t="b">
        <v>0</v>
      </c>
      <c r="M134" s="630" t="s">
        <v>321</v>
      </c>
      <c r="N134" s="630" t="s">
        <v>340</v>
      </c>
      <c r="O134" s="630" t="s">
        <v>341</v>
      </c>
    </row>
    <row r="135" spans="1:15" hidden="1" x14ac:dyDescent="0.25">
      <c r="A135" s="630" t="s">
        <v>336</v>
      </c>
      <c r="B135" s="629">
        <v>1.1499999999999999</v>
      </c>
      <c r="C135" s="630"/>
      <c r="D135" s="630" t="s">
        <v>319</v>
      </c>
      <c r="E135" s="630" t="s">
        <v>319</v>
      </c>
      <c r="F135" s="630" t="s">
        <v>319</v>
      </c>
      <c r="G135" s="630" t="s">
        <v>324</v>
      </c>
      <c r="H135" s="601" t="s">
        <v>325</v>
      </c>
      <c r="I135" s="601" t="s">
        <v>368</v>
      </c>
      <c r="J135" s="630" t="s">
        <v>338</v>
      </c>
      <c r="K135" s="630" t="s">
        <v>339</v>
      </c>
      <c r="L135" s="630" t="b">
        <v>0</v>
      </c>
      <c r="M135" s="630" t="s">
        <v>321</v>
      </c>
      <c r="N135" s="630" t="s">
        <v>340</v>
      </c>
      <c r="O135" s="630" t="s">
        <v>341</v>
      </c>
    </row>
    <row r="136" spans="1:15" hidden="1" x14ac:dyDescent="0.25">
      <c r="A136" s="630" t="s">
        <v>336</v>
      </c>
      <c r="B136" s="629">
        <v>1.1499999999999999</v>
      </c>
      <c r="C136" s="630"/>
      <c r="D136" s="630" t="s">
        <v>319</v>
      </c>
      <c r="E136" s="630" t="s">
        <v>319</v>
      </c>
      <c r="F136" s="630" t="s">
        <v>319</v>
      </c>
      <c r="G136" s="630" t="s">
        <v>324</v>
      </c>
      <c r="H136" s="601" t="s">
        <v>325</v>
      </c>
      <c r="I136" s="601" t="s">
        <v>369</v>
      </c>
      <c r="J136" s="630" t="s">
        <v>338</v>
      </c>
      <c r="K136" s="630" t="s">
        <v>339</v>
      </c>
      <c r="L136" s="630" t="b">
        <v>0</v>
      </c>
      <c r="M136" s="630" t="s">
        <v>321</v>
      </c>
      <c r="N136" s="630" t="s">
        <v>340</v>
      </c>
      <c r="O136" s="630" t="s">
        <v>341</v>
      </c>
    </row>
    <row r="137" spans="1:15" hidden="1" x14ac:dyDescent="0.25">
      <c r="A137" s="630" t="s">
        <v>336</v>
      </c>
      <c r="B137" s="629">
        <v>1.1499999999999999</v>
      </c>
      <c r="C137" s="630"/>
      <c r="D137" s="630" t="s">
        <v>319</v>
      </c>
      <c r="E137" s="630" t="s">
        <v>319</v>
      </c>
      <c r="F137" s="630" t="s">
        <v>319</v>
      </c>
      <c r="G137" s="630" t="s">
        <v>324</v>
      </c>
      <c r="H137" s="601" t="s">
        <v>325</v>
      </c>
      <c r="I137" s="601" t="s">
        <v>370</v>
      </c>
      <c r="J137" s="630" t="s">
        <v>338</v>
      </c>
      <c r="K137" s="630" t="s">
        <v>339</v>
      </c>
      <c r="L137" s="630" t="b">
        <v>0</v>
      </c>
      <c r="M137" s="630" t="s">
        <v>321</v>
      </c>
      <c r="N137" s="630" t="s">
        <v>340</v>
      </c>
      <c r="O137" s="630" t="s">
        <v>341</v>
      </c>
    </row>
    <row r="138" spans="1:15" hidden="1" x14ac:dyDescent="0.25">
      <c r="A138" s="630" t="s">
        <v>336</v>
      </c>
      <c r="B138" s="629">
        <v>1.1499999999999999</v>
      </c>
      <c r="C138" s="630"/>
      <c r="D138" s="630" t="s">
        <v>319</v>
      </c>
      <c r="E138" s="630" t="s">
        <v>319</v>
      </c>
      <c r="F138" s="630" t="s">
        <v>319</v>
      </c>
      <c r="G138" s="630" t="s">
        <v>324</v>
      </c>
      <c r="H138" s="601" t="s">
        <v>325</v>
      </c>
      <c r="I138" s="601" t="s">
        <v>371</v>
      </c>
      <c r="J138" s="630" t="s">
        <v>338</v>
      </c>
      <c r="K138" s="630" t="s">
        <v>339</v>
      </c>
      <c r="L138" s="630" t="b">
        <v>0</v>
      </c>
      <c r="M138" s="630" t="s">
        <v>321</v>
      </c>
      <c r="N138" s="630" t="s">
        <v>340</v>
      </c>
      <c r="O138" s="630" t="s">
        <v>341</v>
      </c>
    </row>
    <row r="139" spans="1:15" hidden="1" x14ac:dyDescent="0.25">
      <c r="A139" s="630" t="s">
        <v>336</v>
      </c>
      <c r="B139" s="629">
        <v>1.1499999999999999</v>
      </c>
      <c r="C139" s="630"/>
      <c r="D139" s="630" t="s">
        <v>319</v>
      </c>
      <c r="E139" s="630" t="s">
        <v>319</v>
      </c>
      <c r="F139" s="630" t="s">
        <v>319</v>
      </c>
      <c r="G139" s="630" t="s">
        <v>324</v>
      </c>
      <c r="H139" s="601" t="s">
        <v>325</v>
      </c>
      <c r="I139" s="601" t="s">
        <v>372</v>
      </c>
      <c r="J139" s="630" t="s">
        <v>338</v>
      </c>
      <c r="K139" s="630" t="s">
        <v>339</v>
      </c>
      <c r="L139" s="630" t="b">
        <v>0</v>
      </c>
      <c r="M139" s="630" t="s">
        <v>321</v>
      </c>
      <c r="N139" s="630" t="s">
        <v>340</v>
      </c>
      <c r="O139" s="630" t="s">
        <v>341</v>
      </c>
    </row>
    <row r="140" spans="1:15" hidden="1" x14ac:dyDescent="0.25">
      <c r="A140" s="630" t="s">
        <v>336</v>
      </c>
      <c r="B140" s="629">
        <v>1.1499999999999999</v>
      </c>
      <c r="C140" s="630"/>
      <c r="D140" s="630" t="s">
        <v>319</v>
      </c>
      <c r="E140" s="630" t="s">
        <v>319</v>
      </c>
      <c r="F140" s="630" t="s">
        <v>319</v>
      </c>
      <c r="G140" s="630" t="s">
        <v>324</v>
      </c>
      <c r="H140" s="601" t="s">
        <v>325</v>
      </c>
      <c r="I140" s="601" t="s">
        <v>373</v>
      </c>
      <c r="J140" s="630" t="s">
        <v>338</v>
      </c>
      <c r="K140" s="630" t="s">
        <v>339</v>
      </c>
      <c r="L140" s="630" t="b">
        <v>0</v>
      </c>
      <c r="M140" s="630" t="s">
        <v>321</v>
      </c>
      <c r="N140" s="630" t="s">
        <v>340</v>
      </c>
      <c r="O140" s="630" t="s">
        <v>341</v>
      </c>
    </row>
    <row r="141" spans="1:15" hidden="1" x14ac:dyDescent="0.25">
      <c r="A141" s="630" t="s">
        <v>336</v>
      </c>
      <c r="B141" s="629">
        <v>1.1499999999999999</v>
      </c>
      <c r="C141" s="630"/>
      <c r="D141" s="630" t="s">
        <v>319</v>
      </c>
      <c r="E141" s="630" t="s">
        <v>319</v>
      </c>
      <c r="F141" s="630" t="s">
        <v>319</v>
      </c>
      <c r="G141" s="630" t="s">
        <v>324</v>
      </c>
      <c r="H141" s="601" t="s">
        <v>325</v>
      </c>
      <c r="I141" s="601" t="s">
        <v>374</v>
      </c>
      <c r="J141" s="630" t="s">
        <v>338</v>
      </c>
      <c r="K141" s="630" t="s">
        <v>339</v>
      </c>
      <c r="L141" s="630" t="b">
        <v>0</v>
      </c>
      <c r="M141" s="630" t="s">
        <v>321</v>
      </c>
      <c r="N141" s="630" t="s">
        <v>340</v>
      </c>
      <c r="O141" s="630" t="s">
        <v>341</v>
      </c>
    </row>
    <row r="142" spans="1:15" hidden="1" x14ac:dyDescent="0.25">
      <c r="A142" s="630" t="s">
        <v>336</v>
      </c>
      <c r="B142" s="629">
        <v>1.1499999999999999</v>
      </c>
      <c r="C142" s="630"/>
      <c r="D142" s="630" t="s">
        <v>319</v>
      </c>
      <c r="E142" s="630" t="s">
        <v>319</v>
      </c>
      <c r="F142" s="630" t="s">
        <v>319</v>
      </c>
      <c r="G142" s="630" t="s">
        <v>324</v>
      </c>
      <c r="H142" s="601" t="s">
        <v>325</v>
      </c>
      <c r="I142" s="601" t="s">
        <v>375</v>
      </c>
      <c r="J142" s="630" t="s">
        <v>338</v>
      </c>
      <c r="K142" s="630" t="s">
        <v>339</v>
      </c>
      <c r="L142" s="630" t="b">
        <v>0</v>
      </c>
      <c r="M142" s="630" t="s">
        <v>321</v>
      </c>
      <c r="N142" s="630" t="s">
        <v>340</v>
      </c>
      <c r="O142" s="630" t="s">
        <v>341</v>
      </c>
    </row>
    <row r="143" spans="1:15" hidden="1" x14ac:dyDescent="0.25">
      <c r="A143" s="630" t="s">
        <v>336</v>
      </c>
      <c r="B143" s="629">
        <v>2</v>
      </c>
      <c r="C143" s="630"/>
      <c r="D143" s="630" t="s">
        <v>319</v>
      </c>
      <c r="E143" s="630" t="s">
        <v>319</v>
      </c>
      <c r="F143" s="630" t="s">
        <v>319</v>
      </c>
      <c r="G143" s="630" t="s">
        <v>324</v>
      </c>
      <c r="H143" s="601" t="s">
        <v>325</v>
      </c>
      <c r="I143" s="601" t="s">
        <v>376</v>
      </c>
      <c r="J143" s="630" t="s">
        <v>338</v>
      </c>
      <c r="K143" s="630" t="s">
        <v>339</v>
      </c>
      <c r="L143" s="630" t="b">
        <v>0</v>
      </c>
      <c r="M143" s="630" t="s">
        <v>321</v>
      </c>
      <c r="N143" s="630" t="s">
        <v>340</v>
      </c>
      <c r="O143" s="630" t="s">
        <v>341</v>
      </c>
    </row>
    <row r="144" spans="1:15" hidden="1" x14ac:dyDescent="0.25">
      <c r="A144" s="630" t="s">
        <v>336</v>
      </c>
      <c r="B144" s="629">
        <v>2</v>
      </c>
      <c r="C144" s="630"/>
      <c r="D144" s="630" t="s">
        <v>319</v>
      </c>
      <c r="E144" s="630" t="s">
        <v>319</v>
      </c>
      <c r="F144" s="630" t="s">
        <v>319</v>
      </c>
      <c r="G144" s="630" t="s">
        <v>324</v>
      </c>
      <c r="H144" s="601" t="s">
        <v>325</v>
      </c>
      <c r="I144" s="601" t="s">
        <v>377</v>
      </c>
      <c r="J144" s="630" t="s">
        <v>338</v>
      </c>
      <c r="K144" s="630" t="s">
        <v>339</v>
      </c>
      <c r="L144" s="630" t="b">
        <v>0</v>
      </c>
      <c r="M144" s="630" t="s">
        <v>321</v>
      </c>
      <c r="N144" s="630" t="s">
        <v>340</v>
      </c>
      <c r="O144" s="630" t="s">
        <v>341</v>
      </c>
    </row>
    <row r="145" spans="1:15" hidden="1" x14ac:dyDescent="0.25">
      <c r="A145" s="630" t="s">
        <v>336</v>
      </c>
      <c r="B145" s="629">
        <v>2</v>
      </c>
      <c r="C145" s="630"/>
      <c r="D145" s="630" t="s">
        <v>319</v>
      </c>
      <c r="E145" s="630" t="s">
        <v>319</v>
      </c>
      <c r="F145" s="630" t="s">
        <v>319</v>
      </c>
      <c r="G145" s="630" t="s">
        <v>324</v>
      </c>
      <c r="H145" s="601" t="s">
        <v>325</v>
      </c>
      <c r="I145" s="601" t="s">
        <v>378</v>
      </c>
      <c r="J145" s="630" t="s">
        <v>338</v>
      </c>
      <c r="K145" s="630" t="s">
        <v>339</v>
      </c>
      <c r="L145" s="630" t="b">
        <v>0</v>
      </c>
      <c r="M145" s="630" t="s">
        <v>321</v>
      </c>
      <c r="N145" s="630" t="s">
        <v>340</v>
      </c>
      <c r="O145" s="630" t="s">
        <v>341</v>
      </c>
    </row>
    <row r="146" spans="1:15" hidden="1" x14ac:dyDescent="0.25">
      <c r="A146" s="630" t="s">
        <v>336</v>
      </c>
      <c r="B146" s="629">
        <v>2</v>
      </c>
      <c r="C146" s="630"/>
      <c r="D146" s="630" t="s">
        <v>319</v>
      </c>
      <c r="E146" s="630" t="s">
        <v>319</v>
      </c>
      <c r="F146" s="630" t="s">
        <v>319</v>
      </c>
      <c r="G146" s="630" t="s">
        <v>324</v>
      </c>
      <c r="H146" s="601" t="s">
        <v>325</v>
      </c>
      <c r="I146" s="601" t="s">
        <v>379</v>
      </c>
      <c r="J146" s="630" t="s">
        <v>338</v>
      </c>
      <c r="K146" s="630" t="s">
        <v>339</v>
      </c>
      <c r="L146" s="630" t="b">
        <v>0</v>
      </c>
      <c r="M146" s="630" t="s">
        <v>321</v>
      </c>
      <c r="N146" s="630" t="s">
        <v>340</v>
      </c>
      <c r="O146" s="630" t="s">
        <v>341</v>
      </c>
    </row>
    <row r="147" spans="1:15" hidden="1" x14ac:dyDescent="0.25">
      <c r="A147" s="630" t="s">
        <v>336</v>
      </c>
      <c r="B147" s="629">
        <v>2</v>
      </c>
      <c r="C147" s="630"/>
      <c r="D147" s="630" t="s">
        <v>319</v>
      </c>
      <c r="E147" s="630" t="s">
        <v>319</v>
      </c>
      <c r="F147" s="630" t="s">
        <v>319</v>
      </c>
      <c r="G147" s="630" t="s">
        <v>324</v>
      </c>
      <c r="H147" s="601" t="s">
        <v>325</v>
      </c>
      <c r="I147" s="601" t="s">
        <v>380</v>
      </c>
      <c r="J147" s="630" t="s">
        <v>338</v>
      </c>
      <c r="K147" s="630" t="s">
        <v>339</v>
      </c>
      <c r="L147" s="630" t="b">
        <v>0</v>
      </c>
      <c r="M147" s="630" t="s">
        <v>321</v>
      </c>
      <c r="N147" s="630" t="s">
        <v>340</v>
      </c>
      <c r="O147" s="630" t="s">
        <v>341</v>
      </c>
    </row>
    <row r="148" spans="1:15" hidden="1" x14ac:dyDescent="0.25">
      <c r="A148" s="630" t="s">
        <v>336</v>
      </c>
      <c r="B148" s="629">
        <v>2</v>
      </c>
      <c r="C148" s="630"/>
      <c r="D148" s="630" t="s">
        <v>319</v>
      </c>
      <c r="E148" s="630" t="s">
        <v>319</v>
      </c>
      <c r="F148" s="630" t="s">
        <v>319</v>
      </c>
      <c r="G148" s="630" t="s">
        <v>324</v>
      </c>
      <c r="H148" s="601" t="s">
        <v>325</v>
      </c>
      <c r="I148" s="601" t="s">
        <v>381</v>
      </c>
      <c r="J148" s="630" t="s">
        <v>338</v>
      </c>
      <c r="K148" s="630" t="s">
        <v>339</v>
      </c>
      <c r="L148" s="630" t="b">
        <v>0</v>
      </c>
      <c r="M148" s="630" t="s">
        <v>321</v>
      </c>
      <c r="N148" s="630" t="s">
        <v>340</v>
      </c>
      <c r="O148" s="630" t="s">
        <v>341</v>
      </c>
    </row>
    <row r="149" spans="1:15" hidden="1" x14ac:dyDescent="0.25">
      <c r="A149" s="630" t="s">
        <v>336</v>
      </c>
      <c r="B149" s="629">
        <v>2</v>
      </c>
      <c r="C149" s="630"/>
      <c r="D149" s="630" t="s">
        <v>319</v>
      </c>
      <c r="E149" s="630" t="s">
        <v>319</v>
      </c>
      <c r="F149" s="630" t="s">
        <v>319</v>
      </c>
      <c r="G149" s="630" t="s">
        <v>324</v>
      </c>
      <c r="H149" s="601" t="s">
        <v>325</v>
      </c>
      <c r="I149" s="601" t="s">
        <v>382</v>
      </c>
      <c r="J149" s="630" t="s">
        <v>338</v>
      </c>
      <c r="K149" s="630" t="s">
        <v>339</v>
      </c>
      <c r="L149" s="630" t="b">
        <v>0</v>
      </c>
      <c r="M149" s="630" t="s">
        <v>321</v>
      </c>
      <c r="N149" s="630" t="s">
        <v>340</v>
      </c>
      <c r="O149" s="630" t="s">
        <v>341</v>
      </c>
    </row>
    <row r="150" spans="1:15" hidden="1" x14ac:dyDescent="0.25">
      <c r="A150" s="630" t="s">
        <v>336</v>
      </c>
      <c r="B150" s="629">
        <v>2</v>
      </c>
      <c r="C150" s="630"/>
      <c r="D150" s="630" t="s">
        <v>319</v>
      </c>
      <c r="E150" s="630" t="s">
        <v>319</v>
      </c>
      <c r="F150" s="630" t="s">
        <v>319</v>
      </c>
      <c r="G150" s="630" t="s">
        <v>324</v>
      </c>
      <c r="H150" s="601" t="s">
        <v>325</v>
      </c>
      <c r="I150" s="601" t="s">
        <v>383</v>
      </c>
      <c r="J150" s="630" t="s">
        <v>338</v>
      </c>
      <c r="K150" s="630" t="s">
        <v>339</v>
      </c>
      <c r="L150" s="630" t="b">
        <v>0</v>
      </c>
      <c r="M150" s="630" t="s">
        <v>321</v>
      </c>
      <c r="N150" s="630" t="s">
        <v>340</v>
      </c>
      <c r="O150" s="630" t="s">
        <v>341</v>
      </c>
    </row>
    <row r="151" spans="1:15" hidden="1" x14ac:dyDescent="0.25">
      <c r="A151" s="630" t="s">
        <v>336</v>
      </c>
      <c r="B151" s="629">
        <v>2</v>
      </c>
      <c r="C151" s="630"/>
      <c r="D151" s="630" t="s">
        <v>319</v>
      </c>
      <c r="E151" s="630" t="s">
        <v>319</v>
      </c>
      <c r="F151" s="630" t="s">
        <v>319</v>
      </c>
      <c r="G151" s="630" t="s">
        <v>324</v>
      </c>
      <c r="H151" s="601" t="s">
        <v>325</v>
      </c>
      <c r="I151" s="601" t="s">
        <v>384</v>
      </c>
      <c r="J151" s="630" t="s">
        <v>338</v>
      </c>
      <c r="K151" s="630" t="s">
        <v>339</v>
      </c>
      <c r="L151" s="630" t="b">
        <v>0</v>
      </c>
      <c r="M151" s="630" t="s">
        <v>321</v>
      </c>
      <c r="N151" s="630" t="s">
        <v>340</v>
      </c>
      <c r="O151" s="630" t="s">
        <v>341</v>
      </c>
    </row>
    <row r="152" spans="1:15" hidden="1" x14ac:dyDescent="0.25">
      <c r="A152" s="630" t="s">
        <v>336</v>
      </c>
      <c r="B152" s="629">
        <v>2</v>
      </c>
      <c r="C152" s="630"/>
      <c r="D152" s="630" t="s">
        <v>319</v>
      </c>
      <c r="E152" s="630" t="s">
        <v>319</v>
      </c>
      <c r="F152" s="630" t="s">
        <v>319</v>
      </c>
      <c r="G152" s="630" t="s">
        <v>324</v>
      </c>
      <c r="H152" s="601" t="s">
        <v>325</v>
      </c>
      <c r="I152" s="601" t="s">
        <v>385</v>
      </c>
      <c r="J152" s="630" t="s">
        <v>338</v>
      </c>
      <c r="K152" s="630" t="s">
        <v>339</v>
      </c>
      <c r="L152" s="630" t="b">
        <v>0</v>
      </c>
      <c r="M152" s="630" t="s">
        <v>321</v>
      </c>
      <c r="N152" s="630" t="s">
        <v>340</v>
      </c>
      <c r="O152" s="630" t="s">
        <v>341</v>
      </c>
    </row>
    <row r="153" spans="1:15" hidden="1" x14ac:dyDescent="0.25">
      <c r="A153" s="630" t="s">
        <v>336</v>
      </c>
      <c r="B153" s="629">
        <v>2.5</v>
      </c>
      <c r="C153" s="630"/>
      <c r="D153" s="630" t="s">
        <v>319</v>
      </c>
      <c r="E153" s="630" t="s">
        <v>319</v>
      </c>
      <c r="F153" s="630" t="s">
        <v>319</v>
      </c>
      <c r="G153" s="630" t="s">
        <v>324</v>
      </c>
      <c r="H153" s="601" t="s">
        <v>325</v>
      </c>
      <c r="I153" s="601" t="s">
        <v>386</v>
      </c>
      <c r="J153" s="630" t="s">
        <v>338</v>
      </c>
      <c r="K153" s="630" t="s">
        <v>339</v>
      </c>
      <c r="L153" s="630" t="b">
        <v>0</v>
      </c>
      <c r="M153" s="630" t="s">
        <v>321</v>
      </c>
      <c r="N153" s="630" t="s">
        <v>340</v>
      </c>
      <c r="O153" s="630" t="s">
        <v>341</v>
      </c>
    </row>
    <row r="154" spans="1:15" hidden="1" x14ac:dyDescent="0.25">
      <c r="A154" s="630" t="s">
        <v>336</v>
      </c>
      <c r="B154" s="629">
        <v>2.5</v>
      </c>
      <c r="C154" s="630"/>
      <c r="D154" s="630" t="s">
        <v>319</v>
      </c>
      <c r="E154" s="630" t="s">
        <v>319</v>
      </c>
      <c r="F154" s="630" t="s">
        <v>319</v>
      </c>
      <c r="G154" s="630" t="s">
        <v>324</v>
      </c>
      <c r="H154" s="601" t="s">
        <v>325</v>
      </c>
      <c r="I154" s="601" t="s">
        <v>387</v>
      </c>
      <c r="J154" s="630" t="s">
        <v>338</v>
      </c>
      <c r="K154" s="630" t="s">
        <v>339</v>
      </c>
      <c r="L154" s="630" t="b">
        <v>0</v>
      </c>
      <c r="M154" s="630" t="s">
        <v>321</v>
      </c>
      <c r="N154" s="630" t="s">
        <v>340</v>
      </c>
      <c r="O154" s="630" t="s">
        <v>341</v>
      </c>
    </row>
    <row r="155" spans="1:15" hidden="1" x14ac:dyDescent="0.25">
      <c r="A155" s="630" t="s">
        <v>336</v>
      </c>
      <c r="B155" s="629">
        <v>2.5</v>
      </c>
      <c r="C155" s="630"/>
      <c r="D155" s="630" t="s">
        <v>319</v>
      </c>
      <c r="E155" s="630" t="s">
        <v>319</v>
      </c>
      <c r="F155" s="630" t="s">
        <v>319</v>
      </c>
      <c r="G155" s="630" t="s">
        <v>324</v>
      </c>
      <c r="H155" s="601" t="s">
        <v>325</v>
      </c>
      <c r="I155" s="601" t="s">
        <v>388</v>
      </c>
      <c r="J155" s="630" t="s">
        <v>338</v>
      </c>
      <c r="K155" s="630" t="s">
        <v>339</v>
      </c>
      <c r="L155" s="630" t="b">
        <v>0</v>
      </c>
      <c r="M155" s="630" t="s">
        <v>321</v>
      </c>
      <c r="N155" s="630" t="s">
        <v>340</v>
      </c>
      <c r="O155" s="630" t="s">
        <v>341</v>
      </c>
    </row>
    <row r="156" spans="1:15" hidden="1" x14ac:dyDescent="0.25">
      <c r="A156" s="630" t="s">
        <v>336</v>
      </c>
      <c r="B156" s="629">
        <v>2.5</v>
      </c>
      <c r="C156" s="630"/>
      <c r="D156" s="630" t="s">
        <v>319</v>
      </c>
      <c r="E156" s="630" t="s">
        <v>319</v>
      </c>
      <c r="F156" s="630" t="s">
        <v>319</v>
      </c>
      <c r="G156" s="630" t="s">
        <v>324</v>
      </c>
      <c r="H156" s="601" t="s">
        <v>325</v>
      </c>
      <c r="I156" s="601" t="s">
        <v>389</v>
      </c>
      <c r="J156" s="630" t="s">
        <v>338</v>
      </c>
      <c r="K156" s="630" t="s">
        <v>339</v>
      </c>
      <c r="L156" s="630" t="b">
        <v>0</v>
      </c>
      <c r="M156" s="630" t="s">
        <v>321</v>
      </c>
      <c r="N156" s="630" t="s">
        <v>340</v>
      </c>
      <c r="O156" s="630" t="s">
        <v>341</v>
      </c>
    </row>
    <row r="157" spans="1:15" hidden="1" x14ac:dyDescent="0.25">
      <c r="A157" s="630" t="s">
        <v>336</v>
      </c>
      <c r="B157" s="629">
        <v>2.5</v>
      </c>
      <c r="C157" s="630"/>
      <c r="D157" s="630" t="s">
        <v>319</v>
      </c>
      <c r="E157" s="630" t="s">
        <v>319</v>
      </c>
      <c r="F157" s="630" t="s">
        <v>319</v>
      </c>
      <c r="G157" s="630" t="s">
        <v>324</v>
      </c>
      <c r="H157" s="601" t="s">
        <v>325</v>
      </c>
      <c r="I157" s="601" t="s">
        <v>390</v>
      </c>
      <c r="J157" s="630" t="s">
        <v>338</v>
      </c>
      <c r="K157" s="630" t="s">
        <v>339</v>
      </c>
      <c r="L157" s="630" t="b">
        <v>0</v>
      </c>
      <c r="M157" s="630" t="s">
        <v>321</v>
      </c>
      <c r="N157" s="630" t="s">
        <v>340</v>
      </c>
      <c r="O157" s="630" t="s">
        <v>341</v>
      </c>
    </row>
    <row r="158" spans="1:15" hidden="1" x14ac:dyDescent="0.25">
      <c r="A158" s="630" t="s">
        <v>336</v>
      </c>
      <c r="B158" s="629">
        <v>2.5</v>
      </c>
      <c r="C158" s="630"/>
      <c r="D158" s="630" t="s">
        <v>319</v>
      </c>
      <c r="E158" s="630" t="s">
        <v>319</v>
      </c>
      <c r="F158" s="630" t="s">
        <v>319</v>
      </c>
      <c r="G158" s="630" t="s">
        <v>324</v>
      </c>
      <c r="H158" s="601" t="s">
        <v>325</v>
      </c>
      <c r="I158" s="601" t="s">
        <v>391</v>
      </c>
      <c r="J158" s="630" t="s">
        <v>338</v>
      </c>
      <c r="K158" s="630" t="s">
        <v>339</v>
      </c>
      <c r="L158" s="630" t="b">
        <v>0</v>
      </c>
      <c r="M158" s="630" t="s">
        <v>321</v>
      </c>
      <c r="N158" s="630" t="s">
        <v>340</v>
      </c>
      <c r="O158" s="630" t="s">
        <v>341</v>
      </c>
    </row>
    <row r="159" spans="1:15" hidden="1" x14ac:dyDescent="0.25">
      <c r="A159" s="630" t="s">
        <v>336</v>
      </c>
      <c r="B159" s="629">
        <v>2.5</v>
      </c>
      <c r="C159" s="630"/>
      <c r="D159" s="630" t="s">
        <v>319</v>
      </c>
      <c r="E159" s="630" t="s">
        <v>319</v>
      </c>
      <c r="F159" s="630" t="s">
        <v>319</v>
      </c>
      <c r="G159" s="630" t="s">
        <v>324</v>
      </c>
      <c r="H159" s="601" t="s">
        <v>325</v>
      </c>
      <c r="I159" s="601" t="s">
        <v>392</v>
      </c>
      <c r="J159" s="630" t="s">
        <v>338</v>
      </c>
      <c r="K159" s="630" t="s">
        <v>339</v>
      </c>
      <c r="L159" s="630" t="b">
        <v>0</v>
      </c>
      <c r="M159" s="630" t="s">
        <v>321</v>
      </c>
      <c r="N159" s="630" t="s">
        <v>340</v>
      </c>
      <c r="O159" s="630" t="s">
        <v>341</v>
      </c>
    </row>
    <row r="160" spans="1:15" hidden="1" x14ac:dyDescent="0.25">
      <c r="A160" s="630" t="s">
        <v>336</v>
      </c>
      <c r="B160" s="629">
        <v>2.5</v>
      </c>
      <c r="C160" s="630"/>
      <c r="D160" s="630" t="s">
        <v>319</v>
      </c>
      <c r="E160" s="630" t="s">
        <v>319</v>
      </c>
      <c r="F160" s="630" t="s">
        <v>319</v>
      </c>
      <c r="G160" s="630" t="s">
        <v>324</v>
      </c>
      <c r="H160" s="601" t="s">
        <v>325</v>
      </c>
      <c r="I160" s="601" t="s">
        <v>393</v>
      </c>
      <c r="J160" s="630" t="s">
        <v>338</v>
      </c>
      <c r="K160" s="630" t="s">
        <v>339</v>
      </c>
      <c r="L160" s="630" t="b">
        <v>0</v>
      </c>
      <c r="M160" s="630" t="s">
        <v>321</v>
      </c>
      <c r="N160" s="630" t="s">
        <v>340</v>
      </c>
      <c r="O160" s="630" t="s">
        <v>341</v>
      </c>
    </row>
    <row r="161" spans="1:15" hidden="1" x14ac:dyDescent="0.25">
      <c r="A161" s="630" t="s">
        <v>336</v>
      </c>
      <c r="B161" s="629">
        <v>2.5</v>
      </c>
      <c r="C161" s="630"/>
      <c r="D161" s="630" t="s">
        <v>319</v>
      </c>
      <c r="E161" s="630" t="s">
        <v>319</v>
      </c>
      <c r="F161" s="630" t="s">
        <v>319</v>
      </c>
      <c r="G161" s="630" t="s">
        <v>324</v>
      </c>
      <c r="H161" s="601" t="s">
        <v>325</v>
      </c>
      <c r="I161" s="601" t="s">
        <v>394</v>
      </c>
      <c r="J161" s="630" t="s">
        <v>338</v>
      </c>
      <c r="K161" s="630" t="s">
        <v>339</v>
      </c>
      <c r="L161" s="630" t="b">
        <v>0</v>
      </c>
      <c r="M161" s="630" t="s">
        <v>321</v>
      </c>
      <c r="N161" s="630" t="s">
        <v>340</v>
      </c>
      <c r="O161" s="630" t="s">
        <v>341</v>
      </c>
    </row>
    <row r="162" spans="1:15" hidden="1" x14ac:dyDescent="0.25">
      <c r="A162" s="630" t="s">
        <v>336</v>
      </c>
      <c r="B162" s="629">
        <v>2.5</v>
      </c>
      <c r="C162" s="630"/>
      <c r="D162" s="630" t="s">
        <v>319</v>
      </c>
      <c r="E162" s="630" t="s">
        <v>319</v>
      </c>
      <c r="F162" s="630" t="s">
        <v>319</v>
      </c>
      <c r="G162" s="630" t="s">
        <v>324</v>
      </c>
      <c r="H162" s="601" t="s">
        <v>325</v>
      </c>
      <c r="I162" s="601" t="s">
        <v>395</v>
      </c>
      <c r="J162" s="630" t="s">
        <v>338</v>
      </c>
      <c r="K162" s="630" t="s">
        <v>339</v>
      </c>
      <c r="L162" s="630" t="b">
        <v>0</v>
      </c>
      <c r="M162" s="630" t="s">
        <v>321</v>
      </c>
      <c r="N162" s="630" t="s">
        <v>340</v>
      </c>
      <c r="O162" s="630" t="s">
        <v>341</v>
      </c>
    </row>
    <row r="163" spans="1:15" hidden="1" x14ac:dyDescent="0.25">
      <c r="A163" s="630" t="s">
        <v>336</v>
      </c>
      <c r="B163" s="629">
        <v>2.5</v>
      </c>
      <c r="C163" s="630"/>
      <c r="D163" s="630" t="s">
        <v>319</v>
      </c>
      <c r="E163" s="630" t="s">
        <v>319</v>
      </c>
      <c r="F163" s="630" t="s">
        <v>319</v>
      </c>
      <c r="G163" s="630" t="s">
        <v>324</v>
      </c>
      <c r="H163" s="601" t="s">
        <v>325</v>
      </c>
      <c r="I163" s="601" t="s">
        <v>396</v>
      </c>
      <c r="J163" s="630" t="s">
        <v>338</v>
      </c>
      <c r="K163" s="630" t="s">
        <v>339</v>
      </c>
      <c r="L163" s="630" t="b">
        <v>0</v>
      </c>
      <c r="M163" s="630" t="s">
        <v>321</v>
      </c>
      <c r="N163" s="630" t="s">
        <v>340</v>
      </c>
      <c r="O163" s="630" t="s">
        <v>341</v>
      </c>
    </row>
    <row r="164" spans="1:15" hidden="1" x14ac:dyDescent="0.25">
      <c r="A164" s="630" t="s">
        <v>336</v>
      </c>
      <c r="B164" s="629">
        <v>2.5</v>
      </c>
      <c r="C164" s="630"/>
      <c r="D164" s="630" t="s">
        <v>319</v>
      </c>
      <c r="E164" s="630" t="s">
        <v>319</v>
      </c>
      <c r="F164" s="630" t="s">
        <v>319</v>
      </c>
      <c r="G164" s="630" t="s">
        <v>324</v>
      </c>
      <c r="H164" s="601" t="s">
        <v>325</v>
      </c>
      <c r="I164" s="601" t="s">
        <v>397</v>
      </c>
      <c r="J164" s="630" t="s">
        <v>338</v>
      </c>
      <c r="K164" s="630" t="s">
        <v>339</v>
      </c>
      <c r="L164" s="630" t="b">
        <v>0</v>
      </c>
      <c r="M164" s="630" t="s">
        <v>321</v>
      </c>
      <c r="N164" s="630" t="s">
        <v>340</v>
      </c>
      <c r="O164" s="630" t="s">
        <v>341</v>
      </c>
    </row>
    <row r="165" spans="1:15" hidden="1" x14ac:dyDescent="0.25">
      <c r="A165" s="630" t="s">
        <v>336</v>
      </c>
      <c r="B165" s="629">
        <v>2.5</v>
      </c>
      <c r="C165" s="630"/>
      <c r="D165" s="630" t="s">
        <v>319</v>
      </c>
      <c r="E165" s="630" t="s">
        <v>319</v>
      </c>
      <c r="F165" s="630" t="s">
        <v>319</v>
      </c>
      <c r="G165" s="630" t="s">
        <v>324</v>
      </c>
      <c r="H165" s="601" t="s">
        <v>325</v>
      </c>
      <c r="I165" s="601" t="s">
        <v>398</v>
      </c>
      <c r="J165" s="630" t="s">
        <v>338</v>
      </c>
      <c r="K165" s="630" t="s">
        <v>339</v>
      </c>
      <c r="L165" s="630" t="b">
        <v>0</v>
      </c>
      <c r="M165" s="630" t="s">
        <v>321</v>
      </c>
      <c r="N165" s="630" t="s">
        <v>340</v>
      </c>
      <c r="O165" s="630" t="s">
        <v>341</v>
      </c>
    </row>
    <row r="166" spans="1:15" hidden="1" x14ac:dyDescent="0.25">
      <c r="A166" s="630" t="s">
        <v>336</v>
      </c>
      <c r="B166" s="629">
        <v>2.5</v>
      </c>
      <c r="C166" s="630"/>
      <c r="D166" s="630" t="s">
        <v>319</v>
      </c>
      <c r="E166" s="630" t="s">
        <v>319</v>
      </c>
      <c r="F166" s="630" t="s">
        <v>319</v>
      </c>
      <c r="G166" s="630" t="s">
        <v>324</v>
      </c>
      <c r="H166" s="601" t="s">
        <v>325</v>
      </c>
      <c r="I166" s="601" t="s">
        <v>399</v>
      </c>
      <c r="J166" s="630" t="s">
        <v>338</v>
      </c>
      <c r="K166" s="630" t="s">
        <v>339</v>
      </c>
      <c r="L166" s="630" t="b">
        <v>0</v>
      </c>
      <c r="M166" s="630" t="s">
        <v>321</v>
      </c>
      <c r="N166" s="630" t="s">
        <v>340</v>
      </c>
      <c r="O166" s="630" t="s">
        <v>341</v>
      </c>
    </row>
    <row r="167" spans="1:15" hidden="1" x14ac:dyDescent="0.25">
      <c r="A167" s="630" t="s">
        <v>336</v>
      </c>
      <c r="B167" s="629">
        <v>2.5</v>
      </c>
      <c r="C167" s="630"/>
      <c r="D167" s="630" t="s">
        <v>319</v>
      </c>
      <c r="E167" s="630" t="s">
        <v>319</v>
      </c>
      <c r="F167" s="630" t="s">
        <v>319</v>
      </c>
      <c r="G167" s="630" t="s">
        <v>324</v>
      </c>
      <c r="H167" s="601" t="s">
        <v>325</v>
      </c>
      <c r="I167" s="601" t="s">
        <v>400</v>
      </c>
      <c r="J167" s="630" t="s">
        <v>338</v>
      </c>
      <c r="K167" s="630" t="s">
        <v>339</v>
      </c>
      <c r="L167" s="630" t="b">
        <v>0</v>
      </c>
      <c r="M167" s="630" t="s">
        <v>321</v>
      </c>
      <c r="N167" s="630" t="s">
        <v>340</v>
      </c>
      <c r="O167" s="630" t="s">
        <v>341</v>
      </c>
    </row>
    <row r="168" spans="1:15" hidden="1" x14ac:dyDescent="0.25">
      <c r="A168" s="630" t="s">
        <v>336</v>
      </c>
      <c r="B168" s="629">
        <v>2.5</v>
      </c>
      <c r="C168" s="630"/>
      <c r="D168" s="630" t="s">
        <v>319</v>
      </c>
      <c r="E168" s="630" t="s">
        <v>319</v>
      </c>
      <c r="F168" s="630" t="s">
        <v>319</v>
      </c>
      <c r="G168" s="630" t="s">
        <v>324</v>
      </c>
      <c r="H168" s="601" t="s">
        <v>325</v>
      </c>
      <c r="I168" s="601" t="s">
        <v>401</v>
      </c>
      <c r="J168" s="630" t="s">
        <v>338</v>
      </c>
      <c r="K168" s="630" t="s">
        <v>339</v>
      </c>
      <c r="L168" s="630" t="b">
        <v>0</v>
      </c>
      <c r="M168" s="630" t="s">
        <v>321</v>
      </c>
      <c r="N168" s="630" t="s">
        <v>340</v>
      </c>
      <c r="O168" s="630" t="s">
        <v>341</v>
      </c>
    </row>
    <row r="169" spans="1:15" hidden="1" x14ac:dyDescent="0.25">
      <c r="A169" s="630" t="s">
        <v>336</v>
      </c>
      <c r="B169" s="629">
        <v>2.5</v>
      </c>
      <c r="C169" s="630"/>
      <c r="D169" s="630" t="s">
        <v>319</v>
      </c>
      <c r="E169" s="630" t="s">
        <v>319</v>
      </c>
      <c r="F169" s="630" t="s">
        <v>319</v>
      </c>
      <c r="G169" s="630" t="s">
        <v>324</v>
      </c>
      <c r="H169" s="601" t="s">
        <v>325</v>
      </c>
      <c r="I169" s="601" t="s">
        <v>402</v>
      </c>
      <c r="J169" s="630" t="s">
        <v>338</v>
      </c>
      <c r="K169" s="630" t="s">
        <v>339</v>
      </c>
      <c r="L169" s="630" t="b">
        <v>0</v>
      </c>
      <c r="M169" s="630" t="s">
        <v>321</v>
      </c>
      <c r="N169" s="630" t="s">
        <v>340</v>
      </c>
      <c r="O169" s="630" t="s">
        <v>341</v>
      </c>
    </row>
    <row r="170" spans="1:15" hidden="1" x14ac:dyDescent="0.25">
      <c r="A170" s="630" t="s">
        <v>336</v>
      </c>
      <c r="B170" s="629">
        <v>2.5</v>
      </c>
      <c r="C170" s="630"/>
      <c r="D170" s="630" t="s">
        <v>319</v>
      </c>
      <c r="E170" s="630" t="s">
        <v>319</v>
      </c>
      <c r="F170" s="630" t="s">
        <v>319</v>
      </c>
      <c r="G170" s="630" t="s">
        <v>324</v>
      </c>
      <c r="H170" s="601" t="s">
        <v>325</v>
      </c>
      <c r="I170" s="601" t="s">
        <v>403</v>
      </c>
      <c r="J170" s="630" t="s">
        <v>338</v>
      </c>
      <c r="K170" s="630" t="s">
        <v>339</v>
      </c>
      <c r="L170" s="630" t="b">
        <v>0</v>
      </c>
      <c r="M170" s="630" t="s">
        <v>321</v>
      </c>
      <c r="N170" s="630" t="s">
        <v>340</v>
      </c>
      <c r="O170" s="630" t="s">
        <v>341</v>
      </c>
    </row>
    <row r="171" spans="1:15" hidden="1" x14ac:dyDescent="0.25">
      <c r="A171" s="630" t="s">
        <v>336</v>
      </c>
      <c r="B171" s="629">
        <v>2.5</v>
      </c>
      <c r="C171" s="630"/>
      <c r="D171" s="630" t="s">
        <v>319</v>
      </c>
      <c r="E171" s="630" t="s">
        <v>319</v>
      </c>
      <c r="F171" s="630" t="s">
        <v>319</v>
      </c>
      <c r="G171" s="630" t="s">
        <v>324</v>
      </c>
      <c r="H171" s="601" t="s">
        <v>325</v>
      </c>
      <c r="I171" s="601" t="s">
        <v>404</v>
      </c>
      <c r="J171" s="630" t="s">
        <v>338</v>
      </c>
      <c r="K171" s="630" t="s">
        <v>339</v>
      </c>
      <c r="L171" s="630" t="b">
        <v>0</v>
      </c>
      <c r="M171" s="630" t="s">
        <v>321</v>
      </c>
      <c r="N171" s="630" t="s">
        <v>340</v>
      </c>
      <c r="O171" s="630" t="s">
        <v>341</v>
      </c>
    </row>
    <row r="172" spans="1:15" hidden="1" x14ac:dyDescent="0.25">
      <c r="A172" s="630" t="s">
        <v>336</v>
      </c>
      <c r="B172" s="629">
        <v>2.5</v>
      </c>
      <c r="C172" s="630"/>
      <c r="D172" s="630" t="s">
        <v>319</v>
      </c>
      <c r="E172" s="630" t="s">
        <v>319</v>
      </c>
      <c r="F172" s="630" t="s">
        <v>319</v>
      </c>
      <c r="G172" s="630" t="s">
        <v>324</v>
      </c>
      <c r="H172" s="601" t="s">
        <v>325</v>
      </c>
      <c r="I172" s="601" t="s">
        <v>405</v>
      </c>
      <c r="J172" s="630" t="s">
        <v>338</v>
      </c>
      <c r="K172" s="630" t="s">
        <v>339</v>
      </c>
      <c r="L172" s="630" t="b">
        <v>0</v>
      </c>
      <c r="M172" s="630" t="s">
        <v>321</v>
      </c>
      <c r="N172" s="630" t="s">
        <v>340</v>
      </c>
      <c r="O172" s="630" t="s">
        <v>341</v>
      </c>
    </row>
    <row r="173" spans="1:15" hidden="1" x14ac:dyDescent="0.25">
      <c r="A173" s="630" t="s">
        <v>336</v>
      </c>
      <c r="B173" s="629">
        <v>2.5</v>
      </c>
      <c r="C173" s="630"/>
      <c r="D173" s="630" t="s">
        <v>319</v>
      </c>
      <c r="E173" s="630" t="s">
        <v>319</v>
      </c>
      <c r="F173" s="630" t="s">
        <v>319</v>
      </c>
      <c r="G173" s="630" t="s">
        <v>324</v>
      </c>
      <c r="H173" s="601" t="s">
        <v>325</v>
      </c>
      <c r="I173" s="601" t="s">
        <v>406</v>
      </c>
      <c r="J173" s="630" t="s">
        <v>338</v>
      </c>
      <c r="K173" s="630" t="s">
        <v>339</v>
      </c>
      <c r="L173" s="630" t="b">
        <v>0</v>
      </c>
      <c r="M173" s="630" t="s">
        <v>321</v>
      </c>
      <c r="N173" s="630" t="s">
        <v>340</v>
      </c>
      <c r="O173" s="630" t="s">
        <v>341</v>
      </c>
    </row>
    <row r="174" spans="1:15" hidden="1" x14ac:dyDescent="0.25">
      <c r="A174" s="630" t="s">
        <v>336</v>
      </c>
      <c r="B174" s="629">
        <v>2.5</v>
      </c>
      <c r="C174" s="630"/>
      <c r="D174" s="630" t="s">
        <v>319</v>
      </c>
      <c r="E174" s="630" t="s">
        <v>319</v>
      </c>
      <c r="F174" s="630" t="s">
        <v>319</v>
      </c>
      <c r="G174" s="630" t="s">
        <v>324</v>
      </c>
      <c r="H174" s="601" t="s">
        <v>325</v>
      </c>
      <c r="I174" s="601" t="s">
        <v>407</v>
      </c>
      <c r="J174" s="630" t="s">
        <v>338</v>
      </c>
      <c r="K174" s="630" t="s">
        <v>339</v>
      </c>
      <c r="L174" s="630" t="b">
        <v>0</v>
      </c>
      <c r="M174" s="630" t="s">
        <v>321</v>
      </c>
      <c r="N174" s="630" t="s">
        <v>340</v>
      </c>
      <c r="O174" s="630" t="s">
        <v>341</v>
      </c>
    </row>
    <row r="175" spans="1:15" hidden="1" x14ac:dyDescent="0.25">
      <c r="A175" s="630" t="s">
        <v>336</v>
      </c>
      <c r="B175" s="629">
        <v>2.5</v>
      </c>
      <c r="C175" s="630"/>
      <c r="D175" s="630" t="s">
        <v>319</v>
      </c>
      <c r="E175" s="630" t="s">
        <v>319</v>
      </c>
      <c r="F175" s="630" t="s">
        <v>319</v>
      </c>
      <c r="G175" s="630" t="s">
        <v>324</v>
      </c>
      <c r="H175" s="601" t="s">
        <v>325</v>
      </c>
      <c r="I175" s="601" t="s">
        <v>408</v>
      </c>
      <c r="J175" s="630" t="s">
        <v>338</v>
      </c>
      <c r="K175" s="630" t="s">
        <v>339</v>
      </c>
      <c r="L175" s="630" t="b">
        <v>0</v>
      </c>
      <c r="M175" s="630" t="s">
        <v>321</v>
      </c>
      <c r="N175" s="630" t="s">
        <v>340</v>
      </c>
      <c r="O175" s="630" t="s">
        <v>341</v>
      </c>
    </row>
    <row r="176" spans="1:15" hidden="1" x14ac:dyDescent="0.25">
      <c r="A176" s="630" t="s">
        <v>336</v>
      </c>
      <c r="B176" s="629">
        <v>2.5</v>
      </c>
      <c r="C176" s="630"/>
      <c r="D176" s="630" t="s">
        <v>319</v>
      </c>
      <c r="E176" s="630" t="s">
        <v>319</v>
      </c>
      <c r="F176" s="630" t="s">
        <v>319</v>
      </c>
      <c r="G176" s="630" t="s">
        <v>324</v>
      </c>
      <c r="H176" s="601" t="s">
        <v>325</v>
      </c>
      <c r="I176" s="601" t="s">
        <v>409</v>
      </c>
      <c r="J176" s="630" t="s">
        <v>338</v>
      </c>
      <c r="K176" s="630" t="s">
        <v>339</v>
      </c>
      <c r="L176" s="630" t="b">
        <v>0</v>
      </c>
      <c r="M176" s="630" t="s">
        <v>321</v>
      </c>
      <c r="N176" s="630" t="s">
        <v>340</v>
      </c>
      <c r="O176" s="630" t="s">
        <v>341</v>
      </c>
    </row>
    <row r="177" spans="1:15" hidden="1" x14ac:dyDescent="0.25">
      <c r="A177" s="630" t="s">
        <v>336</v>
      </c>
      <c r="B177" s="629">
        <v>2.5</v>
      </c>
      <c r="C177" s="630"/>
      <c r="D177" s="630" t="s">
        <v>319</v>
      </c>
      <c r="E177" s="630" t="s">
        <v>319</v>
      </c>
      <c r="F177" s="630" t="s">
        <v>319</v>
      </c>
      <c r="G177" s="630" t="s">
        <v>324</v>
      </c>
      <c r="H177" s="601" t="s">
        <v>325</v>
      </c>
      <c r="I177" s="601" t="s">
        <v>410</v>
      </c>
      <c r="J177" s="630" t="s">
        <v>338</v>
      </c>
      <c r="K177" s="630" t="s">
        <v>339</v>
      </c>
      <c r="L177" s="630" t="b">
        <v>0</v>
      </c>
      <c r="M177" s="630" t="s">
        <v>321</v>
      </c>
      <c r="N177" s="630" t="s">
        <v>340</v>
      </c>
      <c r="O177" s="630" t="s">
        <v>341</v>
      </c>
    </row>
    <row r="178" spans="1:15" hidden="1" x14ac:dyDescent="0.25">
      <c r="A178" s="630" t="s">
        <v>336</v>
      </c>
      <c r="B178" s="629">
        <v>2.5</v>
      </c>
      <c r="C178" s="630"/>
      <c r="D178" s="630" t="s">
        <v>319</v>
      </c>
      <c r="E178" s="630" t="s">
        <v>319</v>
      </c>
      <c r="F178" s="630" t="s">
        <v>319</v>
      </c>
      <c r="G178" s="630" t="s">
        <v>324</v>
      </c>
      <c r="H178" s="601" t="s">
        <v>325</v>
      </c>
      <c r="I178" s="601" t="s">
        <v>411</v>
      </c>
      <c r="J178" s="630" t="s">
        <v>338</v>
      </c>
      <c r="K178" s="630" t="s">
        <v>339</v>
      </c>
      <c r="L178" s="630" t="b">
        <v>0</v>
      </c>
      <c r="M178" s="630" t="s">
        <v>321</v>
      </c>
      <c r="N178" s="630" t="s">
        <v>340</v>
      </c>
      <c r="O178" s="630" t="s">
        <v>341</v>
      </c>
    </row>
    <row r="179" spans="1:15" hidden="1" x14ac:dyDescent="0.25">
      <c r="A179" s="630" t="s">
        <v>336</v>
      </c>
      <c r="B179" s="629">
        <v>2.5</v>
      </c>
      <c r="C179" s="630"/>
      <c r="D179" s="630" t="s">
        <v>319</v>
      </c>
      <c r="E179" s="630" t="s">
        <v>319</v>
      </c>
      <c r="F179" s="630" t="s">
        <v>319</v>
      </c>
      <c r="G179" s="630" t="s">
        <v>324</v>
      </c>
      <c r="H179" s="601" t="s">
        <v>325</v>
      </c>
      <c r="I179" s="601" t="s">
        <v>412</v>
      </c>
      <c r="J179" s="630" t="s">
        <v>338</v>
      </c>
      <c r="K179" s="630" t="s">
        <v>339</v>
      </c>
      <c r="L179" s="630" t="b">
        <v>0</v>
      </c>
      <c r="M179" s="630" t="s">
        <v>321</v>
      </c>
      <c r="N179" s="630" t="s">
        <v>340</v>
      </c>
      <c r="O179" s="630" t="s">
        <v>341</v>
      </c>
    </row>
    <row r="180" spans="1:15" hidden="1" x14ac:dyDescent="0.25">
      <c r="A180" s="630" t="s">
        <v>336</v>
      </c>
      <c r="B180" s="629">
        <v>2.5</v>
      </c>
      <c r="C180" s="630"/>
      <c r="D180" s="630" t="s">
        <v>319</v>
      </c>
      <c r="E180" s="630" t="s">
        <v>319</v>
      </c>
      <c r="F180" s="630" t="s">
        <v>319</v>
      </c>
      <c r="G180" s="630" t="s">
        <v>324</v>
      </c>
      <c r="H180" s="601" t="s">
        <v>325</v>
      </c>
      <c r="I180" s="601" t="s">
        <v>413</v>
      </c>
      <c r="J180" s="630" t="s">
        <v>338</v>
      </c>
      <c r="K180" s="630" t="s">
        <v>339</v>
      </c>
      <c r="L180" s="630" t="b">
        <v>0</v>
      </c>
      <c r="M180" s="630" t="s">
        <v>321</v>
      </c>
      <c r="N180" s="630" t="s">
        <v>340</v>
      </c>
      <c r="O180" s="630" t="s">
        <v>341</v>
      </c>
    </row>
    <row r="181" spans="1:15" hidden="1" x14ac:dyDescent="0.25">
      <c r="A181" s="630" t="s">
        <v>336</v>
      </c>
      <c r="B181" s="629">
        <v>2.5</v>
      </c>
      <c r="C181" s="630"/>
      <c r="D181" s="630" t="s">
        <v>319</v>
      </c>
      <c r="E181" s="630" t="s">
        <v>319</v>
      </c>
      <c r="F181" s="630" t="s">
        <v>319</v>
      </c>
      <c r="G181" s="630" t="s">
        <v>324</v>
      </c>
      <c r="H181" s="601" t="s">
        <v>325</v>
      </c>
      <c r="I181" s="601" t="s">
        <v>414</v>
      </c>
      <c r="J181" s="630" t="s">
        <v>338</v>
      </c>
      <c r="K181" s="630" t="s">
        <v>339</v>
      </c>
      <c r="L181" s="630" t="b">
        <v>0</v>
      </c>
      <c r="M181" s="630" t="s">
        <v>321</v>
      </c>
      <c r="N181" s="630" t="s">
        <v>340</v>
      </c>
      <c r="O181" s="630" t="s">
        <v>341</v>
      </c>
    </row>
    <row r="182" spans="1:15" hidden="1" x14ac:dyDescent="0.25">
      <c r="A182" s="630" t="s">
        <v>336</v>
      </c>
      <c r="B182" s="629">
        <v>2.5</v>
      </c>
      <c r="C182" s="630"/>
      <c r="D182" s="630" t="s">
        <v>319</v>
      </c>
      <c r="E182" s="630" t="s">
        <v>319</v>
      </c>
      <c r="F182" s="630" t="s">
        <v>319</v>
      </c>
      <c r="G182" s="630" t="s">
        <v>324</v>
      </c>
      <c r="H182" s="601" t="s">
        <v>325</v>
      </c>
      <c r="I182" s="601" t="s">
        <v>415</v>
      </c>
      <c r="J182" s="630" t="s">
        <v>338</v>
      </c>
      <c r="K182" s="630" t="s">
        <v>339</v>
      </c>
      <c r="L182" s="630" t="b">
        <v>0</v>
      </c>
      <c r="M182" s="630" t="s">
        <v>321</v>
      </c>
      <c r="N182" s="630" t="s">
        <v>340</v>
      </c>
      <c r="O182" s="630" t="s">
        <v>341</v>
      </c>
    </row>
    <row r="183" spans="1:15" hidden="1" x14ac:dyDescent="0.25">
      <c r="A183" s="630" t="s">
        <v>336</v>
      </c>
      <c r="B183" s="629">
        <v>2.5</v>
      </c>
      <c r="C183" s="630"/>
      <c r="D183" s="630" t="s">
        <v>319</v>
      </c>
      <c r="E183" s="630" t="s">
        <v>319</v>
      </c>
      <c r="F183" s="630" t="s">
        <v>319</v>
      </c>
      <c r="G183" s="630" t="s">
        <v>324</v>
      </c>
      <c r="H183" s="601" t="s">
        <v>325</v>
      </c>
      <c r="I183" s="601" t="s">
        <v>416</v>
      </c>
      <c r="J183" s="630" t="s">
        <v>338</v>
      </c>
      <c r="K183" s="630" t="s">
        <v>339</v>
      </c>
      <c r="L183" s="630" t="b">
        <v>0</v>
      </c>
      <c r="M183" s="630" t="s">
        <v>321</v>
      </c>
      <c r="N183" s="630" t="s">
        <v>340</v>
      </c>
      <c r="O183" s="630" t="s">
        <v>341</v>
      </c>
    </row>
    <row r="184" spans="1:15" hidden="1" x14ac:dyDescent="0.25">
      <c r="A184" s="630" t="s">
        <v>417</v>
      </c>
      <c r="B184" s="629">
        <v>1</v>
      </c>
      <c r="C184" s="630"/>
      <c r="D184" s="630" t="s">
        <v>319</v>
      </c>
      <c r="E184" s="630" t="s">
        <v>319</v>
      </c>
      <c r="F184" s="630" t="s">
        <v>319</v>
      </c>
      <c r="G184" s="630" t="s">
        <v>418</v>
      </c>
      <c r="H184" s="601" t="s">
        <v>325</v>
      </c>
      <c r="I184" s="601" t="s">
        <v>419</v>
      </c>
      <c r="J184" s="630"/>
      <c r="K184" s="630"/>
      <c r="L184" s="630"/>
      <c r="M184" s="630"/>
      <c r="N184" s="630"/>
      <c r="O184" s="630"/>
    </row>
    <row r="185" spans="1:15" hidden="1" x14ac:dyDescent="0.25">
      <c r="A185" s="630" t="s">
        <v>417</v>
      </c>
      <c r="B185" s="629">
        <v>0.89500000000000002</v>
      </c>
      <c r="C185" s="630"/>
      <c r="D185" s="630" t="s">
        <v>319</v>
      </c>
      <c r="E185" s="630" t="s">
        <v>319</v>
      </c>
      <c r="F185" s="630" t="s">
        <v>319</v>
      </c>
      <c r="G185" s="630" t="s">
        <v>418</v>
      </c>
      <c r="H185" s="601" t="s">
        <v>325</v>
      </c>
      <c r="I185" s="601" t="s">
        <v>420</v>
      </c>
      <c r="J185" s="630"/>
      <c r="K185" s="630"/>
      <c r="L185" s="630"/>
      <c r="M185" s="630"/>
      <c r="N185" s="630"/>
      <c r="O185" s="630"/>
    </row>
    <row r="186" spans="1:15" hidden="1" x14ac:dyDescent="0.25">
      <c r="A186" s="630" t="s">
        <v>417</v>
      </c>
      <c r="B186" s="629">
        <v>0.79</v>
      </c>
      <c r="C186" s="630"/>
      <c r="D186" s="630" t="s">
        <v>319</v>
      </c>
      <c r="E186" s="630" t="s">
        <v>319</v>
      </c>
      <c r="F186" s="630" t="s">
        <v>319</v>
      </c>
      <c r="G186" s="630" t="s">
        <v>418</v>
      </c>
      <c r="H186" s="601" t="s">
        <v>325</v>
      </c>
      <c r="I186" s="601" t="s">
        <v>421</v>
      </c>
      <c r="J186" s="630"/>
      <c r="K186" s="630"/>
      <c r="L186" s="630"/>
      <c r="M186" s="630"/>
      <c r="N186" s="630"/>
      <c r="O186" s="630"/>
    </row>
    <row r="187" spans="1:15" hidden="1" x14ac:dyDescent="0.25">
      <c r="A187" s="630" t="s">
        <v>417</v>
      </c>
      <c r="B187" s="629">
        <v>0.63</v>
      </c>
      <c r="C187" s="630"/>
      <c r="D187" s="630" t="s">
        <v>319</v>
      </c>
      <c r="E187" s="630" t="s">
        <v>319</v>
      </c>
      <c r="F187" s="630" t="s">
        <v>319</v>
      </c>
      <c r="G187" s="630" t="s">
        <v>418</v>
      </c>
      <c r="H187" s="601" t="s">
        <v>325</v>
      </c>
      <c r="I187" s="601" t="s">
        <v>422</v>
      </c>
      <c r="J187" s="630"/>
      <c r="K187" s="630"/>
      <c r="L187" s="630"/>
      <c r="M187" s="630"/>
      <c r="N187" s="630"/>
      <c r="O187" s="630"/>
    </row>
    <row r="188" spans="1:15" hidden="1" x14ac:dyDescent="0.25">
      <c r="A188" s="630" t="s">
        <v>417</v>
      </c>
      <c r="B188" s="629">
        <v>0.53849999999999998</v>
      </c>
      <c r="C188" s="630"/>
      <c r="D188" s="630" t="s">
        <v>319</v>
      </c>
      <c r="E188" s="630" t="s">
        <v>319</v>
      </c>
      <c r="F188" s="630" t="s">
        <v>319</v>
      </c>
      <c r="G188" s="630" t="s">
        <v>418</v>
      </c>
      <c r="H188" s="601" t="s">
        <v>325</v>
      </c>
      <c r="I188" s="601" t="s">
        <v>423</v>
      </c>
      <c r="J188" s="630"/>
      <c r="K188" s="630"/>
      <c r="L188" s="630"/>
      <c r="M188" s="630"/>
      <c r="N188" s="630"/>
      <c r="O188" s="630"/>
    </row>
    <row r="189" spans="1:15" hidden="1" x14ac:dyDescent="0.25">
      <c r="A189" s="630" t="s">
        <v>417</v>
      </c>
      <c r="B189" s="629">
        <v>0.47110000000000002</v>
      </c>
      <c r="C189" s="630"/>
      <c r="D189" s="630" t="s">
        <v>319</v>
      </c>
      <c r="E189" s="630" t="s">
        <v>319</v>
      </c>
      <c r="F189" s="630" t="s">
        <v>319</v>
      </c>
      <c r="G189" s="630" t="s">
        <v>418</v>
      </c>
      <c r="H189" s="601" t="s">
        <v>325</v>
      </c>
      <c r="I189" s="601" t="s">
        <v>424</v>
      </c>
      <c r="J189" s="630"/>
      <c r="K189" s="630"/>
      <c r="L189" s="630"/>
      <c r="M189" s="630"/>
      <c r="N189" s="630"/>
      <c r="O189" s="630"/>
    </row>
    <row r="190" spans="1:15" hidden="1" x14ac:dyDescent="0.25">
      <c r="A190" s="630" t="s">
        <v>417</v>
      </c>
      <c r="B190" s="629">
        <v>0.4239</v>
      </c>
      <c r="C190" s="630"/>
      <c r="D190" s="630" t="s">
        <v>319</v>
      </c>
      <c r="E190" s="630" t="s">
        <v>319</v>
      </c>
      <c r="F190" s="630" t="s">
        <v>319</v>
      </c>
      <c r="G190" s="630" t="s">
        <v>418</v>
      </c>
      <c r="H190" s="601" t="s">
        <v>325</v>
      </c>
      <c r="I190" s="601" t="s">
        <v>425</v>
      </c>
      <c r="J190" s="630"/>
      <c r="K190" s="630"/>
      <c r="L190" s="630"/>
      <c r="M190" s="630"/>
      <c r="N190" s="630"/>
      <c r="O190" s="630"/>
    </row>
    <row r="191" spans="1:15" hidden="1" x14ac:dyDescent="0.25">
      <c r="A191" s="630" t="s">
        <v>417</v>
      </c>
      <c r="B191" s="629">
        <v>0.38940000000000002</v>
      </c>
      <c r="C191" s="630"/>
      <c r="D191" s="630" t="s">
        <v>319</v>
      </c>
      <c r="E191" s="630" t="s">
        <v>319</v>
      </c>
      <c r="F191" s="630" t="s">
        <v>319</v>
      </c>
      <c r="G191" s="630" t="s">
        <v>418</v>
      </c>
      <c r="H191" s="601" t="s">
        <v>325</v>
      </c>
      <c r="I191" s="601" t="s">
        <v>426</v>
      </c>
      <c r="J191" s="630"/>
      <c r="K191" s="630"/>
      <c r="L191" s="630"/>
      <c r="M191" s="630"/>
      <c r="N191" s="630"/>
      <c r="O191" s="630"/>
    </row>
    <row r="192" spans="1:15" hidden="1" x14ac:dyDescent="0.25">
      <c r="A192" s="630" t="s">
        <v>417</v>
      </c>
      <c r="B192" s="629">
        <v>0.3634</v>
      </c>
      <c r="C192" s="630"/>
      <c r="D192" s="630" t="s">
        <v>319</v>
      </c>
      <c r="E192" s="630" t="s">
        <v>319</v>
      </c>
      <c r="F192" s="630" t="s">
        <v>319</v>
      </c>
      <c r="G192" s="630" t="s">
        <v>418</v>
      </c>
      <c r="H192" s="601" t="s">
        <v>325</v>
      </c>
      <c r="I192" s="601" t="s">
        <v>427</v>
      </c>
      <c r="J192" s="630"/>
      <c r="K192" s="630"/>
      <c r="L192" s="630"/>
      <c r="M192" s="630"/>
      <c r="N192" s="630"/>
      <c r="O192" s="630"/>
    </row>
    <row r="193" spans="1:15" hidden="1" x14ac:dyDescent="0.25">
      <c r="A193" s="630" t="s">
        <v>417</v>
      </c>
      <c r="B193" s="629">
        <v>0.34339999999999998</v>
      </c>
      <c r="C193" s="630"/>
      <c r="D193" s="630" t="s">
        <v>319</v>
      </c>
      <c r="E193" s="630" t="s">
        <v>319</v>
      </c>
      <c r="F193" s="630" t="s">
        <v>319</v>
      </c>
      <c r="G193" s="630" t="s">
        <v>418</v>
      </c>
      <c r="H193" s="601" t="s">
        <v>325</v>
      </c>
      <c r="I193" s="601" t="s">
        <v>428</v>
      </c>
      <c r="J193" s="630"/>
      <c r="K193" s="630"/>
      <c r="L193" s="630"/>
      <c r="M193" s="630"/>
      <c r="N193" s="630"/>
      <c r="O193" s="630"/>
    </row>
    <row r="194" spans="1:15" hidden="1" x14ac:dyDescent="0.25">
      <c r="A194" s="630" t="s">
        <v>417</v>
      </c>
      <c r="B194" s="629">
        <v>0.32769999999999999</v>
      </c>
      <c r="C194" s="630"/>
      <c r="D194" s="630" t="s">
        <v>319</v>
      </c>
      <c r="E194" s="630" t="s">
        <v>319</v>
      </c>
      <c r="F194" s="630" t="s">
        <v>319</v>
      </c>
      <c r="G194" s="630" t="s">
        <v>418</v>
      </c>
      <c r="H194" s="601" t="s">
        <v>325</v>
      </c>
      <c r="I194" s="601" t="s">
        <v>429</v>
      </c>
      <c r="J194" s="630"/>
      <c r="K194" s="630"/>
      <c r="L194" s="630"/>
      <c r="M194" s="630"/>
      <c r="N194" s="630"/>
      <c r="O194" s="630"/>
    </row>
    <row r="195" spans="1:15" hidden="1" x14ac:dyDescent="0.25">
      <c r="A195" s="630" t="s">
        <v>417</v>
      </c>
      <c r="B195" s="629">
        <v>0.31540000000000001</v>
      </c>
      <c r="C195" s="630"/>
      <c r="D195" s="630" t="s">
        <v>319</v>
      </c>
      <c r="E195" s="630" t="s">
        <v>319</v>
      </c>
      <c r="F195" s="630" t="s">
        <v>319</v>
      </c>
      <c r="G195" s="630" t="s">
        <v>418</v>
      </c>
      <c r="H195" s="601" t="s">
        <v>325</v>
      </c>
      <c r="I195" s="601" t="s">
        <v>430</v>
      </c>
      <c r="J195" s="630"/>
      <c r="K195" s="630"/>
      <c r="L195" s="630"/>
      <c r="M195" s="630"/>
      <c r="N195" s="630"/>
      <c r="O195" s="630"/>
    </row>
    <row r="196" spans="1:15" hidden="1" x14ac:dyDescent="0.25">
      <c r="A196" s="630" t="s">
        <v>417</v>
      </c>
      <c r="B196" s="629">
        <v>0.29959999999999998</v>
      </c>
      <c r="C196" s="630"/>
      <c r="D196" s="630" t="s">
        <v>319</v>
      </c>
      <c r="E196" s="630" t="s">
        <v>319</v>
      </c>
      <c r="F196" s="630" t="s">
        <v>319</v>
      </c>
      <c r="G196" s="630" t="s">
        <v>418</v>
      </c>
      <c r="H196" s="601" t="s">
        <v>325</v>
      </c>
      <c r="I196" s="601" t="s">
        <v>431</v>
      </c>
      <c r="J196" s="630"/>
      <c r="K196" s="630"/>
      <c r="L196" s="630"/>
      <c r="M196" s="630"/>
      <c r="N196" s="630"/>
      <c r="O196" s="630"/>
    </row>
    <row r="197" spans="1:15" hidden="1" x14ac:dyDescent="0.25">
      <c r="A197" s="630" t="s">
        <v>417</v>
      </c>
      <c r="B197" s="629">
        <v>0.28639999999999999</v>
      </c>
      <c r="C197" s="630"/>
      <c r="D197" s="630" t="s">
        <v>319</v>
      </c>
      <c r="E197" s="630" t="s">
        <v>319</v>
      </c>
      <c r="F197" s="630" t="s">
        <v>319</v>
      </c>
      <c r="G197" s="630" t="s">
        <v>418</v>
      </c>
      <c r="H197" s="601" t="s">
        <v>325</v>
      </c>
      <c r="I197" s="601" t="s">
        <v>432</v>
      </c>
      <c r="J197" s="630"/>
      <c r="K197" s="630"/>
      <c r="L197" s="630"/>
      <c r="M197" s="630"/>
      <c r="N197" s="630"/>
      <c r="O197" s="630"/>
    </row>
    <row r="198" spans="1:15" hidden="1" x14ac:dyDescent="0.25">
      <c r="A198" s="630" t="s">
        <v>417</v>
      </c>
      <c r="B198" s="629">
        <v>0.27510000000000001</v>
      </c>
      <c r="C198" s="630"/>
      <c r="D198" s="630" t="s">
        <v>319</v>
      </c>
      <c r="E198" s="630" t="s">
        <v>319</v>
      </c>
      <c r="F198" s="630" t="s">
        <v>319</v>
      </c>
      <c r="G198" s="630" t="s">
        <v>418</v>
      </c>
      <c r="H198" s="601" t="s">
        <v>325</v>
      </c>
      <c r="I198" s="601" t="s">
        <v>433</v>
      </c>
      <c r="J198" s="630"/>
      <c r="K198" s="630"/>
      <c r="L198" s="630"/>
      <c r="M198" s="630"/>
      <c r="N198" s="630"/>
      <c r="O198" s="630"/>
    </row>
    <row r="199" spans="1:15" hidden="1" x14ac:dyDescent="0.25">
      <c r="A199" s="630" t="s">
        <v>417</v>
      </c>
      <c r="B199" s="629">
        <v>0.26550000000000001</v>
      </c>
      <c r="C199" s="630"/>
      <c r="D199" s="630" t="s">
        <v>319</v>
      </c>
      <c r="E199" s="630" t="s">
        <v>319</v>
      </c>
      <c r="F199" s="630" t="s">
        <v>319</v>
      </c>
      <c r="G199" s="630" t="s">
        <v>418</v>
      </c>
      <c r="H199" s="601" t="s">
        <v>325</v>
      </c>
      <c r="I199" s="601" t="s">
        <v>434</v>
      </c>
      <c r="J199" s="630"/>
      <c r="K199" s="630"/>
      <c r="L199" s="630"/>
      <c r="M199" s="630"/>
      <c r="N199" s="630"/>
      <c r="O199" s="630"/>
    </row>
    <row r="200" spans="1:15" hidden="1" x14ac:dyDescent="0.25">
      <c r="A200" s="630" t="s">
        <v>417</v>
      </c>
      <c r="B200" s="629">
        <v>0.25719999999999998</v>
      </c>
      <c r="C200" s="630"/>
      <c r="D200" s="630" t="s">
        <v>319</v>
      </c>
      <c r="E200" s="630" t="s">
        <v>319</v>
      </c>
      <c r="F200" s="630" t="s">
        <v>319</v>
      </c>
      <c r="G200" s="630" t="s">
        <v>418</v>
      </c>
      <c r="H200" s="601" t="s">
        <v>325</v>
      </c>
      <c r="I200" s="601" t="s">
        <v>435</v>
      </c>
      <c r="J200" s="630"/>
      <c r="K200" s="630"/>
      <c r="L200" s="630"/>
      <c r="M200" s="630"/>
      <c r="N200" s="630"/>
      <c r="O200" s="630"/>
    </row>
    <row r="201" spans="1:15" hidden="1" x14ac:dyDescent="0.25">
      <c r="A201" s="630" t="s">
        <v>417</v>
      </c>
      <c r="B201" s="629">
        <v>0.25</v>
      </c>
      <c r="C201" s="630"/>
      <c r="D201" s="630" t="s">
        <v>319</v>
      </c>
      <c r="E201" s="630" t="s">
        <v>319</v>
      </c>
      <c r="F201" s="630" t="s">
        <v>319</v>
      </c>
      <c r="G201" s="630" t="s">
        <v>418</v>
      </c>
      <c r="H201" s="601" t="s">
        <v>325</v>
      </c>
      <c r="I201" s="601" t="s">
        <v>436</v>
      </c>
      <c r="J201" s="630"/>
      <c r="K201" s="630"/>
      <c r="L201" s="630"/>
      <c r="M201" s="630"/>
      <c r="N201" s="630"/>
      <c r="O201" s="630"/>
    </row>
    <row r="202" spans="1:15" hidden="1" x14ac:dyDescent="0.25">
      <c r="A202" s="630" t="s">
        <v>417</v>
      </c>
      <c r="B202" s="629">
        <v>0.24199999999999999</v>
      </c>
      <c r="C202" s="630"/>
      <c r="D202" s="630" t="s">
        <v>319</v>
      </c>
      <c r="E202" s="630" t="s">
        <v>319</v>
      </c>
      <c r="F202" s="630" t="s">
        <v>319</v>
      </c>
      <c r="G202" s="630" t="s">
        <v>418</v>
      </c>
      <c r="H202" s="601" t="s">
        <v>325</v>
      </c>
      <c r="I202" s="601" t="s">
        <v>437</v>
      </c>
      <c r="J202" s="630"/>
      <c r="K202" s="630"/>
      <c r="L202" s="630"/>
      <c r="M202" s="630"/>
      <c r="N202" s="630"/>
      <c r="O202" s="630"/>
    </row>
    <row r="203" spans="1:15" hidden="1" x14ac:dyDescent="0.25">
      <c r="A203" s="630" t="s">
        <v>417</v>
      </c>
      <c r="B203" s="629">
        <v>0.23499999999999999</v>
      </c>
      <c r="C203" s="630"/>
      <c r="D203" s="630" t="s">
        <v>319</v>
      </c>
      <c r="E203" s="630" t="s">
        <v>319</v>
      </c>
      <c r="F203" s="630" t="s">
        <v>319</v>
      </c>
      <c r="G203" s="630" t="s">
        <v>418</v>
      </c>
      <c r="H203" s="601" t="s">
        <v>325</v>
      </c>
      <c r="I203" s="601" t="s">
        <v>438</v>
      </c>
      <c r="J203" s="630"/>
      <c r="K203" s="630"/>
      <c r="L203" s="630"/>
      <c r="M203" s="630"/>
      <c r="N203" s="630"/>
      <c r="O203" s="630"/>
    </row>
    <row r="204" spans="1:15" hidden="1" x14ac:dyDescent="0.25">
      <c r="A204" s="630" t="s">
        <v>417</v>
      </c>
      <c r="B204" s="629">
        <v>0.2</v>
      </c>
      <c r="C204" s="630"/>
      <c r="D204" s="630" t="s">
        <v>319</v>
      </c>
      <c r="E204" s="630" t="s">
        <v>319</v>
      </c>
      <c r="F204" s="630" t="s">
        <v>319</v>
      </c>
      <c r="G204" s="630" t="s">
        <v>418</v>
      </c>
      <c r="H204" s="601" t="s">
        <v>325</v>
      </c>
      <c r="I204" s="601" t="s">
        <v>439</v>
      </c>
      <c r="J204" s="630"/>
      <c r="K204" s="630"/>
      <c r="L204" s="630"/>
      <c r="M204" s="630"/>
      <c r="N204" s="630"/>
      <c r="O204" s="630"/>
    </row>
    <row r="205" spans="1:15" hidden="1" x14ac:dyDescent="0.25">
      <c r="A205" s="630" t="s">
        <v>417</v>
      </c>
      <c r="B205" s="629">
        <v>0.15</v>
      </c>
      <c r="C205" s="630"/>
      <c r="D205" s="630" t="s">
        <v>319</v>
      </c>
      <c r="E205" s="630" t="s">
        <v>319</v>
      </c>
      <c r="F205" s="630" t="s">
        <v>319</v>
      </c>
      <c r="G205" s="630" t="s">
        <v>418</v>
      </c>
      <c r="H205" s="601" t="s">
        <v>325</v>
      </c>
      <c r="I205" s="601" t="s">
        <v>440</v>
      </c>
      <c r="J205" s="630"/>
      <c r="K205" s="630"/>
      <c r="L205" s="630"/>
      <c r="M205" s="630"/>
      <c r="N205" s="630"/>
      <c r="O205" s="630"/>
    </row>
    <row r="206" spans="1:15" hidden="1" x14ac:dyDescent="0.25">
      <c r="A206" s="630" t="s">
        <v>417</v>
      </c>
      <c r="B206" s="629">
        <v>0.12</v>
      </c>
      <c r="C206" s="630"/>
      <c r="D206" s="630" t="s">
        <v>319</v>
      </c>
      <c r="E206" s="630" t="s">
        <v>319</v>
      </c>
      <c r="F206" s="630" t="s">
        <v>319</v>
      </c>
      <c r="G206" s="630" t="s">
        <v>418</v>
      </c>
      <c r="H206" s="601" t="s">
        <v>325</v>
      </c>
      <c r="I206" s="601" t="s">
        <v>441</v>
      </c>
      <c r="J206" s="630"/>
      <c r="K206" s="630"/>
      <c r="L206" s="630"/>
      <c r="M206" s="630"/>
      <c r="N206" s="630"/>
      <c r="O206" s="630"/>
    </row>
    <row r="207" spans="1:15" hidden="1" x14ac:dyDescent="0.25">
      <c r="A207" s="630" t="s">
        <v>417</v>
      </c>
      <c r="B207" s="629">
        <v>8.5999999999999993E-2</v>
      </c>
      <c r="C207" s="630"/>
      <c r="D207" s="630" t="s">
        <v>319</v>
      </c>
      <c r="E207" s="630" t="s">
        <v>319</v>
      </c>
      <c r="F207" s="630" t="s">
        <v>319</v>
      </c>
      <c r="G207" s="630" t="s">
        <v>418</v>
      </c>
      <c r="H207" s="601" t="s">
        <v>325</v>
      </c>
      <c r="I207" s="601" t="s">
        <v>442</v>
      </c>
      <c r="J207" s="630"/>
      <c r="K207" s="630"/>
      <c r="L207" s="630"/>
      <c r="M207" s="630"/>
      <c r="N207" s="630"/>
      <c r="O207" s="630"/>
    </row>
    <row r="208" spans="1:15" hidden="1" x14ac:dyDescent="0.25">
      <c r="A208" s="630" t="s">
        <v>417</v>
      </c>
      <c r="B208" s="629">
        <v>6.2E-2</v>
      </c>
      <c r="C208" s="630"/>
      <c r="D208" s="630" t="s">
        <v>319</v>
      </c>
      <c r="E208" s="630" t="s">
        <v>319</v>
      </c>
      <c r="F208" s="630" t="s">
        <v>319</v>
      </c>
      <c r="G208" s="630" t="s">
        <v>418</v>
      </c>
      <c r="H208" s="601" t="s">
        <v>325</v>
      </c>
      <c r="I208" s="601" t="s">
        <v>443</v>
      </c>
      <c r="J208" s="630"/>
      <c r="K208" s="630"/>
      <c r="L208" s="630"/>
      <c r="M208" s="630"/>
      <c r="N208" s="630"/>
      <c r="O208" s="630"/>
    </row>
    <row r="209" spans="1:15" hidden="1" x14ac:dyDescent="0.25">
      <c r="A209" s="630" t="s">
        <v>417</v>
      </c>
      <c r="B209" s="629">
        <v>4.3999999999999997E-2</v>
      </c>
      <c r="C209" s="630"/>
      <c r="D209" s="630" t="s">
        <v>319</v>
      </c>
      <c r="E209" s="630" t="s">
        <v>319</v>
      </c>
      <c r="F209" s="630" t="s">
        <v>319</v>
      </c>
      <c r="G209" s="630" t="s">
        <v>418</v>
      </c>
      <c r="H209" s="601" t="s">
        <v>325</v>
      </c>
      <c r="I209" s="601" t="s">
        <v>444</v>
      </c>
      <c r="J209" s="630"/>
      <c r="K209" s="630"/>
      <c r="L209" s="630"/>
      <c r="M209" s="630"/>
      <c r="N209" s="630"/>
      <c r="O209" s="630"/>
    </row>
    <row r="210" spans="1:15" hidden="1" x14ac:dyDescent="0.25">
      <c r="A210" s="630" t="s">
        <v>417</v>
      </c>
      <c r="B210" s="629">
        <v>3.2000000000000001E-2</v>
      </c>
      <c r="C210" s="630"/>
      <c r="D210" s="630" t="s">
        <v>319</v>
      </c>
      <c r="E210" s="630" t="s">
        <v>319</v>
      </c>
      <c r="F210" s="630" t="s">
        <v>319</v>
      </c>
      <c r="G210" s="630" t="s">
        <v>418</v>
      </c>
      <c r="H210" s="601" t="s">
        <v>325</v>
      </c>
      <c r="I210" s="601" t="s">
        <v>445</v>
      </c>
      <c r="J210" s="630"/>
      <c r="K210" s="630"/>
      <c r="L210" s="630"/>
      <c r="M210" s="630"/>
      <c r="N210" s="630"/>
      <c r="O210" s="630"/>
    </row>
    <row r="211" spans="1:15" hidden="1" x14ac:dyDescent="0.25">
      <c r="A211" s="630" t="s">
        <v>417</v>
      </c>
      <c r="B211" s="629">
        <v>2.5000000000000001E-2</v>
      </c>
      <c r="C211" s="630"/>
      <c r="D211" s="630" t="s">
        <v>319</v>
      </c>
      <c r="E211" s="630" t="s">
        <v>319</v>
      </c>
      <c r="F211" s="630" t="s">
        <v>319</v>
      </c>
      <c r="G211" s="630" t="s">
        <v>418</v>
      </c>
      <c r="H211" s="601" t="s">
        <v>325</v>
      </c>
      <c r="I211" s="601" t="s">
        <v>446</v>
      </c>
      <c r="J211" s="630"/>
      <c r="K211" s="630"/>
      <c r="L211" s="630"/>
      <c r="M211" s="630"/>
      <c r="N211" s="630"/>
      <c r="O211" s="630"/>
    </row>
    <row r="212" spans="1:15" hidden="1" x14ac:dyDescent="0.25">
      <c r="A212" s="630" t="s">
        <v>417</v>
      </c>
      <c r="B212" s="629">
        <v>0.02</v>
      </c>
      <c r="C212" s="630"/>
      <c r="D212" s="630" t="s">
        <v>319</v>
      </c>
      <c r="E212" s="630" t="s">
        <v>319</v>
      </c>
      <c r="F212" s="630" t="s">
        <v>319</v>
      </c>
      <c r="G212" s="630" t="s">
        <v>418</v>
      </c>
      <c r="H212" s="601" t="s">
        <v>325</v>
      </c>
      <c r="I212" s="601" t="s">
        <v>447</v>
      </c>
      <c r="J212" s="630"/>
      <c r="K212" s="630"/>
      <c r="L212" s="630"/>
      <c r="M212" s="630"/>
      <c r="N212" s="630"/>
      <c r="O212" s="630"/>
    </row>
    <row r="213" spans="1:15" hidden="1" x14ac:dyDescent="0.25">
      <c r="A213" s="601" t="s">
        <v>448</v>
      </c>
      <c r="B213" s="636">
        <v>3.4910000000000001</v>
      </c>
      <c r="C213" s="601"/>
      <c r="D213" s="601" t="s">
        <v>319</v>
      </c>
      <c r="E213" s="601" t="s">
        <v>319</v>
      </c>
      <c r="F213" s="601" t="s">
        <v>319</v>
      </c>
      <c r="G213" s="601" t="s">
        <v>449</v>
      </c>
      <c r="H213" s="601" t="s">
        <v>325</v>
      </c>
      <c r="I213" s="601" t="s">
        <v>450</v>
      </c>
      <c r="J213" s="575"/>
      <c r="K213" s="575"/>
      <c r="L213" s="575"/>
      <c r="M213" s="575"/>
      <c r="N213" s="575"/>
      <c r="O213" s="575"/>
    </row>
    <row r="214" spans="1:15" hidden="1" x14ac:dyDescent="0.25">
      <c r="A214" s="601" t="s">
        <v>448</v>
      </c>
      <c r="B214" s="636">
        <v>3.222</v>
      </c>
      <c r="C214" s="601"/>
      <c r="D214" s="601" t="s">
        <v>319</v>
      </c>
      <c r="E214" s="601" t="s">
        <v>319</v>
      </c>
      <c r="F214" s="601" t="s">
        <v>319</v>
      </c>
      <c r="G214" s="601" t="s">
        <v>449</v>
      </c>
      <c r="H214" s="601" t="s">
        <v>325</v>
      </c>
      <c r="I214" s="601" t="s">
        <v>451</v>
      </c>
      <c r="J214" s="575"/>
      <c r="K214" s="575"/>
      <c r="L214" s="575"/>
      <c r="M214" s="575"/>
      <c r="N214" s="575"/>
      <c r="O214" s="575"/>
    </row>
    <row r="215" spans="1:15" hidden="1" x14ac:dyDescent="0.25">
      <c r="A215" s="601" t="s">
        <v>448</v>
      </c>
      <c r="B215" s="636">
        <v>3.004</v>
      </c>
      <c r="C215" s="601"/>
      <c r="D215" s="601" t="s">
        <v>319</v>
      </c>
      <c r="E215" s="601" t="s">
        <v>319</v>
      </c>
      <c r="F215" s="601" t="s">
        <v>319</v>
      </c>
      <c r="G215" s="601" t="s">
        <v>449</v>
      </c>
      <c r="H215" s="601" t="s">
        <v>325</v>
      </c>
      <c r="I215" s="601" t="s">
        <v>452</v>
      </c>
      <c r="J215" s="575"/>
      <c r="K215" s="575"/>
      <c r="L215" s="575"/>
      <c r="M215" s="575"/>
      <c r="N215" s="575"/>
      <c r="O215" s="575"/>
    </row>
    <row r="216" spans="1:15" hidden="1" x14ac:dyDescent="0.25">
      <c r="A216" s="601" t="s">
        <v>448</v>
      </c>
      <c r="B216" s="636">
        <v>2.8460000000000001</v>
      </c>
      <c r="C216" s="601"/>
      <c r="D216" s="601" t="s">
        <v>319</v>
      </c>
      <c r="E216" s="601" t="s">
        <v>319</v>
      </c>
      <c r="F216" s="601" t="s">
        <v>319</v>
      </c>
      <c r="G216" s="601" t="s">
        <v>449</v>
      </c>
      <c r="H216" s="601" t="s">
        <v>325</v>
      </c>
      <c r="I216" s="601" t="s">
        <v>453</v>
      </c>
      <c r="J216" s="575"/>
      <c r="K216" s="575"/>
      <c r="L216" s="575"/>
      <c r="M216" s="575"/>
      <c r="N216" s="575"/>
      <c r="O216" s="575"/>
    </row>
    <row r="217" spans="1:15" hidden="1" x14ac:dyDescent="0.25">
      <c r="A217" s="601" t="s">
        <v>448</v>
      </c>
      <c r="B217" s="636">
        <v>2.7010000000000001</v>
      </c>
      <c r="C217" s="601"/>
      <c r="D217" s="601" t="s">
        <v>319</v>
      </c>
      <c r="E217" s="601" t="s">
        <v>319</v>
      </c>
      <c r="F217" s="601" t="s">
        <v>319</v>
      </c>
      <c r="G217" s="601" t="s">
        <v>449</v>
      </c>
      <c r="H217" s="601" t="s">
        <v>325</v>
      </c>
      <c r="I217" s="601" t="s">
        <v>454</v>
      </c>
      <c r="J217" s="575"/>
      <c r="K217" s="575"/>
      <c r="L217" s="575"/>
      <c r="M217" s="575"/>
      <c r="N217" s="575"/>
      <c r="O217" s="575"/>
    </row>
    <row r="218" spans="1:15" hidden="1" x14ac:dyDescent="0.25">
      <c r="A218" s="601" t="s">
        <v>448</v>
      </c>
      <c r="B218" s="636">
        <v>2.5670000000000002</v>
      </c>
      <c r="C218" s="601"/>
      <c r="D218" s="601" t="s">
        <v>319</v>
      </c>
      <c r="E218" s="601" t="s">
        <v>319</v>
      </c>
      <c r="F218" s="601" t="s">
        <v>319</v>
      </c>
      <c r="G218" s="601" t="s">
        <v>449</v>
      </c>
      <c r="H218" s="601" t="s">
        <v>325</v>
      </c>
      <c r="I218" s="601" t="s">
        <v>455</v>
      </c>
      <c r="J218" s="575"/>
      <c r="K218" s="575"/>
      <c r="L218" s="575"/>
      <c r="M218" s="575"/>
      <c r="N218" s="575"/>
      <c r="O218" s="575"/>
    </row>
    <row r="219" spans="1:15" hidden="1" x14ac:dyDescent="0.25">
      <c r="A219" s="601" t="s">
        <v>448</v>
      </c>
      <c r="B219" s="636">
        <v>2.4470000000000001</v>
      </c>
      <c r="C219" s="601"/>
      <c r="D219" s="601" t="s">
        <v>319</v>
      </c>
      <c r="E219" s="601" t="s">
        <v>319</v>
      </c>
      <c r="F219" s="601" t="s">
        <v>319</v>
      </c>
      <c r="G219" s="601" t="s">
        <v>449</v>
      </c>
      <c r="H219" s="601" t="s">
        <v>325</v>
      </c>
      <c r="I219" s="601" t="s">
        <v>456</v>
      </c>
      <c r="J219" s="575"/>
      <c r="K219" s="575"/>
      <c r="L219" s="575"/>
      <c r="M219" s="575"/>
      <c r="N219" s="575"/>
      <c r="O219" s="575"/>
    </row>
    <row r="220" spans="1:15" hidden="1" x14ac:dyDescent="0.25">
      <c r="A220" s="601" t="s">
        <v>448</v>
      </c>
      <c r="B220" s="636">
        <v>2.3420000000000001</v>
      </c>
      <c r="C220" s="601"/>
      <c r="D220" s="601" t="s">
        <v>319</v>
      </c>
      <c r="E220" s="601" t="s">
        <v>319</v>
      </c>
      <c r="F220" s="601" t="s">
        <v>319</v>
      </c>
      <c r="G220" s="601" t="s">
        <v>449</v>
      </c>
      <c r="H220" s="601" t="s">
        <v>325</v>
      </c>
      <c r="I220" s="601" t="s">
        <v>457</v>
      </c>
      <c r="J220" s="575"/>
      <c r="K220" s="575"/>
      <c r="L220" s="575"/>
      <c r="M220" s="575"/>
      <c r="N220" s="575"/>
      <c r="O220" s="575"/>
    </row>
    <row r="221" spans="1:15" hidden="1" x14ac:dyDescent="0.25">
      <c r="A221" s="601" t="s">
        <v>448</v>
      </c>
      <c r="B221" s="636">
        <v>2.25</v>
      </c>
      <c r="C221" s="601"/>
      <c r="D221" s="601" t="s">
        <v>319</v>
      </c>
      <c r="E221" s="601" t="s">
        <v>319</v>
      </c>
      <c r="F221" s="601" t="s">
        <v>319</v>
      </c>
      <c r="G221" s="601" t="s">
        <v>449</v>
      </c>
      <c r="H221" s="601" t="s">
        <v>325</v>
      </c>
      <c r="I221" s="601" t="s">
        <v>458</v>
      </c>
      <c r="J221" s="575"/>
      <c r="K221" s="575"/>
      <c r="L221" s="575"/>
      <c r="M221" s="575"/>
      <c r="N221" s="575"/>
      <c r="O221" s="575"/>
    </row>
    <row r="222" spans="1:15" hidden="1" x14ac:dyDescent="0.25">
      <c r="A222" s="601" t="s">
        <v>448</v>
      </c>
      <c r="B222" s="636">
        <v>2.105</v>
      </c>
      <c r="C222" s="601"/>
      <c r="D222" s="601" t="s">
        <v>319</v>
      </c>
      <c r="E222" s="601" t="s">
        <v>319</v>
      </c>
      <c r="F222" s="601" t="s">
        <v>319</v>
      </c>
      <c r="G222" s="601" t="s">
        <v>449</v>
      </c>
      <c r="H222" s="601" t="s">
        <v>325</v>
      </c>
      <c r="I222" s="601" t="s">
        <v>459</v>
      </c>
      <c r="J222" s="575"/>
      <c r="K222" s="575"/>
      <c r="L222" s="575"/>
      <c r="M222" s="575"/>
      <c r="N222" s="575"/>
      <c r="O222" s="575"/>
    </row>
    <row r="223" spans="1:15" hidden="1" x14ac:dyDescent="0.25">
      <c r="A223" s="601" t="s">
        <v>448</v>
      </c>
      <c r="B223" s="636">
        <v>1.889</v>
      </c>
      <c r="C223" s="601"/>
      <c r="D223" s="601" t="s">
        <v>319</v>
      </c>
      <c r="E223" s="601" t="s">
        <v>319</v>
      </c>
      <c r="F223" s="601" t="s">
        <v>319</v>
      </c>
      <c r="G223" s="601" t="s">
        <v>449</v>
      </c>
      <c r="H223" s="601" t="s">
        <v>325</v>
      </c>
      <c r="I223" s="601" t="s">
        <v>460</v>
      </c>
      <c r="J223" s="575"/>
      <c r="K223" s="575"/>
      <c r="L223" s="575"/>
      <c r="M223" s="575"/>
      <c r="N223" s="575"/>
      <c r="O223" s="575"/>
    </row>
    <row r="224" spans="1:15" hidden="1" x14ac:dyDescent="0.25">
      <c r="A224" s="601" t="s">
        <v>448</v>
      </c>
      <c r="B224" s="636">
        <v>1.6020000000000001</v>
      </c>
      <c r="C224" s="601"/>
      <c r="D224" s="601" t="s">
        <v>319</v>
      </c>
      <c r="E224" s="601" t="s">
        <v>319</v>
      </c>
      <c r="F224" s="601" t="s">
        <v>319</v>
      </c>
      <c r="G224" s="601" t="s">
        <v>449</v>
      </c>
      <c r="H224" s="601" t="s">
        <v>325</v>
      </c>
      <c r="I224" s="601" t="s">
        <v>461</v>
      </c>
      <c r="J224" s="575"/>
      <c r="K224" s="575"/>
      <c r="L224" s="575"/>
      <c r="M224" s="575"/>
      <c r="N224" s="575"/>
      <c r="O224" s="575"/>
    </row>
    <row r="225" spans="1:15" hidden="1" x14ac:dyDescent="0.25">
      <c r="A225" s="601" t="s">
        <v>448</v>
      </c>
      <c r="B225" s="636">
        <v>1.25</v>
      </c>
      <c r="C225" s="601"/>
      <c r="D225" s="601" t="s">
        <v>319</v>
      </c>
      <c r="E225" s="601" t="s">
        <v>319</v>
      </c>
      <c r="F225" s="601" t="s">
        <v>319</v>
      </c>
      <c r="G225" s="601" t="s">
        <v>449</v>
      </c>
      <c r="H225" s="601" t="s">
        <v>325</v>
      </c>
      <c r="I225" s="601" t="s">
        <v>462</v>
      </c>
      <c r="J225" s="575"/>
      <c r="K225" s="575"/>
      <c r="L225" s="575"/>
      <c r="M225" s="575"/>
      <c r="N225" s="575"/>
      <c r="O225" s="575"/>
    </row>
    <row r="226" spans="1:15" hidden="1" x14ac:dyDescent="0.25">
      <c r="A226" s="601" t="s">
        <v>448</v>
      </c>
      <c r="B226" s="636">
        <v>1.25</v>
      </c>
      <c r="C226" s="601"/>
      <c r="D226" s="601" t="s">
        <v>319</v>
      </c>
      <c r="E226" s="601" t="s">
        <v>319</v>
      </c>
      <c r="F226" s="601" t="s">
        <v>319</v>
      </c>
      <c r="G226" s="601" t="s">
        <v>449</v>
      </c>
      <c r="H226" s="601" t="s">
        <v>325</v>
      </c>
      <c r="I226" s="601" t="s">
        <v>463</v>
      </c>
      <c r="J226" s="575"/>
      <c r="K226" s="575"/>
      <c r="L226" s="575"/>
      <c r="M226" s="575"/>
      <c r="N226" s="575"/>
      <c r="O226" s="575"/>
    </row>
    <row r="227" spans="1:15" hidden="1" x14ac:dyDescent="0.25">
      <c r="A227" s="601" t="s">
        <v>448</v>
      </c>
      <c r="B227" s="636">
        <v>1.25</v>
      </c>
      <c r="C227" s="601"/>
      <c r="D227" s="601" t="s">
        <v>319</v>
      </c>
      <c r="E227" s="601" t="s">
        <v>319</v>
      </c>
      <c r="F227" s="601" t="s">
        <v>319</v>
      </c>
      <c r="G227" s="601" t="s">
        <v>449</v>
      </c>
      <c r="H227" s="601" t="s">
        <v>325</v>
      </c>
      <c r="I227" s="601" t="s">
        <v>464</v>
      </c>
      <c r="J227" s="575"/>
      <c r="K227" s="575"/>
      <c r="L227" s="575"/>
      <c r="M227" s="575"/>
      <c r="N227" s="575"/>
      <c r="O227" s="575"/>
    </row>
    <row r="228" spans="1:15" hidden="1" x14ac:dyDescent="0.25">
      <c r="A228" s="601" t="s">
        <v>448</v>
      </c>
      <c r="B228" s="636">
        <v>1.25</v>
      </c>
      <c r="C228" s="601"/>
      <c r="D228" s="601" t="s">
        <v>319</v>
      </c>
      <c r="E228" s="601" t="s">
        <v>319</v>
      </c>
      <c r="F228" s="601" t="s">
        <v>319</v>
      </c>
      <c r="G228" s="601" t="s">
        <v>449</v>
      </c>
      <c r="H228" s="601" t="s">
        <v>325</v>
      </c>
      <c r="I228" s="601" t="s">
        <v>465</v>
      </c>
      <c r="J228" s="575"/>
      <c r="K228" s="575"/>
      <c r="L228" s="575"/>
      <c r="M228" s="575"/>
      <c r="N228" s="575"/>
      <c r="O228" s="575"/>
    </row>
    <row r="229" spans="1:15" hidden="1" x14ac:dyDescent="0.25">
      <c r="A229" s="601" t="s">
        <v>448</v>
      </c>
      <c r="B229" s="636">
        <v>1.25</v>
      </c>
      <c r="C229" s="601"/>
      <c r="D229" s="601" t="s">
        <v>319</v>
      </c>
      <c r="E229" s="601" t="s">
        <v>319</v>
      </c>
      <c r="F229" s="601" t="s">
        <v>319</v>
      </c>
      <c r="G229" s="601" t="s">
        <v>449</v>
      </c>
      <c r="H229" s="601" t="s">
        <v>325</v>
      </c>
      <c r="I229" s="601" t="s">
        <v>466</v>
      </c>
      <c r="J229" s="575"/>
      <c r="K229" s="575"/>
      <c r="L229" s="575"/>
      <c r="M229" s="575"/>
      <c r="N229" s="575"/>
      <c r="O229" s="575"/>
    </row>
    <row r="230" spans="1:15" hidden="1" x14ac:dyDescent="0.25">
      <c r="A230" s="601" t="s">
        <v>448</v>
      </c>
      <c r="B230" s="636">
        <v>1.1499999999999999</v>
      </c>
      <c r="C230" s="601"/>
      <c r="D230" s="601" t="s">
        <v>319</v>
      </c>
      <c r="E230" s="601" t="s">
        <v>319</v>
      </c>
      <c r="F230" s="601" t="s">
        <v>319</v>
      </c>
      <c r="G230" s="601" t="s">
        <v>449</v>
      </c>
      <c r="H230" s="601" t="s">
        <v>325</v>
      </c>
      <c r="I230" s="601" t="s">
        <v>467</v>
      </c>
      <c r="J230" s="575"/>
      <c r="K230" s="575"/>
      <c r="L230" s="575"/>
      <c r="M230" s="575"/>
      <c r="N230" s="575"/>
      <c r="O230" s="575"/>
    </row>
    <row r="231" spans="1:15" hidden="1" x14ac:dyDescent="0.25">
      <c r="A231" s="601" t="s">
        <v>448</v>
      </c>
      <c r="B231" s="636">
        <v>1.1499999999999999</v>
      </c>
      <c r="C231" s="601"/>
      <c r="D231" s="601" t="s">
        <v>319</v>
      </c>
      <c r="E231" s="601" t="s">
        <v>319</v>
      </c>
      <c r="F231" s="601" t="s">
        <v>319</v>
      </c>
      <c r="G231" s="601" t="s">
        <v>449</v>
      </c>
      <c r="H231" s="601" t="s">
        <v>325</v>
      </c>
      <c r="I231" s="601" t="s">
        <v>468</v>
      </c>
      <c r="J231" s="575"/>
      <c r="K231" s="575"/>
      <c r="L231" s="575"/>
      <c r="M231" s="575"/>
      <c r="N231" s="575"/>
      <c r="O231" s="575"/>
    </row>
    <row r="232" spans="1:15" hidden="1" x14ac:dyDescent="0.25">
      <c r="A232" s="601" t="s">
        <v>448</v>
      </c>
      <c r="B232" s="636">
        <v>1.1499999999999999</v>
      </c>
      <c r="C232" s="601"/>
      <c r="D232" s="601" t="s">
        <v>319</v>
      </c>
      <c r="E232" s="601" t="s">
        <v>319</v>
      </c>
      <c r="F232" s="601" t="s">
        <v>319</v>
      </c>
      <c r="G232" s="601" t="s">
        <v>449</v>
      </c>
      <c r="H232" s="601" t="s">
        <v>325</v>
      </c>
      <c r="I232" s="601" t="s">
        <v>469</v>
      </c>
      <c r="J232" s="575"/>
      <c r="K232" s="575"/>
      <c r="L232" s="575"/>
      <c r="M232" s="575"/>
      <c r="N232" s="575"/>
      <c r="O232" s="575"/>
    </row>
    <row r="233" spans="1:15" hidden="1" x14ac:dyDescent="0.25">
      <c r="A233" s="601" t="s">
        <v>448</v>
      </c>
      <c r="B233" s="636">
        <v>1.1499999999999999</v>
      </c>
      <c r="C233" s="601"/>
      <c r="D233" s="601" t="s">
        <v>319</v>
      </c>
      <c r="E233" s="601" t="s">
        <v>319</v>
      </c>
      <c r="F233" s="601" t="s">
        <v>319</v>
      </c>
      <c r="G233" s="601" t="s">
        <v>449</v>
      </c>
      <c r="H233" s="601" t="s">
        <v>325</v>
      </c>
      <c r="I233" s="601" t="s">
        <v>470</v>
      </c>
      <c r="J233" s="575"/>
      <c r="K233" s="575"/>
      <c r="L233" s="575"/>
      <c r="M233" s="575"/>
      <c r="N233" s="575"/>
      <c r="O233" s="575"/>
    </row>
    <row r="234" spans="1:15" hidden="1" x14ac:dyDescent="0.25">
      <c r="A234" s="601" t="s">
        <v>448</v>
      </c>
      <c r="B234" s="636">
        <v>1.1499999999999999</v>
      </c>
      <c r="C234" s="601"/>
      <c r="D234" s="601" t="s">
        <v>319</v>
      </c>
      <c r="E234" s="601" t="s">
        <v>319</v>
      </c>
      <c r="F234" s="601" t="s">
        <v>319</v>
      </c>
      <c r="G234" s="601" t="s">
        <v>449</v>
      </c>
      <c r="H234" s="601" t="s">
        <v>325</v>
      </c>
      <c r="I234" s="601" t="s">
        <v>471</v>
      </c>
      <c r="J234" s="575"/>
      <c r="K234" s="575"/>
      <c r="L234" s="575"/>
      <c r="M234" s="575"/>
      <c r="N234" s="575"/>
      <c r="O234" s="575"/>
    </row>
    <row r="235" spans="1:15" hidden="1" x14ac:dyDescent="0.25">
      <c r="A235" s="601" t="s">
        <v>448</v>
      </c>
      <c r="B235" s="636">
        <v>1.05</v>
      </c>
      <c r="C235" s="601"/>
      <c r="D235" s="601" t="s">
        <v>319</v>
      </c>
      <c r="E235" s="601" t="s">
        <v>319</v>
      </c>
      <c r="F235" s="601" t="s">
        <v>319</v>
      </c>
      <c r="G235" s="601" t="s">
        <v>449</v>
      </c>
      <c r="H235" s="601" t="s">
        <v>325</v>
      </c>
      <c r="I235" s="601" t="s">
        <v>472</v>
      </c>
      <c r="J235" s="575"/>
      <c r="K235" s="575"/>
      <c r="L235" s="575"/>
      <c r="M235" s="575"/>
      <c r="N235" s="575"/>
      <c r="O235" s="575"/>
    </row>
    <row r="236" spans="1:15" hidden="1" x14ac:dyDescent="0.25">
      <c r="A236" s="601" t="s">
        <v>448</v>
      </c>
      <c r="B236" s="636">
        <v>1.05</v>
      </c>
      <c r="C236" s="601"/>
      <c r="D236" s="601" t="s">
        <v>319</v>
      </c>
      <c r="E236" s="601" t="s">
        <v>319</v>
      </c>
      <c r="F236" s="601" t="s">
        <v>319</v>
      </c>
      <c r="G236" s="601" t="s">
        <v>449</v>
      </c>
      <c r="H236" s="601" t="s">
        <v>325</v>
      </c>
      <c r="I236" s="601" t="s">
        <v>473</v>
      </c>
      <c r="J236" s="575"/>
      <c r="K236" s="575"/>
      <c r="L236" s="575"/>
      <c r="M236" s="575"/>
      <c r="N236" s="575"/>
      <c r="O236" s="575"/>
    </row>
    <row r="237" spans="1:15" hidden="1" x14ac:dyDescent="0.25">
      <c r="A237" s="601" t="s">
        <v>448</v>
      </c>
      <c r="B237" s="636">
        <v>1.05</v>
      </c>
      <c r="C237" s="601"/>
      <c r="D237" s="601" t="s">
        <v>319</v>
      </c>
      <c r="E237" s="601" t="s">
        <v>319</v>
      </c>
      <c r="F237" s="601" t="s">
        <v>319</v>
      </c>
      <c r="G237" s="601" t="s">
        <v>449</v>
      </c>
      <c r="H237" s="601" t="s">
        <v>325</v>
      </c>
      <c r="I237" s="601" t="s">
        <v>474</v>
      </c>
      <c r="J237" s="575"/>
      <c r="K237" s="575"/>
      <c r="L237" s="575"/>
      <c r="M237" s="575"/>
      <c r="N237" s="575"/>
      <c r="O237" s="575"/>
    </row>
    <row r="238" spans="1:15" hidden="1" x14ac:dyDescent="0.25">
      <c r="A238" s="601" t="s">
        <v>448</v>
      </c>
      <c r="B238" s="636">
        <v>1.05</v>
      </c>
      <c r="C238" s="601"/>
      <c r="D238" s="601" t="s">
        <v>319</v>
      </c>
      <c r="E238" s="601" t="s">
        <v>319</v>
      </c>
      <c r="F238" s="601" t="s">
        <v>319</v>
      </c>
      <c r="G238" s="601" t="s">
        <v>449</v>
      </c>
      <c r="H238" s="601" t="s">
        <v>325</v>
      </c>
      <c r="I238" s="601" t="s">
        <v>475</v>
      </c>
      <c r="J238" s="575"/>
      <c r="K238" s="575"/>
      <c r="L238" s="575"/>
      <c r="M238" s="575"/>
      <c r="N238" s="575"/>
      <c r="O238" s="575"/>
    </row>
    <row r="239" spans="1:15" hidden="1" x14ac:dyDescent="0.25">
      <c r="A239" s="601" t="s">
        <v>448</v>
      </c>
      <c r="B239" s="636">
        <v>1.05</v>
      </c>
      <c r="C239" s="601"/>
      <c r="D239" s="601" t="s">
        <v>319</v>
      </c>
      <c r="E239" s="601" t="s">
        <v>319</v>
      </c>
      <c r="F239" s="601" t="s">
        <v>319</v>
      </c>
      <c r="G239" s="601" t="s">
        <v>449</v>
      </c>
      <c r="H239" s="601" t="s">
        <v>325</v>
      </c>
      <c r="I239" s="601" t="s">
        <v>476</v>
      </c>
      <c r="J239" s="575"/>
      <c r="K239" s="575"/>
      <c r="L239" s="575"/>
      <c r="M239" s="575"/>
      <c r="N239" s="575"/>
      <c r="O239" s="575"/>
    </row>
    <row r="240" spans="1:15" hidden="1" x14ac:dyDescent="0.25">
      <c r="A240" s="601" t="s">
        <v>448</v>
      </c>
      <c r="B240" s="636">
        <v>1.0249999999999999</v>
      </c>
      <c r="C240" s="601"/>
      <c r="D240" s="601" t="s">
        <v>319</v>
      </c>
      <c r="E240" s="601" t="s">
        <v>319</v>
      </c>
      <c r="F240" s="601" t="s">
        <v>319</v>
      </c>
      <c r="G240" s="601" t="s">
        <v>449</v>
      </c>
      <c r="H240" s="601" t="s">
        <v>325</v>
      </c>
      <c r="I240" s="601" t="s">
        <v>477</v>
      </c>
      <c r="J240" s="575"/>
      <c r="K240" s="575"/>
      <c r="L240" s="575"/>
      <c r="M240" s="575"/>
      <c r="N240" s="575"/>
      <c r="O240" s="575"/>
    </row>
    <row r="241" spans="1:15" hidden="1" x14ac:dyDescent="0.25">
      <c r="A241" s="601" t="s">
        <v>448</v>
      </c>
      <c r="B241" s="636">
        <v>1.0249999999999999</v>
      </c>
      <c r="C241" s="601"/>
      <c r="D241" s="601" t="s">
        <v>319</v>
      </c>
      <c r="E241" s="601" t="s">
        <v>319</v>
      </c>
      <c r="F241" s="601" t="s">
        <v>319</v>
      </c>
      <c r="G241" s="601" t="s">
        <v>449</v>
      </c>
      <c r="H241" s="601" t="s">
        <v>325</v>
      </c>
      <c r="I241" s="601" t="s">
        <v>478</v>
      </c>
      <c r="J241" s="575"/>
      <c r="K241" s="575"/>
      <c r="L241" s="575"/>
      <c r="M241" s="575"/>
      <c r="N241" s="575"/>
      <c r="O241" s="575"/>
    </row>
    <row r="242" spans="1:15" hidden="1" x14ac:dyDescent="0.25">
      <c r="A242" s="601" t="s">
        <v>448</v>
      </c>
      <c r="B242" s="636">
        <v>1.0249999999999999</v>
      </c>
      <c r="C242" s="601"/>
      <c r="D242" s="601" t="s">
        <v>319</v>
      </c>
      <c r="E242" s="601" t="s">
        <v>319</v>
      </c>
      <c r="F242" s="601" t="s">
        <v>319</v>
      </c>
      <c r="G242" s="601" t="s">
        <v>449</v>
      </c>
      <c r="H242" s="601" t="s">
        <v>325</v>
      </c>
      <c r="I242" s="601" t="s">
        <v>479</v>
      </c>
      <c r="J242" s="575"/>
      <c r="K242" s="575"/>
      <c r="L242" s="575"/>
      <c r="M242" s="575"/>
      <c r="N242" s="575"/>
      <c r="O242" s="575"/>
    </row>
    <row r="243" spans="1:15" hidden="1" x14ac:dyDescent="0.25">
      <c r="A243" s="601" t="s">
        <v>448</v>
      </c>
      <c r="B243" s="636">
        <v>1.0249999999999999</v>
      </c>
      <c r="C243" s="601"/>
      <c r="D243" s="601" t="s">
        <v>319</v>
      </c>
      <c r="E243" s="601" t="s">
        <v>319</v>
      </c>
      <c r="F243" s="601" t="s">
        <v>319</v>
      </c>
      <c r="G243" s="601" t="s">
        <v>449</v>
      </c>
      <c r="H243" s="601" t="s">
        <v>325</v>
      </c>
      <c r="I243" s="601" t="s">
        <v>480</v>
      </c>
      <c r="J243" s="575"/>
      <c r="K243" s="575"/>
      <c r="L243" s="575"/>
      <c r="M243" s="575"/>
      <c r="N243" s="575"/>
      <c r="O243" s="575"/>
    </row>
    <row r="244" spans="1:15" hidden="1" x14ac:dyDescent="0.25">
      <c r="A244" s="601" t="s">
        <v>448</v>
      </c>
      <c r="B244" s="636">
        <v>1.0249999999999999</v>
      </c>
      <c r="C244" s="601"/>
      <c r="D244" s="601" t="s">
        <v>319</v>
      </c>
      <c r="E244" s="601" t="s">
        <v>319</v>
      </c>
      <c r="F244" s="601" t="s">
        <v>319</v>
      </c>
      <c r="G244" s="601" t="s">
        <v>449</v>
      </c>
      <c r="H244" s="601" t="s">
        <v>325</v>
      </c>
      <c r="I244" s="601" t="s">
        <v>481</v>
      </c>
      <c r="J244" s="575"/>
      <c r="K244" s="575"/>
      <c r="L244" s="575"/>
      <c r="M244" s="575"/>
      <c r="N244" s="575"/>
      <c r="O244" s="575"/>
    </row>
    <row r="245" spans="1:15" hidden="1" x14ac:dyDescent="0.25">
      <c r="A245" s="601" t="s">
        <v>448</v>
      </c>
      <c r="B245" s="636">
        <v>1</v>
      </c>
      <c r="C245" s="601"/>
      <c r="D245" s="601" t="s">
        <v>319</v>
      </c>
      <c r="E245" s="601" t="s">
        <v>319</v>
      </c>
      <c r="F245" s="601" t="s">
        <v>319</v>
      </c>
      <c r="G245" s="601" t="s">
        <v>449</v>
      </c>
      <c r="H245" s="601" t="s">
        <v>325</v>
      </c>
      <c r="I245" s="601" t="s">
        <v>482</v>
      </c>
      <c r="J245" s="575"/>
      <c r="K245" s="575"/>
      <c r="L245" s="575"/>
      <c r="M245" s="575"/>
      <c r="N245" s="575"/>
      <c r="O245" s="575"/>
    </row>
    <row r="246" spans="1:15" hidden="1" x14ac:dyDescent="0.25">
      <c r="A246" s="601" t="s">
        <v>448</v>
      </c>
      <c r="B246" s="636">
        <v>1</v>
      </c>
      <c r="C246" s="601"/>
      <c r="D246" s="601" t="s">
        <v>319</v>
      </c>
      <c r="E246" s="601" t="s">
        <v>319</v>
      </c>
      <c r="F246" s="601" t="s">
        <v>319</v>
      </c>
      <c r="G246" s="601" t="s">
        <v>449</v>
      </c>
      <c r="H246" s="601" t="s">
        <v>325</v>
      </c>
      <c r="I246" s="601" t="s">
        <v>483</v>
      </c>
      <c r="J246" s="575"/>
      <c r="K246" s="575"/>
      <c r="L246" s="575"/>
      <c r="M246" s="575"/>
      <c r="N246" s="575"/>
      <c r="O246" s="575"/>
    </row>
    <row r="247" spans="1:15" hidden="1" x14ac:dyDescent="0.25">
      <c r="A247" s="601" t="s">
        <v>448</v>
      </c>
      <c r="B247" s="636">
        <v>1</v>
      </c>
      <c r="C247" s="601"/>
      <c r="D247" s="601" t="s">
        <v>319</v>
      </c>
      <c r="E247" s="601" t="s">
        <v>319</v>
      </c>
      <c r="F247" s="601" t="s">
        <v>319</v>
      </c>
      <c r="G247" s="601" t="s">
        <v>449</v>
      </c>
      <c r="H247" s="601" t="s">
        <v>325</v>
      </c>
      <c r="I247" s="601" t="s">
        <v>484</v>
      </c>
      <c r="J247" s="575"/>
      <c r="K247" s="575"/>
      <c r="L247" s="575"/>
      <c r="M247" s="575"/>
      <c r="N247" s="575"/>
      <c r="O247" s="575"/>
    </row>
    <row r="248" spans="1:15" hidden="1" x14ac:dyDescent="0.25">
      <c r="A248" s="601" t="s">
        <v>448</v>
      </c>
      <c r="B248" s="636">
        <v>1</v>
      </c>
      <c r="C248" s="601"/>
      <c r="D248" s="601" t="s">
        <v>319</v>
      </c>
      <c r="E248" s="601" t="s">
        <v>319</v>
      </c>
      <c r="F248" s="601" t="s">
        <v>319</v>
      </c>
      <c r="G248" s="601" t="s">
        <v>449</v>
      </c>
      <c r="H248" s="601" t="s">
        <v>325</v>
      </c>
      <c r="I248" s="601" t="s">
        <v>485</v>
      </c>
      <c r="J248" s="575"/>
      <c r="K248" s="575"/>
      <c r="L248" s="575"/>
      <c r="M248" s="575"/>
      <c r="N248" s="575"/>
      <c r="O248" s="575"/>
    </row>
    <row r="249" spans="1:15" hidden="1" x14ac:dyDescent="0.25">
      <c r="A249" s="601" t="s">
        <v>448</v>
      </c>
      <c r="B249" s="636">
        <v>1</v>
      </c>
      <c r="C249" s="601"/>
      <c r="D249" s="601" t="s">
        <v>319</v>
      </c>
      <c r="E249" s="601" t="s">
        <v>319</v>
      </c>
      <c r="F249" s="601" t="s">
        <v>319</v>
      </c>
      <c r="G249" s="601" t="s">
        <v>449</v>
      </c>
      <c r="H249" s="601" t="s">
        <v>325</v>
      </c>
      <c r="I249" s="601" t="s">
        <v>486</v>
      </c>
      <c r="J249" s="575"/>
      <c r="K249" s="575"/>
      <c r="L249" s="575"/>
      <c r="M249" s="575"/>
      <c r="N249" s="575"/>
      <c r="O249" s="575"/>
    </row>
    <row r="250" spans="1:15" hidden="1" x14ac:dyDescent="0.25">
      <c r="A250" s="601" t="s">
        <v>448</v>
      </c>
      <c r="B250" s="636">
        <v>1</v>
      </c>
      <c r="C250" s="601"/>
      <c r="D250" s="601" t="s">
        <v>319</v>
      </c>
      <c r="E250" s="601" t="s">
        <v>319</v>
      </c>
      <c r="F250" s="601" t="s">
        <v>319</v>
      </c>
      <c r="G250" s="601" t="s">
        <v>449</v>
      </c>
      <c r="H250" s="601" t="s">
        <v>325</v>
      </c>
      <c r="I250" s="601" t="s">
        <v>487</v>
      </c>
      <c r="J250" s="575"/>
      <c r="K250" s="575"/>
      <c r="L250" s="575"/>
      <c r="M250" s="575"/>
      <c r="N250" s="575"/>
      <c r="O250" s="575"/>
    </row>
    <row r="251" spans="1:15" hidden="1" x14ac:dyDescent="0.25">
      <c r="A251" s="601" t="s">
        <v>448</v>
      </c>
      <c r="B251" s="636">
        <v>1</v>
      </c>
      <c r="C251" s="601"/>
      <c r="D251" s="601" t="s">
        <v>319</v>
      </c>
      <c r="E251" s="601" t="s">
        <v>319</v>
      </c>
      <c r="F251" s="601" t="s">
        <v>319</v>
      </c>
      <c r="G251" s="601" t="s">
        <v>449</v>
      </c>
      <c r="H251" s="601" t="s">
        <v>325</v>
      </c>
      <c r="I251" s="601" t="s">
        <v>488</v>
      </c>
      <c r="J251" s="575"/>
      <c r="K251" s="575"/>
      <c r="L251" s="575"/>
      <c r="M251" s="575"/>
      <c r="N251" s="575"/>
      <c r="O251" s="575"/>
    </row>
    <row r="252" spans="1:15" hidden="1" x14ac:dyDescent="0.25">
      <c r="A252" s="601" t="s">
        <v>448</v>
      </c>
      <c r="B252" s="636">
        <v>1</v>
      </c>
      <c r="C252" s="601"/>
      <c r="D252" s="601" t="s">
        <v>319</v>
      </c>
      <c r="E252" s="601" t="s">
        <v>319</v>
      </c>
      <c r="F252" s="601" t="s">
        <v>319</v>
      </c>
      <c r="G252" s="601" t="s">
        <v>449</v>
      </c>
      <c r="H252" s="601" t="s">
        <v>325</v>
      </c>
      <c r="I252" s="601" t="s">
        <v>489</v>
      </c>
      <c r="J252" s="575"/>
      <c r="K252" s="575"/>
      <c r="L252" s="575"/>
      <c r="M252" s="575"/>
      <c r="N252" s="575"/>
      <c r="O252" s="575"/>
    </row>
    <row r="253" spans="1:15" hidden="1" x14ac:dyDescent="0.25">
      <c r="A253" s="601" t="s">
        <v>448</v>
      </c>
      <c r="B253" s="636">
        <v>1</v>
      </c>
      <c r="C253" s="601"/>
      <c r="D253" s="601" t="s">
        <v>319</v>
      </c>
      <c r="E253" s="601" t="s">
        <v>319</v>
      </c>
      <c r="F253" s="601" t="s">
        <v>319</v>
      </c>
      <c r="G253" s="601" t="s">
        <v>449</v>
      </c>
      <c r="H253" s="601" t="s">
        <v>325</v>
      </c>
      <c r="I253" s="601" t="s">
        <v>490</v>
      </c>
      <c r="J253" s="575"/>
      <c r="K253" s="575"/>
      <c r="L253" s="575"/>
      <c r="M253" s="575"/>
      <c r="N253" s="575"/>
      <c r="O253" s="575"/>
    </row>
    <row r="254" spans="1:15" hidden="1" x14ac:dyDescent="0.25">
      <c r="A254" s="601" t="s">
        <v>448</v>
      </c>
      <c r="B254" s="636">
        <v>1</v>
      </c>
      <c r="C254" s="601"/>
      <c r="D254" s="601" t="s">
        <v>319</v>
      </c>
      <c r="E254" s="601" t="s">
        <v>319</v>
      </c>
      <c r="F254" s="601" t="s">
        <v>319</v>
      </c>
      <c r="G254" s="601" t="s">
        <v>449</v>
      </c>
      <c r="H254" s="601" t="s">
        <v>325</v>
      </c>
      <c r="I254" s="601" t="s">
        <v>491</v>
      </c>
      <c r="J254" s="575"/>
      <c r="K254" s="575"/>
      <c r="L254" s="575"/>
      <c r="M254" s="575"/>
      <c r="N254" s="575"/>
      <c r="O254" s="575"/>
    </row>
    <row r="255" spans="1:15" hidden="1" x14ac:dyDescent="0.25">
      <c r="A255" s="601" t="s">
        <v>448</v>
      </c>
      <c r="B255" s="636">
        <v>1</v>
      </c>
      <c r="C255" s="601"/>
      <c r="D255" s="601" t="s">
        <v>319</v>
      </c>
      <c r="E255" s="601" t="s">
        <v>319</v>
      </c>
      <c r="F255" s="601" t="s">
        <v>319</v>
      </c>
      <c r="G255" s="601" t="s">
        <v>449</v>
      </c>
      <c r="H255" s="601" t="s">
        <v>325</v>
      </c>
      <c r="I255" s="601" t="s">
        <v>492</v>
      </c>
      <c r="J255" s="575"/>
      <c r="K255" s="575"/>
      <c r="L255" s="575"/>
      <c r="M255" s="575"/>
      <c r="N255" s="575"/>
      <c r="O255" s="575"/>
    </row>
    <row r="256" spans="1:15" hidden="1" x14ac:dyDescent="0.25">
      <c r="A256" s="601" t="s">
        <v>448</v>
      </c>
      <c r="B256" s="636">
        <v>1</v>
      </c>
      <c r="C256" s="601"/>
      <c r="D256" s="601" t="s">
        <v>319</v>
      </c>
      <c r="E256" s="601" t="s">
        <v>319</v>
      </c>
      <c r="F256" s="601" t="s">
        <v>319</v>
      </c>
      <c r="G256" s="601" t="s">
        <v>449</v>
      </c>
      <c r="H256" s="601" t="s">
        <v>325</v>
      </c>
      <c r="I256" s="601" t="s">
        <v>493</v>
      </c>
      <c r="J256" s="575"/>
      <c r="K256" s="575"/>
      <c r="L256" s="575"/>
      <c r="M256" s="575"/>
      <c r="N256" s="575"/>
      <c r="O256" s="575"/>
    </row>
    <row r="257" spans="1:15" hidden="1" x14ac:dyDescent="0.25">
      <c r="A257" s="601" t="s">
        <v>448</v>
      </c>
      <c r="B257" s="636">
        <v>1</v>
      </c>
      <c r="C257" s="601"/>
      <c r="D257" s="601" t="s">
        <v>319</v>
      </c>
      <c r="E257" s="601" t="s">
        <v>319</v>
      </c>
      <c r="F257" s="601" t="s">
        <v>319</v>
      </c>
      <c r="G257" s="601" t="s">
        <v>449</v>
      </c>
      <c r="H257" s="601" t="s">
        <v>325</v>
      </c>
      <c r="I257" s="601" t="s">
        <v>494</v>
      </c>
      <c r="J257" s="575"/>
      <c r="K257" s="575"/>
      <c r="L257" s="575"/>
      <c r="M257" s="575"/>
      <c r="N257" s="575"/>
      <c r="O257" s="575"/>
    </row>
    <row r="258" spans="1:15" hidden="1" x14ac:dyDescent="0.25">
      <c r="A258" s="601" t="s">
        <v>448</v>
      </c>
      <c r="B258" s="636">
        <v>1</v>
      </c>
      <c r="C258" s="601"/>
      <c r="D258" s="601" t="s">
        <v>319</v>
      </c>
      <c r="E258" s="601" t="s">
        <v>319</v>
      </c>
      <c r="F258" s="601" t="s">
        <v>319</v>
      </c>
      <c r="G258" s="601" t="s">
        <v>449</v>
      </c>
      <c r="H258" s="601" t="s">
        <v>325</v>
      </c>
      <c r="I258" s="601" t="s">
        <v>495</v>
      </c>
      <c r="J258" s="575"/>
      <c r="K258" s="575"/>
      <c r="L258" s="575"/>
      <c r="M258" s="575"/>
      <c r="N258" s="575"/>
      <c r="O258" s="575"/>
    </row>
    <row r="259" spans="1:15" hidden="1" x14ac:dyDescent="0.25">
      <c r="A259" s="601" t="s">
        <v>448</v>
      </c>
      <c r="B259" s="636">
        <v>1</v>
      </c>
      <c r="C259" s="601"/>
      <c r="D259" s="601" t="s">
        <v>319</v>
      </c>
      <c r="E259" s="601" t="s">
        <v>319</v>
      </c>
      <c r="F259" s="601" t="s">
        <v>319</v>
      </c>
      <c r="G259" s="601" t="s">
        <v>449</v>
      </c>
      <c r="H259" s="601" t="s">
        <v>325</v>
      </c>
      <c r="I259" s="601" t="s">
        <v>496</v>
      </c>
      <c r="J259" s="575"/>
      <c r="K259" s="575"/>
      <c r="L259" s="575"/>
      <c r="M259" s="575"/>
      <c r="N259" s="575"/>
      <c r="O259" s="575"/>
    </row>
    <row r="260" spans="1:15" hidden="1" x14ac:dyDescent="0.25">
      <c r="A260" s="601" t="s">
        <v>448</v>
      </c>
      <c r="B260" s="636">
        <v>1</v>
      </c>
      <c r="C260" s="601"/>
      <c r="D260" s="601" t="s">
        <v>319</v>
      </c>
      <c r="E260" s="601" t="s">
        <v>319</v>
      </c>
      <c r="F260" s="601" t="s">
        <v>319</v>
      </c>
      <c r="G260" s="601" t="s">
        <v>449</v>
      </c>
      <c r="H260" s="601" t="s">
        <v>325</v>
      </c>
      <c r="I260" s="601" t="s">
        <v>497</v>
      </c>
      <c r="J260" s="575"/>
      <c r="K260" s="575"/>
      <c r="L260" s="575"/>
      <c r="M260" s="575"/>
      <c r="N260" s="575"/>
      <c r="O260" s="575"/>
    </row>
    <row r="261" spans="1:15" hidden="1" x14ac:dyDescent="0.25">
      <c r="A261" s="601" t="s">
        <v>448</v>
      </c>
      <c r="B261" s="636">
        <v>1</v>
      </c>
      <c r="C261" s="601"/>
      <c r="D261" s="601" t="s">
        <v>319</v>
      </c>
      <c r="E261" s="601" t="s">
        <v>319</v>
      </c>
      <c r="F261" s="601" t="s">
        <v>319</v>
      </c>
      <c r="G261" s="601" t="s">
        <v>449</v>
      </c>
      <c r="H261" s="601" t="s">
        <v>325</v>
      </c>
      <c r="I261" s="601" t="s">
        <v>498</v>
      </c>
      <c r="J261" s="575"/>
      <c r="K261" s="575"/>
      <c r="L261" s="575"/>
      <c r="M261" s="575"/>
      <c r="N261" s="575"/>
      <c r="O261" s="575"/>
    </row>
    <row r="262" spans="1:15" hidden="1" x14ac:dyDescent="0.25">
      <c r="A262" s="601" t="s">
        <v>448</v>
      </c>
      <c r="B262" s="636">
        <v>1</v>
      </c>
      <c r="C262" s="601"/>
      <c r="D262" s="601" t="s">
        <v>319</v>
      </c>
      <c r="E262" s="601" t="s">
        <v>319</v>
      </c>
      <c r="F262" s="601" t="s">
        <v>319</v>
      </c>
      <c r="G262" s="601" t="s">
        <v>449</v>
      </c>
      <c r="H262" s="601" t="s">
        <v>325</v>
      </c>
      <c r="I262" s="601" t="s">
        <v>499</v>
      </c>
      <c r="J262" s="575"/>
      <c r="K262" s="575"/>
      <c r="L262" s="575"/>
      <c r="M262" s="575"/>
      <c r="N262" s="575"/>
      <c r="O262" s="575"/>
    </row>
    <row r="263" spans="1:15" hidden="1" x14ac:dyDescent="0.25">
      <c r="A263" s="601" t="s">
        <v>448</v>
      </c>
      <c r="B263" s="636">
        <v>1</v>
      </c>
      <c r="C263" s="601"/>
      <c r="D263" s="601" t="s">
        <v>319</v>
      </c>
      <c r="E263" s="601" t="s">
        <v>319</v>
      </c>
      <c r="F263" s="601" t="s">
        <v>319</v>
      </c>
      <c r="G263" s="601" t="s">
        <v>449</v>
      </c>
      <c r="H263" s="601" t="s">
        <v>325</v>
      </c>
      <c r="I263" s="601" t="s">
        <v>500</v>
      </c>
      <c r="J263" s="575"/>
      <c r="K263" s="575"/>
      <c r="L263" s="575"/>
      <c r="M263" s="575"/>
      <c r="N263" s="575"/>
      <c r="O263" s="575"/>
    </row>
    <row r="264" spans="1:15" hidden="1" x14ac:dyDescent="0.25">
      <c r="A264" s="601" t="s">
        <v>448</v>
      </c>
      <c r="B264" s="636">
        <v>1</v>
      </c>
      <c r="C264" s="601"/>
      <c r="D264" s="601" t="s">
        <v>319</v>
      </c>
      <c r="E264" s="601" t="s">
        <v>319</v>
      </c>
      <c r="F264" s="601" t="s">
        <v>319</v>
      </c>
      <c r="G264" s="601" t="s">
        <v>449</v>
      </c>
      <c r="H264" s="601" t="s">
        <v>325</v>
      </c>
      <c r="I264" s="601" t="s">
        <v>501</v>
      </c>
      <c r="J264" s="575"/>
      <c r="K264" s="575"/>
      <c r="L264" s="575"/>
      <c r="M264" s="575"/>
      <c r="N264" s="575"/>
      <c r="O264" s="575"/>
    </row>
    <row r="265" spans="1:15" hidden="1" x14ac:dyDescent="0.25">
      <c r="A265" s="601" t="s">
        <v>448</v>
      </c>
      <c r="B265" s="636">
        <v>1</v>
      </c>
      <c r="C265" s="601"/>
      <c r="D265" s="601" t="s">
        <v>319</v>
      </c>
      <c r="E265" s="601" t="s">
        <v>319</v>
      </c>
      <c r="F265" s="601" t="s">
        <v>319</v>
      </c>
      <c r="G265" s="601" t="s">
        <v>449</v>
      </c>
      <c r="H265" s="601" t="s">
        <v>325</v>
      </c>
      <c r="I265" s="601" t="s">
        <v>502</v>
      </c>
      <c r="J265" s="575"/>
      <c r="K265" s="575"/>
      <c r="L265" s="575"/>
      <c r="M265" s="575"/>
      <c r="N265" s="575"/>
      <c r="O265" s="575"/>
    </row>
    <row r="266" spans="1:15" hidden="1" x14ac:dyDescent="0.25">
      <c r="A266" s="601" t="s">
        <v>448</v>
      </c>
      <c r="B266" s="636">
        <v>1</v>
      </c>
      <c r="C266" s="601"/>
      <c r="D266" s="601" t="s">
        <v>319</v>
      </c>
      <c r="E266" s="601" t="s">
        <v>319</v>
      </c>
      <c r="F266" s="601" t="s">
        <v>319</v>
      </c>
      <c r="G266" s="601" t="s">
        <v>449</v>
      </c>
      <c r="H266" s="601" t="s">
        <v>325</v>
      </c>
      <c r="I266" s="601" t="s">
        <v>503</v>
      </c>
      <c r="J266" s="575"/>
      <c r="K266" s="575"/>
      <c r="L266" s="575"/>
      <c r="M266" s="575"/>
      <c r="N266" s="575"/>
      <c r="O266" s="575"/>
    </row>
    <row r="267" spans="1:15" hidden="1" x14ac:dyDescent="0.25">
      <c r="A267" s="601" t="s">
        <v>448</v>
      </c>
      <c r="B267" s="636">
        <v>1</v>
      </c>
      <c r="C267" s="601"/>
      <c r="D267" s="601" t="s">
        <v>319</v>
      </c>
      <c r="E267" s="601" t="s">
        <v>319</v>
      </c>
      <c r="F267" s="601" t="s">
        <v>319</v>
      </c>
      <c r="G267" s="601" t="s">
        <v>449</v>
      </c>
      <c r="H267" s="601" t="s">
        <v>325</v>
      </c>
      <c r="I267" s="601" t="s">
        <v>504</v>
      </c>
      <c r="J267" s="575"/>
      <c r="K267" s="575"/>
      <c r="L267" s="575"/>
      <c r="M267" s="575"/>
      <c r="N267" s="575"/>
      <c r="O267" s="575"/>
    </row>
    <row r="268" spans="1:15" hidden="1" x14ac:dyDescent="0.25">
      <c r="A268" s="601" t="s">
        <v>505</v>
      </c>
      <c r="B268" s="602">
        <v>1</v>
      </c>
      <c r="C268" s="601"/>
      <c r="D268" s="601" t="s">
        <v>319</v>
      </c>
      <c r="E268" s="601" t="s">
        <v>319</v>
      </c>
      <c r="F268" s="601" t="s">
        <v>319</v>
      </c>
      <c r="G268" s="601" t="s">
        <v>505</v>
      </c>
      <c r="H268" s="601" t="s">
        <v>322</v>
      </c>
      <c r="I268" s="601" t="s">
        <v>506</v>
      </c>
      <c r="J268" s="575"/>
      <c r="K268" s="575"/>
      <c r="L268" s="575"/>
      <c r="M268" s="575"/>
      <c r="N268" s="575"/>
      <c r="O268" s="575"/>
    </row>
    <row r="269" spans="1:15" hidden="1" x14ac:dyDescent="0.25">
      <c r="A269" s="601" t="s">
        <v>505</v>
      </c>
      <c r="B269" s="602">
        <v>1</v>
      </c>
      <c r="C269" s="601"/>
      <c r="D269" s="601" t="s">
        <v>319</v>
      </c>
      <c r="E269" s="601" t="s">
        <v>319</v>
      </c>
      <c r="F269" s="601" t="s">
        <v>319</v>
      </c>
      <c r="G269" s="601" t="s">
        <v>505</v>
      </c>
      <c r="H269" s="601" t="s">
        <v>322</v>
      </c>
      <c r="I269" s="601" t="s">
        <v>507</v>
      </c>
      <c r="J269" s="575"/>
      <c r="K269" s="575"/>
      <c r="L269" s="575"/>
      <c r="M269" s="575"/>
      <c r="N269" s="575"/>
      <c r="O269" s="575"/>
    </row>
    <row r="270" spans="1:15" hidden="1" x14ac:dyDescent="0.25">
      <c r="A270" s="601" t="s">
        <v>505</v>
      </c>
      <c r="B270" s="602">
        <v>1</v>
      </c>
      <c r="C270" s="601"/>
      <c r="D270" s="601" t="s">
        <v>319</v>
      </c>
      <c r="E270" s="601" t="s">
        <v>319</v>
      </c>
      <c r="F270" s="601" t="s">
        <v>319</v>
      </c>
      <c r="G270" s="601" t="s">
        <v>505</v>
      </c>
      <c r="H270" s="601" t="s">
        <v>322</v>
      </c>
      <c r="I270" s="601" t="s">
        <v>508</v>
      </c>
      <c r="J270" s="575"/>
      <c r="K270" s="575"/>
      <c r="L270" s="575"/>
      <c r="M270" s="575"/>
      <c r="N270" s="575"/>
      <c r="O270" s="575"/>
    </row>
    <row r="271" spans="1:15" hidden="1" x14ac:dyDescent="0.25">
      <c r="A271" s="601" t="s">
        <v>505</v>
      </c>
      <c r="B271" s="602">
        <v>1.2</v>
      </c>
      <c r="C271" s="601"/>
      <c r="D271" s="601" t="s">
        <v>319</v>
      </c>
      <c r="E271" s="601" t="s">
        <v>319</v>
      </c>
      <c r="F271" s="601" t="s">
        <v>319</v>
      </c>
      <c r="G271" s="601" t="s">
        <v>505</v>
      </c>
      <c r="H271" s="601" t="s">
        <v>322</v>
      </c>
      <c r="I271" s="601" t="s">
        <v>509</v>
      </c>
      <c r="J271" s="575"/>
      <c r="K271" s="575"/>
      <c r="L271" s="575"/>
      <c r="M271" s="575"/>
      <c r="N271" s="575"/>
      <c r="O271" s="575"/>
    </row>
    <row r="272" spans="1:15" hidden="1" x14ac:dyDescent="0.25">
      <c r="A272" s="634" t="s">
        <v>510</v>
      </c>
      <c r="B272" s="635">
        <v>1</v>
      </c>
      <c r="C272" s="634"/>
      <c r="D272" s="634" t="s">
        <v>319</v>
      </c>
      <c r="E272" s="634" t="s">
        <v>319</v>
      </c>
      <c r="F272" s="634" t="s">
        <v>319</v>
      </c>
      <c r="G272" s="634" t="s">
        <v>511</v>
      </c>
      <c r="H272" s="634" t="s">
        <v>322</v>
      </c>
      <c r="I272" s="634" t="s">
        <v>512</v>
      </c>
      <c r="J272" s="576"/>
      <c r="K272" s="576"/>
      <c r="L272" s="576"/>
      <c r="M272" s="576"/>
      <c r="N272" s="576"/>
      <c r="O272" s="576"/>
    </row>
    <row r="273" spans="1:15" hidden="1" x14ac:dyDescent="0.25">
      <c r="A273" s="634" t="s">
        <v>510</v>
      </c>
      <c r="B273" s="635">
        <v>1</v>
      </c>
      <c r="C273" s="634"/>
      <c r="D273" s="634" t="s">
        <v>319</v>
      </c>
      <c r="E273" s="634" t="s">
        <v>319</v>
      </c>
      <c r="F273" s="634" t="s">
        <v>319</v>
      </c>
      <c r="G273" s="634" t="s">
        <v>511</v>
      </c>
      <c r="H273" s="634" t="s">
        <v>322</v>
      </c>
      <c r="I273" s="634" t="s">
        <v>513</v>
      </c>
      <c r="J273" s="576"/>
      <c r="K273" s="576"/>
      <c r="L273" s="576"/>
      <c r="M273" s="576"/>
      <c r="N273" s="576"/>
      <c r="O273" s="576"/>
    </row>
    <row r="274" spans="1:15" hidden="1" x14ac:dyDescent="0.25">
      <c r="A274" s="634" t="s">
        <v>510</v>
      </c>
      <c r="B274" s="635">
        <v>1</v>
      </c>
      <c r="C274" s="634"/>
      <c r="D274" s="634" t="s">
        <v>319</v>
      </c>
      <c r="E274" s="634" t="s">
        <v>319</v>
      </c>
      <c r="F274" s="634" t="s">
        <v>319</v>
      </c>
      <c r="G274" s="634" t="s">
        <v>511</v>
      </c>
      <c r="H274" s="634" t="s">
        <v>322</v>
      </c>
      <c r="I274" s="634" t="s">
        <v>514</v>
      </c>
      <c r="J274" s="576"/>
      <c r="K274" s="576"/>
      <c r="L274" s="576"/>
      <c r="M274" s="576"/>
      <c r="N274" s="576"/>
      <c r="O274" s="576"/>
    </row>
    <row r="275" spans="1:15" hidden="1" x14ac:dyDescent="0.25">
      <c r="A275" s="634" t="s">
        <v>510</v>
      </c>
      <c r="B275" s="635">
        <v>1.1000000000000001</v>
      </c>
      <c r="C275" s="634"/>
      <c r="D275" s="634" t="s">
        <v>319</v>
      </c>
      <c r="E275" s="634" t="s">
        <v>319</v>
      </c>
      <c r="F275" s="634" t="s">
        <v>319</v>
      </c>
      <c r="G275" s="634" t="s">
        <v>511</v>
      </c>
      <c r="H275" s="634" t="s">
        <v>322</v>
      </c>
      <c r="I275" s="634" t="s">
        <v>515</v>
      </c>
      <c r="J275" s="576"/>
      <c r="K275" s="576"/>
      <c r="L275" s="576"/>
      <c r="M275" s="576"/>
      <c r="N275" s="576"/>
      <c r="O275" s="576"/>
    </row>
    <row r="276" spans="1:15" hidden="1" x14ac:dyDescent="0.25">
      <c r="A276" s="634" t="s">
        <v>510</v>
      </c>
      <c r="B276" s="635">
        <v>1.2</v>
      </c>
      <c r="C276" s="634"/>
      <c r="D276" s="634" t="s">
        <v>319</v>
      </c>
      <c r="E276" s="634" t="s">
        <v>319</v>
      </c>
      <c r="F276" s="634" t="s">
        <v>319</v>
      </c>
      <c r="G276" s="634" t="s">
        <v>511</v>
      </c>
      <c r="H276" s="634" t="s">
        <v>322</v>
      </c>
      <c r="I276" s="634" t="s">
        <v>516</v>
      </c>
      <c r="J276" s="576"/>
      <c r="K276" s="576"/>
      <c r="L276" s="576"/>
      <c r="M276" s="576"/>
      <c r="N276" s="576"/>
      <c r="O276" s="576"/>
    </row>
    <row r="277" spans="1:15" hidden="1" x14ac:dyDescent="0.25">
      <c r="A277" s="634" t="s">
        <v>510</v>
      </c>
      <c r="B277" s="635">
        <v>1</v>
      </c>
      <c r="C277" s="634"/>
      <c r="D277" s="634" t="s">
        <v>319</v>
      </c>
      <c r="E277" s="634" t="s">
        <v>319</v>
      </c>
      <c r="F277" s="634" t="s">
        <v>319</v>
      </c>
      <c r="G277" s="634" t="s">
        <v>511</v>
      </c>
      <c r="H277" s="634" t="s">
        <v>322</v>
      </c>
      <c r="I277" s="634" t="s">
        <v>517</v>
      </c>
      <c r="J277" s="576"/>
      <c r="K277" s="576"/>
      <c r="L277" s="576"/>
      <c r="M277" s="576"/>
      <c r="N277" s="576"/>
      <c r="O277" s="576"/>
    </row>
    <row r="278" spans="1:15" x14ac:dyDescent="0.25">
      <c r="A278" s="631" t="s">
        <v>191</v>
      </c>
      <c r="B278" s="632">
        <v>1</v>
      </c>
      <c r="C278" s="633"/>
      <c r="D278" s="631" t="s">
        <v>319</v>
      </c>
      <c r="E278" s="631" t="s">
        <v>319</v>
      </c>
      <c r="F278" s="631" t="s">
        <v>319</v>
      </c>
      <c r="G278" s="631" t="s">
        <v>321</v>
      </c>
      <c r="H278" s="631" t="s">
        <v>322</v>
      </c>
      <c r="I278" s="631" t="s">
        <v>518</v>
      </c>
      <c r="J278" s="577"/>
      <c r="K278" s="577"/>
      <c r="L278" s="577"/>
      <c r="M278" s="577"/>
      <c r="N278" s="577"/>
      <c r="O278" s="577"/>
    </row>
    <row r="279" spans="1:15" x14ac:dyDescent="0.25">
      <c r="A279" s="631" t="s">
        <v>191</v>
      </c>
      <c r="B279" s="632">
        <v>1</v>
      </c>
      <c r="C279" s="633"/>
      <c r="D279" s="631" t="s">
        <v>319</v>
      </c>
      <c r="E279" s="631" t="s">
        <v>319</v>
      </c>
      <c r="F279" s="631" t="s">
        <v>319</v>
      </c>
      <c r="G279" s="631" t="s">
        <v>321</v>
      </c>
      <c r="H279" s="631" t="s">
        <v>322</v>
      </c>
      <c r="I279" s="631" t="s">
        <v>519</v>
      </c>
      <c r="J279" s="577"/>
      <c r="K279" s="577"/>
      <c r="L279" s="577"/>
      <c r="M279" s="577"/>
      <c r="N279" s="577"/>
      <c r="O279" s="577"/>
    </row>
    <row r="280" spans="1:15" x14ac:dyDescent="0.25">
      <c r="A280" s="631" t="s">
        <v>191</v>
      </c>
      <c r="B280" s="632">
        <v>1</v>
      </c>
      <c r="C280" s="633"/>
      <c r="D280" s="631" t="s">
        <v>319</v>
      </c>
      <c r="E280" s="631" t="s">
        <v>319</v>
      </c>
      <c r="F280" s="631" t="s">
        <v>319</v>
      </c>
      <c r="G280" s="631" t="s">
        <v>321</v>
      </c>
      <c r="H280" s="631" t="s">
        <v>322</v>
      </c>
      <c r="I280" s="631" t="s">
        <v>520</v>
      </c>
      <c r="J280" s="577"/>
      <c r="K280" s="577"/>
      <c r="L280" s="577"/>
      <c r="M280" s="577"/>
      <c r="N280" s="577"/>
      <c r="O280" s="577"/>
    </row>
    <row r="281" spans="1:15" s="399" customFormat="1" x14ac:dyDescent="0.25">
      <c r="A281" s="631" t="s">
        <v>191</v>
      </c>
      <c r="B281" s="632">
        <v>1</v>
      </c>
      <c r="C281" s="633"/>
      <c r="D281" s="631" t="s">
        <v>319</v>
      </c>
      <c r="E281" s="631" t="s">
        <v>319</v>
      </c>
      <c r="F281" s="631" t="s">
        <v>319</v>
      </c>
      <c r="G281" s="631" t="s">
        <v>321</v>
      </c>
      <c r="H281" s="631" t="s">
        <v>322</v>
      </c>
      <c r="I281" s="631" t="s">
        <v>521</v>
      </c>
      <c r="J281" s="577"/>
      <c r="K281" s="577"/>
      <c r="L281" s="577"/>
      <c r="M281" s="577"/>
      <c r="N281" s="577"/>
      <c r="O281" s="577"/>
    </row>
    <row r="282" spans="1:15" x14ac:dyDescent="0.25">
      <c r="A282" s="631" t="s">
        <v>191</v>
      </c>
      <c r="B282" s="632">
        <v>1.1499999999999999</v>
      </c>
      <c r="C282" s="633"/>
      <c r="D282" s="631" t="s">
        <v>319</v>
      </c>
      <c r="E282" s="631" t="s">
        <v>319</v>
      </c>
      <c r="F282" s="631" t="s">
        <v>319</v>
      </c>
      <c r="G282" s="631" t="s">
        <v>321</v>
      </c>
      <c r="H282" s="631" t="s">
        <v>322</v>
      </c>
      <c r="I282" s="631" t="s">
        <v>522</v>
      </c>
      <c r="J282" s="577"/>
      <c r="K282" s="577"/>
      <c r="L282" s="577"/>
      <c r="M282" s="577"/>
      <c r="N282" s="577"/>
      <c r="O282" s="577"/>
    </row>
  </sheetData>
  <autoFilter ref="A1:R282" xr:uid="{A08B1F17-6711-45D4-A733-2C8464726F6A}">
    <filterColumn colId="0">
      <filters>
        <filter val="Vehicle Type"/>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46669-FF2C-41C3-823A-531CEC09E9EB}">
  <sheetPr filterMode="1">
    <tabColor rgb="FFFFFF00"/>
  </sheetPr>
  <dimension ref="A1:O276"/>
  <sheetViews>
    <sheetView workbookViewId="0">
      <pane ySplit="1" topLeftCell="A272" activePane="bottomLeft" state="frozen"/>
      <selection activeCell="P38" sqref="P38"/>
      <selection pane="bottomLeft" sqref="A1:O276"/>
    </sheetView>
  </sheetViews>
  <sheetFormatPr defaultColWidth="9.1796875" defaultRowHeight="10.5" x14ac:dyDescent="0.25"/>
  <cols>
    <col min="1" max="1" width="15.54296875" style="570" bestFit="1" customWidth="1"/>
    <col min="2" max="2" width="10.7265625" style="573" bestFit="1" customWidth="1"/>
    <col min="3" max="3" width="4.7265625" style="570" customWidth="1"/>
    <col min="4" max="4" width="5.7265625" style="570" customWidth="1"/>
    <col min="5" max="5" width="5.26953125" style="570" customWidth="1"/>
    <col min="6" max="6" width="6.4531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hidden="1"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hidden="1"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hidden="1"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hidden="1"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hidden="1"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hidden="1"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hidden="1"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hidden="1"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hidden="1"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hidden="1"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hidden="1"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hidden="1"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hidden="1"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hidden="1"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hidden="1"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hidden="1"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hidden="1"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hidden="1"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hidden="1"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hidden="1"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hidden="1"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hidden="1"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hidden="1"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hidden="1" x14ac:dyDescent="0.25">
      <c r="A25" s="601" t="s">
        <v>327</v>
      </c>
      <c r="B25" s="602">
        <v>1</v>
      </c>
      <c r="C25" s="601"/>
      <c r="D25" s="601" t="s">
        <v>319</v>
      </c>
      <c r="E25" s="601" t="s">
        <v>319</v>
      </c>
      <c r="F25" s="601" t="s">
        <v>319</v>
      </c>
      <c r="G25" s="601" t="s">
        <v>327</v>
      </c>
      <c r="H25" s="601" t="s">
        <v>322</v>
      </c>
      <c r="I25" s="603">
        <v>5000</v>
      </c>
      <c r="J25" s="577"/>
      <c r="K25" s="577"/>
      <c r="L25" s="577"/>
      <c r="M25" s="577"/>
      <c r="N25" s="577"/>
      <c r="O25" s="577"/>
    </row>
    <row r="26" spans="1:15" hidden="1" x14ac:dyDescent="0.25">
      <c r="A26" s="630" t="s">
        <v>336</v>
      </c>
      <c r="B26" s="629">
        <v>1.02</v>
      </c>
      <c r="C26" s="630"/>
      <c r="D26" s="630" t="s">
        <v>319</v>
      </c>
      <c r="E26" s="630" t="s">
        <v>319</v>
      </c>
      <c r="F26" s="630" t="s">
        <v>319</v>
      </c>
      <c r="G26" s="630" t="s">
        <v>324</v>
      </c>
      <c r="H26" s="601" t="s">
        <v>325</v>
      </c>
      <c r="I26" s="601" t="s">
        <v>337</v>
      </c>
      <c r="J26" s="630" t="s">
        <v>338</v>
      </c>
      <c r="K26" s="630" t="s">
        <v>339</v>
      </c>
      <c r="L26" s="630" t="s">
        <v>320</v>
      </c>
      <c r="M26" s="630" t="s">
        <v>321</v>
      </c>
      <c r="N26" s="630" t="s">
        <v>340</v>
      </c>
      <c r="O26" s="630" t="s">
        <v>341</v>
      </c>
    </row>
    <row r="27" spans="1:15" hidden="1" x14ac:dyDescent="0.25">
      <c r="A27" s="630" t="s">
        <v>336</v>
      </c>
      <c r="B27" s="629">
        <v>1.02</v>
      </c>
      <c r="C27" s="630"/>
      <c r="D27" s="630" t="s">
        <v>319</v>
      </c>
      <c r="E27" s="630" t="s">
        <v>319</v>
      </c>
      <c r="F27" s="630" t="s">
        <v>319</v>
      </c>
      <c r="G27" s="630" t="s">
        <v>324</v>
      </c>
      <c r="H27" s="601" t="s">
        <v>325</v>
      </c>
      <c r="I27" s="601" t="s">
        <v>342</v>
      </c>
      <c r="J27" s="630" t="s">
        <v>338</v>
      </c>
      <c r="K27" s="630" t="s">
        <v>339</v>
      </c>
      <c r="L27" s="630" t="s">
        <v>320</v>
      </c>
      <c r="M27" s="630" t="s">
        <v>321</v>
      </c>
      <c r="N27" s="630" t="s">
        <v>340</v>
      </c>
      <c r="O27" s="630" t="s">
        <v>341</v>
      </c>
    </row>
    <row r="28" spans="1:15" hidden="1" x14ac:dyDescent="0.25">
      <c r="A28" s="630" t="s">
        <v>336</v>
      </c>
      <c r="B28" s="629">
        <v>1.02</v>
      </c>
      <c r="C28" s="630"/>
      <c r="D28" s="630" t="s">
        <v>319</v>
      </c>
      <c r="E28" s="630" t="s">
        <v>319</v>
      </c>
      <c r="F28" s="630" t="s">
        <v>319</v>
      </c>
      <c r="G28" s="630" t="s">
        <v>324</v>
      </c>
      <c r="H28" s="601" t="s">
        <v>325</v>
      </c>
      <c r="I28" s="601" t="s">
        <v>343</v>
      </c>
      <c r="J28" s="630" t="s">
        <v>338</v>
      </c>
      <c r="K28" s="630" t="s">
        <v>339</v>
      </c>
      <c r="L28" s="630" t="s">
        <v>320</v>
      </c>
      <c r="M28" s="630" t="s">
        <v>321</v>
      </c>
      <c r="N28" s="630" t="s">
        <v>340</v>
      </c>
      <c r="O28" s="630" t="s">
        <v>341</v>
      </c>
    </row>
    <row r="29" spans="1:15" hidden="1" x14ac:dyDescent="0.25">
      <c r="A29" s="630" t="s">
        <v>336</v>
      </c>
      <c r="B29" s="629">
        <v>1.02</v>
      </c>
      <c r="C29" s="630"/>
      <c r="D29" s="630" t="s">
        <v>319</v>
      </c>
      <c r="E29" s="630" t="s">
        <v>319</v>
      </c>
      <c r="F29" s="630" t="s">
        <v>319</v>
      </c>
      <c r="G29" s="630" t="s">
        <v>324</v>
      </c>
      <c r="H29" s="601" t="s">
        <v>325</v>
      </c>
      <c r="I29" s="601" t="s">
        <v>344</v>
      </c>
      <c r="J29" s="630" t="s">
        <v>338</v>
      </c>
      <c r="K29" s="630" t="s">
        <v>339</v>
      </c>
      <c r="L29" s="630" t="s">
        <v>320</v>
      </c>
      <c r="M29" s="630" t="s">
        <v>321</v>
      </c>
      <c r="N29" s="630" t="s">
        <v>340</v>
      </c>
      <c r="O29" s="630" t="s">
        <v>341</v>
      </c>
    </row>
    <row r="30" spans="1:15" hidden="1" x14ac:dyDescent="0.25">
      <c r="A30" s="630" t="s">
        <v>336</v>
      </c>
      <c r="B30" s="629">
        <v>1.02</v>
      </c>
      <c r="C30" s="630"/>
      <c r="D30" s="630" t="s">
        <v>319</v>
      </c>
      <c r="E30" s="630" t="s">
        <v>319</v>
      </c>
      <c r="F30" s="630" t="s">
        <v>319</v>
      </c>
      <c r="G30" s="630" t="s">
        <v>324</v>
      </c>
      <c r="H30" s="601" t="s">
        <v>325</v>
      </c>
      <c r="I30" s="601" t="s">
        <v>345</v>
      </c>
      <c r="J30" s="630" t="s">
        <v>338</v>
      </c>
      <c r="K30" s="630" t="s">
        <v>339</v>
      </c>
      <c r="L30" s="630" t="s">
        <v>320</v>
      </c>
      <c r="M30" s="630" t="s">
        <v>321</v>
      </c>
      <c r="N30" s="630" t="s">
        <v>340</v>
      </c>
      <c r="O30" s="630" t="s">
        <v>341</v>
      </c>
    </row>
    <row r="31" spans="1:15" hidden="1" x14ac:dyDescent="0.25">
      <c r="A31" s="630" t="s">
        <v>336</v>
      </c>
      <c r="B31" s="629">
        <v>1.08</v>
      </c>
      <c r="C31" s="630"/>
      <c r="D31" s="630" t="s">
        <v>319</v>
      </c>
      <c r="E31" s="630" t="s">
        <v>319</v>
      </c>
      <c r="F31" s="630" t="s">
        <v>319</v>
      </c>
      <c r="G31" s="630" t="s">
        <v>324</v>
      </c>
      <c r="H31" s="601" t="s">
        <v>325</v>
      </c>
      <c r="I31" s="601" t="s">
        <v>346</v>
      </c>
      <c r="J31" s="630" t="s">
        <v>338</v>
      </c>
      <c r="K31" s="630" t="s">
        <v>339</v>
      </c>
      <c r="L31" s="630" t="s">
        <v>320</v>
      </c>
      <c r="M31" s="630" t="s">
        <v>321</v>
      </c>
      <c r="N31" s="630" t="s">
        <v>340</v>
      </c>
      <c r="O31" s="630" t="s">
        <v>341</v>
      </c>
    </row>
    <row r="32" spans="1:15" hidden="1" x14ac:dyDescent="0.25">
      <c r="A32" s="630" t="s">
        <v>336</v>
      </c>
      <c r="B32" s="629">
        <v>1.08</v>
      </c>
      <c r="C32" s="630"/>
      <c r="D32" s="630" t="s">
        <v>319</v>
      </c>
      <c r="E32" s="630" t="s">
        <v>319</v>
      </c>
      <c r="F32" s="630" t="s">
        <v>319</v>
      </c>
      <c r="G32" s="630" t="s">
        <v>324</v>
      </c>
      <c r="H32" s="601" t="s">
        <v>325</v>
      </c>
      <c r="I32" s="601" t="s">
        <v>347</v>
      </c>
      <c r="J32" s="630" t="s">
        <v>338</v>
      </c>
      <c r="K32" s="630" t="s">
        <v>339</v>
      </c>
      <c r="L32" s="630" t="s">
        <v>320</v>
      </c>
      <c r="M32" s="630" t="s">
        <v>321</v>
      </c>
      <c r="N32" s="630" t="s">
        <v>340</v>
      </c>
      <c r="O32" s="630" t="s">
        <v>341</v>
      </c>
    </row>
    <row r="33" spans="1:15" hidden="1" x14ac:dyDescent="0.25">
      <c r="A33" s="630" t="s">
        <v>336</v>
      </c>
      <c r="B33" s="629">
        <v>1.08</v>
      </c>
      <c r="C33" s="630"/>
      <c r="D33" s="630" t="s">
        <v>319</v>
      </c>
      <c r="E33" s="630" t="s">
        <v>319</v>
      </c>
      <c r="F33" s="630" t="s">
        <v>319</v>
      </c>
      <c r="G33" s="630" t="s">
        <v>324</v>
      </c>
      <c r="H33" s="601" t="s">
        <v>325</v>
      </c>
      <c r="I33" s="601" t="s">
        <v>348</v>
      </c>
      <c r="J33" s="630" t="s">
        <v>338</v>
      </c>
      <c r="K33" s="630" t="s">
        <v>339</v>
      </c>
      <c r="L33" s="630" t="s">
        <v>320</v>
      </c>
      <c r="M33" s="630" t="s">
        <v>321</v>
      </c>
      <c r="N33" s="630" t="s">
        <v>340</v>
      </c>
      <c r="O33" s="630" t="s">
        <v>341</v>
      </c>
    </row>
    <row r="34" spans="1:15" hidden="1" x14ac:dyDescent="0.25">
      <c r="A34" s="630" t="s">
        <v>336</v>
      </c>
      <c r="B34" s="629">
        <v>1.08</v>
      </c>
      <c r="C34" s="630"/>
      <c r="D34" s="630" t="s">
        <v>319</v>
      </c>
      <c r="E34" s="630" t="s">
        <v>319</v>
      </c>
      <c r="F34" s="630" t="s">
        <v>319</v>
      </c>
      <c r="G34" s="630" t="s">
        <v>324</v>
      </c>
      <c r="H34" s="601" t="s">
        <v>325</v>
      </c>
      <c r="I34" s="601" t="s">
        <v>349</v>
      </c>
      <c r="J34" s="630" t="s">
        <v>338</v>
      </c>
      <c r="K34" s="630" t="s">
        <v>339</v>
      </c>
      <c r="L34" s="630" t="s">
        <v>320</v>
      </c>
      <c r="M34" s="630" t="s">
        <v>321</v>
      </c>
      <c r="N34" s="630" t="s">
        <v>340</v>
      </c>
      <c r="O34" s="630" t="s">
        <v>341</v>
      </c>
    </row>
    <row r="35" spans="1:15" hidden="1" x14ac:dyDescent="0.25">
      <c r="A35" s="630" t="s">
        <v>336</v>
      </c>
      <c r="B35" s="629">
        <v>1.08</v>
      </c>
      <c r="C35" s="630"/>
      <c r="D35" s="630" t="s">
        <v>319</v>
      </c>
      <c r="E35" s="630" t="s">
        <v>319</v>
      </c>
      <c r="F35" s="630" t="s">
        <v>319</v>
      </c>
      <c r="G35" s="630" t="s">
        <v>324</v>
      </c>
      <c r="H35" s="601" t="s">
        <v>325</v>
      </c>
      <c r="I35" s="601" t="s">
        <v>350</v>
      </c>
      <c r="J35" s="630" t="s">
        <v>338</v>
      </c>
      <c r="K35" s="630" t="s">
        <v>339</v>
      </c>
      <c r="L35" s="630" t="s">
        <v>320</v>
      </c>
      <c r="M35" s="630" t="s">
        <v>321</v>
      </c>
      <c r="N35" s="630" t="s">
        <v>340</v>
      </c>
      <c r="O35" s="630" t="s">
        <v>341</v>
      </c>
    </row>
    <row r="36" spans="1:15" hidden="1" x14ac:dyDescent="0.25">
      <c r="A36" s="630" t="s">
        <v>336</v>
      </c>
      <c r="B36" s="629">
        <v>1.08</v>
      </c>
      <c r="C36" s="630"/>
      <c r="D36" s="630" t="s">
        <v>319</v>
      </c>
      <c r="E36" s="630" t="s">
        <v>319</v>
      </c>
      <c r="F36" s="630" t="s">
        <v>319</v>
      </c>
      <c r="G36" s="630" t="s">
        <v>324</v>
      </c>
      <c r="H36" s="601" t="s">
        <v>325</v>
      </c>
      <c r="I36" s="601" t="s">
        <v>351</v>
      </c>
      <c r="J36" s="630" t="s">
        <v>338</v>
      </c>
      <c r="K36" s="630" t="s">
        <v>339</v>
      </c>
      <c r="L36" s="630" t="s">
        <v>320</v>
      </c>
      <c r="M36" s="630" t="s">
        <v>321</v>
      </c>
      <c r="N36" s="630" t="s">
        <v>340</v>
      </c>
      <c r="O36" s="630" t="s">
        <v>341</v>
      </c>
    </row>
    <row r="37" spans="1:15" hidden="1" x14ac:dyDescent="0.25">
      <c r="A37" s="630" t="s">
        <v>336</v>
      </c>
      <c r="B37" s="629">
        <v>1.08</v>
      </c>
      <c r="C37" s="630"/>
      <c r="D37" s="630" t="s">
        <v>319</v>
      </c>
      <c r="E37" s="630" t="s">
        <v>319</v>
      </c>
      <c r="F37" s="630" t="s">
        <v>319</v>
      </c>
      <c r="G37" s="630" t="s">
        <v>324</v>
      </c>
      <c r="H37" s="601" t="s">
        <v>325</v>
      </c>
      <c r="I37" s="601" t="s">
        <v>352</v>
      </c>
      <c r="J37" s="630" t="s">
        <v>338</v>
      </c>
      <c r="K37" s="630" t="s">
        <v>339</v>
      </c>
      <c r="L37" s="630" t="s">
        <v>320</v>
      </c>
      <c r="M37" s="630" t="s">
        <v>321</v>
      </c>
      <c r="N37" s="630" t="s">
        <v>340</v>
      </c>
      <c r="O37" s="630" t="s">
        <v>341</v>
      </c>
    </row>
    <row r="38" spans="1:15" hidden="1" x14ac:dyDescent="0.25">
      <c r="A38" s="630" t="s">
        <v>336</v>
      </c>
      <c r="B38" s="629">
        <v>1.08</v>
      </c>
      <c r="C38" s="630"/>
      <c r="D38" s="630" t="s">
        <v>319</v>
      </c>
      <c r="E38" s="630" t="s">
        <v>319</v>
      </c>
      <c r="F38" s="630" t="s">
        <v>319</v>
      </c>
      <c r="G38" s="630" t="s">
        <v>324</v>
      </c>
      <c r="H38" s="601" t="s">
        <v>325</v>
      </c>
      <c r="I38" s="601" t="s">
        <v>353</v>
      </c>
      <c r="J38" s="630" t="s">
        <v>338</v>
      </c>
      <c r="K38" s="630" t="s">
        <v>339</v>
      </c>
      <c r="L38" s="630" t="s">
        <v>320</v>
      </c>
      <c r="M38" s="630" t="s">
        <v>321</v>
      </c>
      <c r="N38" s="630" t="s">
        <v>340</v>
      </c>
      <c r="O38" s="630" t="s">
        <v>341</v>
      </c>
    </row>
    <row r="39" spans="1:15" hidden="1" x14ac:dyDescent="0.25">
      <c r="A39" s="630" t="s">
        <v>336</v>
      </c>
      <c r="B39" s="629">
        <v>1.08</v>
      </c>
      <c r="C39" s="630"/>
      <c r="D39" s="630" t="s">
        <v>319</v>
      </c>
      <c r="E39" s="630" t="s">
        <v>319</v>
      </c>
      <c r="F39" s="630" t="s">
        <v>319</v>
      </c>
      <c r="G39" s="630" t="s">
        <v>324</v>
      </c>
      <c r="H39" s="601" t="s">
        <v>325</v>
      </c>
      <c r="I39" s="601" t="s">
        <v>354</v>
      </c>
      <c r="J39" s="630" t="s">
        <v>338</v>
      </c>
      <c r="K39" s="630" t="s">
        <v>339</v>
      </c>
      <c r="L39" s="630" t="s">
        <v>320</v>
      </c>
      <c r="M39" s="630" t="s">
        <v>321</v>
      </c>
      <c r="N39" s="630" t="s">
        <v>340</v>
      </c>
      <c r="O39" s="630" t="s">
        <v>341</v>
      </c>
    </row>
    <row r="40" spans="1:15" hidden="1" x14ac:dyDescent="0.25">
      <c r="A40" s="630" t="s">
        <v>336</v>
      </c>
      <c r="B40" s="629">
        <v>1.08</v>
      </c>
      <c r="C40" s="630"/>
      <c r="D40" s="630" t="s">
        <v>319</v>
      </c>
      <c r="E40" s="630" t="s">
        <v>319</v>
      </c>
      <c r="F40" s="630" t="s">
        <v>319</v>
      </c>
      <c r="G40" s="630" t="s">
        <v>324</v>
      </c>
      <c r="H40" s="601" t="s">
        <v>325</v>
      </c>
      <c r="I40" s="601" t="s">
        <v>355</v>
      </c>
      <c r="J40" s="630" t="s">
        <v>338</v>
      </c>
      <c r="K40" s="630" t="s">
        <v>339</v>
      </c>
      <c r="L40" s="630" t="s">
        <v>320</v>
      </c>
      <c r="M40" s="630" t="s">
        <v>321</v>
      </c>
      <c r="N40" s="630" t="s">
        <v>340</v>
      </c>
      <c r="O40" s="630" t="s">
        <v>341</v>
      </c>
    </row>
    <row r="41" spans="1:15" hidden="1" x14ac:dyDescent="0.25">
      <c r="A41" s="630" t="s">
        <v>336</v>
      </c>
      <c r="B41" s="629">
        <v>1.2</v>
      </c>
      <c r="C41" s="630"/>
      <c r="D41" s="630" t="s">
        <v>319</v>
      </c>
      <c r="E41" s="630" t="s">
        <v>319</v>
      </c>
      <c r="F41" s="630" t="s">
        <v>319</v>
      </c>
      <c r="G41" s="630" t="s">
        <v>324</v>
      </c>
      <c r="H41" s="601" t="s">
        <v>325</v>
      </c>
      <c r="I41" s="601" t="s">
        <v>356</v>
      </c>
      <c r="J41" s="630" t="s">
        <v>338</v>
      </c>
      <c r="K41" s="630" t="s">
        <v>339</v>
      </c>
      <c r="L41" s="630" t="s">
        <v>320</v>
      </c>
      <c r="M41" s="630" t="s">
        <v>321</v>
      </c>
      <c r="N41" s="630" t="s">
        <v>340</v>
      </c>
      <c r="O41" s="630" t="s">
        <v>341</v>
      </c>
    </row>
    <row r="42" spans="1:15" hidden="1" x14ac:dyDescent="0.25">
      <c r="A42" s="630" t="s">
        <v>336</v>
      </c>
      <c r="B42" s="629">
        <v>1.2</v>
      </c>
      <c r="C42" s="630"/>
      <c r="D42" s="630" t="s">
        <v>319</v>
      </c>
      <c r="E42" s="630" t="s">
        <v>319</v>
      </c>
      <c r="F42" s="630" t="s">
        <v>319</v>
      </c>
      <c r="G42" s="630" t="s">
        <v>324</v>
      </c>
      <c r="H42" s="601" t="s">
        <v>325</v>
      </c>
      <c r="I42" s="601" t="s">
        <v>357</v>
      </c>
      <c r="J42" s="630" t="s">
        <v>338</v>
      </c>
      <c r="K42" s="630" t="s">
        <v>339</v>
      </c>
      <c r="L42" s="630" t="s">
        <v>320</v>
      </c>
      <c r="M42" s="630" t="s">
        <v>321</v>
      </c>
      <c r="N42" s="630" t="s">
        <v>340</v>
      </c>
      <c r="O42" s="630" t="s">
        <v>341</v>
      </c>
    </row>
    <row r="43" spans="1:15" hidden="1" x14ac:dyDescent="0.25">
      <c r="A43" s="630" t="s">
        <v>336</v>
      </c>
      <c r="B43" s="629">
        <v>1.2</v>
      </c>
      <c r="C43" s="630"/>
      <c r="D43" s="630" t="s">
        <v>319</v>
      </c>
      <c r="E43" s="630" t="s">
        <v>319</v>
      </c>
      <c r="F43" s="630" t="s">
        <v>319</v>
      </c>
      <c r="G43" s="630" t="s">
        <v>324</v>
      </c>
      <c r="H43" s="601" t="s">
        <v>325</v>
      </c>
      <c r="I43" s="601" t="s">
        <v>358</v>
      </c>
      <c r="J43" s="630" t="s">
        <v>338</v>
      </c>
      <c r="K43" s="630" t="s">
        <v>339</v>
      </c>
      <c r="L43" s="630" t="s">
        <v>320</v>
      </c>
      <c r="M43" s="630" t="s">
        <v>321</v>
      </c>
      <c r="N43" s="630" t="s">
        <v>340</v>
      </c>
      <c r="O43" s="630" t="s">
        <v>341</v>
      </c>
    </row>
    <row r="44" spans="1:15" hidden="1" x14ac:dyDescent="0.25">
      <c r="A44" s="630" t="s">
        <v>336</v>
      </c>
      <c r="B44" s="629">
        <v>1.2</v>
      </c>
      <c r="C44" s="630"/>
      <c r="D44" s="630" t="s">
        <v>319</v>
      </c>
      <c r="E44" s="630" t="s">
        <v>319</v>
      </c>
      <c r="F44" s="630" t="s">
        <v>319</v>
      </c>
      <c r="G44" s="630" t="s">
        <v>324</v>
      </c>
      <c r="H44" s="601" t="s">
        <v>325</v>
      </c>
      <c r="I44" s="601" t="s">
        <v>359</v>
      </c>
      <c r="J44" s="630" t="s">
        <v>338</v>
      </c>
      <c r="K44" s="630" t="s">
        <v>339</v>
      </c>
      <c r="L44" s="630" t="s">
        <v>320</v>
      </c>
      <c r="M44" s="630" t="s">
        <v>321</v>
      </c>
      <c r="N44" s="630" t="s">
        <v>340</v>
      </c>
      <c r="O44" s="630" t="s">
        <v>341</v>
      </c>
    </row>
    <row r="45" spans="1:15" hidden="1" x14ac:dyDescent="0.25">
      <c r="A45" s="630" t="s">
        <v>336</v>
      </c>
      <c r="B45" s="629">
        <v>1.2</v>
      </c>
      <c r="C45" s="630"/>
      <c r="D45" s="630" t="s">
        <v>319</v>
      </c>
      <c r="E45" s="630" t="s">
        <v>319</v>
      </c>
      <c r="F45" s="630" t="s">
        <v>319</v>
      </c>
      <c r="G45" s="630" t="s">
        <v>324</v>
      </c>
      <c r="H45" s="601" t="s">
        <v>325</v>
      </c>
      <c r="I45" s="601" t="s">
        <v>360</v>
      </c>
      <c r="J45" s="630" t="s">
        <v>338</v>
      </c>
      <c r="K45" s="630" t="s">
        <v>339</v>
      </c>
      <c r="L45" s="630" t="s">
        <v>320</v>
      </c>
      <c r="M45" s="630" t="s">
        <v>321</v>
      </c>
      <c r="N45" s="630" t="s">
        <v>340</v>
      </c>
      <c r="O45" s="630" t="s">
        <v>341</v>
      </c>
    </row>
    <row r="46" spans="1:15" hidden="1" x14ac:dyDescent="0.25">
      <c r="A46" s="630" t="s">
        <v>336</v>
      </c>
      <c r="B46" s="629">
        <v>1.2</v>
      </c>
      <c r="C46" s="630"/>
      <c r="D46" s="630" t="s">
        <v>319</v>
      </c>
      <c r="E46" s="630" t="s">
        <v>319</v>
      </c>
      <c r="F46" s="630" t="s">
        <v>319</v>
      </c>
      <c r="G46" s="630" t="s">
        <v>324</v>
      </c>
      <c r="H46" s="601" t="s">
        <v>325</v>
      </c>
      <c r="I46" s="601" t="s">
        <v>361</v>
      </c>
      <c r="J46" s="630" t="s">
        <v>338</v>
      </c>
      <c r="K46" s="630" t="s">
        <v>339</v>
      </c>
      <c r="L46" s="630" t="s">
        <v>320</v>
      </c>
      <c r="M46" s="630" t="s">
        <v>321</v>
      </c>
      <c r="N46" s="630" t="s">
        <v>340</v>
      </c>
      <c r="O46" s="630" t="s">
        <v>341</v>
      </c>
    </row>
    <row r="47" spans="1:15" hidden="1" x14ac:dyDescent="0.25">
      <c r="A47" s="630" t="s">
        <v>336</v>
      </c>
      <c r="B47" s="629">
        <v>1.2</v>
      </c>
      <c r="C47" s="630"/>
      <c r="D47" s="630" t="s">
        <v>319</v>
      </c>
      <c r="E47" s="630" t="s">
        <v>319</v>
      </c>
      <c r="F47" s="630" t="s">
        <v>319</v>
      </c>
      <c r="G47" s="630" t="s">
        <v>324</v>
      </c>
      <c r="H47" s="601" t="s">
        <v>325</v>
      </c>
      <c r="I47" s="601" t="s">
        <v>362</v>
      </c>
      <c r="J47" s="630" t="s">
        <v>338</v>
      </c>
      <c r="K47" s="630" t="s">
        <v>339</v>
      </c>
      <c r="L47" s="630" t="s">
        <v>320</v>
      </c>
      <c r="M47" s="630" t="s">
        <v>321</v>
      </c>
      <c r="N47" s="630" t="s">
        <v>340</v>
      </c>
      <c r="O47" s="630" t="s">
        <v>341</v>
      </c>
    </row>
    <row r="48" spans="1:15" hidden="1" x14ac:dyDescent="0.25">
      <c r="A48" s="630" t="s">
        <v>336</v>
      </c>
      <c r="B48" s="629">
        <v>1.2</v>
      </c>
      <c r="C48" s="630"/>
      <c r="D48" s="630" t="s">
        <v>319</v>
      </c>
      <c r="E48" s="630" t="s">
        <v>319</v>
      </c>
      <c r="F48" s="630" t="s">
        <v>319</v>
      </c>
      <c r="G48" s="630" t="s">
        <v>324</v>
      </c>
      <c r="H48" s="601" t="s">
        <v>325</v>
      </c>
      <c r="I48" s="601" t="s">
        <v>363</v>
      </c>
      <c r="J48" s="630" t="s">
        <v>338</v>
      </c>
      <c r="K48" s="630" t="s">
        <v>339</v>
      </c>
      <c r="L48" s="630" t="s">
        <v>320</v>
      </c>
      <c r="M48" s="630" t="s">
        <v>321</v>
      </c>
      <c r="N48" s="630" t="s">
        <v>340</v>
      </c>
      <c r="O48" s="630" t="s">
        <v>341</v>
      </c>
    </row>
    <row r="49" spans="1:15" hidden="1" x14ac:dyDescent="0.25">
      <c r="A49" s="630" t="s">
        <v>336</v>
      </c>
      <c r="B49" s="629">
        <v>1.2</v>
      </c>
      <c r="C49" s="630"/>
      <c r="D49" s="630" t="s">
        <v>319</v>
      </c>
      <c r="E49" s="630" t="s">
        <v>319</v>
      </c>
      <c r="F49" s="630" t="s">
        <v>319</v>
      </c>
      <c r="G49" s="630" t="s">
        <v>324</v>
      </c>
      <c r="H49" s="601" t="s">
        <v>325</v>
      </c>
      <c r="I49" s="601" t="s">
        <v>364</v>
      </c>
      <c r="J49" s="630" t="s">
        <v>338</v>
      </c>
      <c r="K49" s="630" t="s">
        <v>339</v>
      </c>
      <c r="L49" s="630" t="s">
        <v>320</v>
      </c>
      <c r="M49" s="630" t="s">
        <v>321</v>
      </c>
      <c r="N49" s="630" t="s">
        <v>340</v>
      </c>
      <c r="O49" s="630" t="s">
        <v>341</v>
      </c>
    </row>
    <row r="50" spans="1:15" hidden="1" x14ac:dyDescent="0.25">
      <c r="A50" s="630" t="s">
        <v>336</v>
      </c>
      <c r="B50" s="629">
        <v>1.2</v>
      </c>
      <c r="C50" s="630"/>
      <c r="D50" s="630" t="s">
        <v>319</v>
      </c>
      <c r="E50" s="630" t="s">
        <v>319</v>
      </c>
      <c r="F50" s="630" t="s">
        <v>319</v>
      </c>
      <c r="G50" s="630" t="s">
        <v>324</v>
      </c>
      <c r="H50" s="601" t="s">
        <v>325</v>
      </c>
      <c r="I50" s="601" t="s">
        <v>365</v>
      </c>
      <c r="J50" s="630" t="s">
        <v>338</v>
      </c>
      <c r="K50" s="630" t="s">
        <v>339</v>
      </c>
      <c r="L50" s="630" t="s">
        <v>320</v>
      </c>
      <c r="M50" s="630" t="s">
        <v>321</v>
      </c>
      <c r="N50" s="630" t="s">
        <v>340</v>
      </c>
      <c r="O50" s="630" t="s">
        <v>341</v>
      </c>
    </row>
    <row r="51" spans="1:15" hidden="1" x14ac:dyDescent="0.25">
      <c r="A51" s="630" t="s">
        <v>336</v>
      </c>
      <c r="B51" s="629">
        <v>1.38</v>
      </c>
      <c r="C51" s="630"/>
      <c r="D51" s="630" t="s">
        <v>319</v>
      </c>
      <c r="E51" s="630" t="s">
        <v>319</v>
      </c>
      <c r="F51" s="630" t="s">
        <v>319</v>
      </c>
      <c r="G51" s="630" t="s">
        <v>324</v>
      </c>
      <c r="H51" s="601" t="s">
        <v>325</v>
      </c>
      <c r="I51" s="601" t="s">
        <v>366</v>
      </c>
      <c r="J51" s="630" t="s">
        <v>338</v>
      </c>
      <c r="K51" s="630" t="s">
        <v>339</v>
      </c>
      <c r="L51" s="630" t="s">
        <v>320</v>
      </c>
      <c r="M51" s="630" t="s">
        <v>321</v>
      </c>
      <c r="N51" s="630" t="s">
        <v>340</v>
      </c>
      <c r="O51" s="630" t="s">
        <v>341</v>
      </c>
    </row>
    <row r="52" spans="1:15" hidden="1" x14ac:dyDescent="0.25">
      <c r="A52" s="630" t="s">
        <v>336</v>
      </c>
      <c r="B52" s="629">
        <v>1.38</v>
      </c>
      <c r="C52" s="630"/>
      <c r="D52" s="630" t="s">
        <v>319</v>
      </c>
      <c r="E52" s="630" t="s">
        <v>319</v>
      </c>
      <c r="F52" s="630" t="s">
        <v>319</v>
      </c>
      <c r="G52" s="630" t="s">
        <v>324</v>
      </c>
      <c r="H52" s="601" t="s">
        <v>325</v>
      </c>
      <c r="I52" s="601" t="s">
        <v>367</v>
      </c>
      <c r="J52" s="630" t="s">
        <v>338</v>
      </c>
      <c r="K52" s="630" t="s">
        <v>339</v>
      </c>
      <c r="L52" s="630" t="s">
        <v>320</v>
      </c>
      <c r="M52" s="630" t="s">
        <v>321</v>
      </c>
      <c r="N52" s="630" t="s">
        <v>340</v>
      </c>
      <c r="O52" s="630" t="s">
        <v>341</v>
      </c>
    </row>
    <row r="53" spans="1:15" hidden="1" x14ac:dyDescent="0.25">
      <c r="A53" s="630" t="s">
        <v>336</v>
      </c>
      <c r="B53" s="629">
        <v>1.38</v>
      </c>
      <c r="C53" s="630"/>
      <c r="D53" s="630" t="s">
        <v>319</v>
      </c>
      <c r="E53" s="630" t="s">
        <v>319</v>
      </c>
      <c r="F53" s="630" t="s">
        <v>319</v>
      </c>
      <c r="G53" s="630" t="s">
        <v>324</v>
      </c>
      <c r="H53" s="601" t="s">
        <v>325</v>
      </c>
      <c r="I53" s="601" t="s">
        <v>368</v>
      </c>
      <c r="J53" s="630" t="s">
        <v>338</v>
      </c>
      <c r="K53" s="630" t="s">
        <v>339</v>
      </c>
      <c r="L53" s="630" t="s">
        <v>320</v>
      </c>
      <c r="M53" s="630" t="s">
        <v>321</v>
      </c>
      <c r="N53" s="630" t="s">
        <v>340</v>
      </c>
      <c r="O53" s="630" t="s">
        <v>341</v>
      </c>
    </row>
    <row r="54" spans="1:15" hidden="1" x14ac:dyDescent="0.25">
      <c r="A54" s="630" t="s">
        <v>336</v>
      </c>
      <c r="B54" s="629">
        <v>1.38</v>
      </c>
      <c r="C54" s="630"/>
      <c r="D54" s="630" t="s">
        <v>319</v>
      </c>
      <c r="E54" s="630" t="s">
        <v>319</v>
      </c>
      <c r="F54" s="630" t="s">
        <v>319</v>
      </c>
      <c r="G54" s="630" t="s">
        <v>324</v>
      </c>
      <c r="H54" s="601" t="s">
        <v>325</v>
      </c>
      <c r="I54" s="601" t="s">
        <v>369</v>
      </c>
      <c r="J54" s="630" t="s">
        <v>338</v>
      </c>
      <c r="K54" s="630" t="s">
        <v>339</v>
      </c>
      <c r="L54" s="630" t="s">
        <v>320</v>
      </c>
      <c r="M54" s="630" t="s">
        <v>321</v>
      </c>
      <c r="N54" s="630" t="s">
        <v>340</v>
      </c>
      <c r="O54" s="630" t="s">
        <v>341</v>
      </c>
    </row>
    <row r="55" spans="1:15" hidden="1" x14ac:dyDescent="0.25">
      <c r="A55" s="630" t="s">
        <v>336</v>
      </c>
      <c r="B55" s="629">
        <v>1.38</v>
      </c>
      <c r="C55" s="630"/>
      <c r="D55" s="630" t="s">
        <v>319</v>
      </c>
      <c r="E55" s="630" t="s">
        <v>319</v>
      </c>
      <c r="F55" s="630" t="s">
        <v>319</v>
      </c>
      <c r="G55" s="630" t="s">
        <v>324</v>
      </c>
      <c r="H55" s="601" t="s">
        <v>325</v>
      </c>
      <c r="I55" s="601" t="s">
        <v>370</v>
      </c>
      <c r="J55" s="630" t="s">
        <v>338</v>
      </c>
      <c r="K55" s="630" t="s">
        <v>339</v>
      </c>
      <c r="L55" s="630" t="s">
        <v>320</v>
      </c>
      <c r="M55" s="630" t="s">
        <v>321</v>
      </c>
      <c r="N55" s="630" t="s">
        <v>340</v>
      </c>
      <c r="O55" s="630" t="s">
        <v>341</v>
      </c>
    </row>
    <row r="56" spans="1:15" hidden="1" x14ac:dyDescent="0.25">
      <c r="A56" s="630" t="s">
        <v>336</v>
      </c>
      <c r="B56" s="629">
        <v>1.38</v>
      </c>
      <c r="C56" s="630"/>
      <c r="D56" s="630" t="s">
        <v>319</v>
      </c>
      <c r="E56" s="630" t="s">
        <v>319</v>
      </c>
      <c r="F56" s="630" t="s">
        <v>319</v>
      </c>
      <c r="G56" s="630" t="s">
        <v>324</v>
      </c>
      <c r="H56" s="601" t="s">
        <v>325</v>
      </c>
      <c r="I56" s="601" t="s">
        <v>371</v>
      </c>
      <c r="J56" s="630" t="s">
        <v>338</v>
      </c>
      <c r="K56" s="630" t="s">
        <v>339</v>
      </c>
      <c r="L56" s="630" t="s">
        <v>320</v>
      </c>
      <c r="M56" s="630" t="s">
        <v>321</v>
      </c>
      <c r="N56" s="630" t="s">
        <v>340</v>
      </c>
      <c r="O56" s="630" t="s">
        <v>341</v>
      </c>
    </row>
    <row r="57" spans="1:15" hidden="1" x14ac:dyDescent="0.25">
      <c r="A57" s="630" t="s">
        <v>336</v>
      </c>
      <c r="B57" s="629">
        <v>1.38</v>
      </c>
      <c r="C57" s="630"/>
      <c r="D57" s="630" t="s">
        <v>319</v>
      </c>
      <c r="E57" s="630" t="s">
        <v>319</v>
      </c>
      <c r="F57" s="630" t="s">
        <v>319</v>
      </c>
      <c r="G57" s="630" t="s">
        <v>324</v>
      </c>
      <c r="H57" s="601" t="s">
        <v>325</v>
      </c>
      <c r="I57" s="601" t="s">
        <v>372</v>
      </c>
      <c r="J57" s="630" t="s">
        <v>338</v>
      </c>
      <c r="K57" s="630" t="s">
        <v>339</v>
      </c>
      <c r="L57" s="630" t="s">
        <v>320</v>
      </c>
      <c r="M57" s="630" t="s">
        <v>321</v>
      </c>
      <c r="N57" s="630" t="s">
        <v>340</v>
      </c>
      <c r="O57" s="630" t="s">
        <v>341</v>
      </c>
    </row>
    <row r="58" spans="1:15" hidden="1" x14ac:dyDescent="0.25">
      <c r="A58" s="630" t="s">
        <v>336</v>
      </c>
      <c r="B58" s="629">
        <v>1.38</v>
      </c>
      <c r="C58" s="630"/>
      <c r="D58" s="630" t="s">
        <v>319</v>
      </c>
      <c r="E58" s="630" t="s">
        <v>319</v>
      </c>
      <c r="F58" s="630" t="s">
        <v>319</v>
      </c>
      <c r="G58" s="630" t="s">
        <v>324</v>
      </c>
      <c r="H58" s="601" t="s">
        <v>325</v>
      </c>
      <c r="I58" s="601" t="s">
        <v>373</v>
      </c>
      <c r="J58" s="630" t="s">
        <v>338</v>
      </c>
      <c r="K58" s="630" t="s">
        <v>339</v>
      </c>
      <c r="L58" s="630" t="s">
        <v>320</v>
      </c>
      <c r="M58" s="630" t="s">
        <v>321</v>
      </c>
      <c r="N58" s="630" t="s">
        <v>340</v>
      </c>
      <c r="O58" s="630" t="s">
        <v>341</v>
      </c>
    </row>
    <row r="59" spans="1:15" hidden="1" x14ac:dyDescent="0.25">
      <c r="A59" s="630" t="s">
        <v>336</v>
      </c>
      <c r="B59" s="629">
        <v>1.38</v>
      </c>
      <c r="C59" s="630"/>
      <c r="D59" s="630" t="s">
        <v>319</v>
      </c>
      <c r="E59" s="630" t="s">
        <v>319</v>
      </c>
      <c r="F59" s="630" t="s">
        <v>319</v>
      </c>
      <c r="G59" s="630" t="s">
        <v>324</v>
      </c>
      <c r="H59" s="601" t="s">
        <v>325</v>
      </c>
      <c r="I59" s="601" t="s">
        <v>374</v>
      </c>
      <c r="J59" s="630" t="s">
        <v>338</v>
      </c>
      <c r="K59" s="630" t="s">
        <v>339</v>
      </c>
      <c r="L59" s="630" t="s">
        <v>320</v>
      </c>
      <c r="M59" s="630" t="s">
        <v>321</v>
      </c>
      <c r="N59" s="630" t="s">
        <v>340</v>
      </c>
      <c r="O59" s="630" t="s">
        <v>341</v>
      </c>
    </row>
    <row r="60" spans="1:15" hidden="1" x14ac:dyDescent="0.25">
      <c r="A60" s="630" t="s">
        <v>336</v>
      </c>
      <c r="B60" s="629">
        <v>1.38</v>
      </c>
      <c r="C60" s="630"/>
      <c r="D60" s="630" t="s">
        <v>319</v>
      </c>
      <c r="E60" s="630" t="s">
        <v>319</v>
      </c>
      <c r="F60" s="630" t="s">
        <v>319</v>
      </c>
      <c r="G60" s="630" t="s">
        <v>324</v>
      </c>
      <c r="H60" s="601" t="s">
        <v>325</v>
      </c>
      <c r="I60" s="601" t="s">
        <v>375</v>
      </c>
      <c r="J60" s="630" t="s">
        <v>338</v>
      </c>
      <c r="K60" s="630" t="s">
        <v>339</v>
      </c>
      <c r="L60" s="630" t="s">
        <v>320</v>
      </c>
      <c r="M60" s="630" t="s">
        <v>321</v>
      </c>
      <c r="N60" s="630" t="s">
        <v>340</v>
      </c>
      <c r="O60" s="630" t="s">
        <v>341</v>
      </c>
    </row>
    <row r="61" spans="1:15" hidden="1" x14ac:dyDescent="0.25">
      <c r="A61" s="630" t="s">
        <v>336</v>
      </c>
      <c r="B61" s="629">
        <v>2.4</v>
      </c>
      <c r="C61" s="630"/>
      <c r="D61" s="630" t="s">
        <v>319</v>
      </c>
      <c r="E61" s="630" t="s">
        <v>319</v>
      </c>
      <c r="F61" s="630" t="s">
        <v>319</v>
      </c>
      <c r="G61" s="630" t="s">
        <v>324</v>
      </c>
      <c r="H61" s="601" t="s">
        <v>325</v>
      </c>
      <c r="I61" s="601" t="s">
        <v>376</v>
      </c>
      <c r="J61" s="630" t="s">
        <v>338</v>
      </c>
      <c r="K61" s="630" t="s">
        <v>339</v>
      </c>
      <c r="L61" s="630" t="s">
        <v>320</v>
      </c>
      <c r="M61" s="630" t="s">
        <v>321</v>
      </c>
      <c r="N61" s="630" t="s">
        <v>340</v>
      </c>
      <c r="O61" s="630" t="s">
        <v>341</v>
      </c>
    </row>
    <row r="62" spans="1:15" hidden="1" x14ac:dyDescent="0.25">
      <c r="A62" s="630" t="s">
        <v>336</v>
      </c>
      <c r="B62" s="629">
        <v>2.4</v>
      </c>
      <c r="C62" s="630"/>
      <c r="D62" s="630" t="s">
        <v>319</v>
      </c>
      <c r="E62" s="630" t="s">
        <v>319</v>
      </c>
      <c r="F62" s="630" t="s">
        <v>319</v>
      </c>
      <c r="G62" s="630" t="s">
        <v>324</v>
      </c>
      <c r="H62" s="601" t="s">
        <v>325</v>
      </c>
      <c r="I62" s="601" t="s">
        <v>377</v>
      </c>
      <c r="J62" s="630" t="s">
        <v>338</v>
      </c>
      <c r="K62" s="630" t="s">
        <v>339</v>
      </c>
      <c r="L62" s="630" t="s">
        <v>320</v>
      </c>
      <c r="M62" s="630" t="s">
        <v>321</v>
      </c>
      <c r="N62" s="630" t="s">
        <v>340</v>
      </c>
      <c r="O62" s="630" t="s">
        <v>341</v>
      </c>
    </row>
    <row r="63" spans="1:15" hidden="1" x14ac:dyDescent="0.25">
      <c r="A63" s="630" t="s">
        <v>336</v>
      </c>
      <c r="B63" s="629">
        <v>2.4</v>
      </c>
      <c r="C63" s="630"/>
      <c r="D63" s="630" t="s">
        <v>319</v>
      </c>
      <c r="E63" s="630" t="s">
        <v>319</v>
      </c>
      <c r="F63" s="630" t="s">
        <v>319</v>
      </c>
      <c r="G63" s="630" t="s">
        <v>324</v>
      </c>
      <c r="H63" s="601" t="s">
        <v>325</v>
      </c>
      <c r="I63" s="601" t="s">
        <v>378</v>
      </c>
      <c r="J63" s="630" t="s">
        <v>338</v>
      </c>
      <c r="K63" s="630" t="s">
        <v>339</v>
      </c>
      <c r="L63" s="630" t="s">
        <v>320</v>
      </c>
      <c r="M63" s="630" t="s">
        <v>321</v>
      </c>
      <c r="N63" s="630" t="s">
        <v>340</v>
      </c>
      <c r="O63" s="630" t="s">
        <v>341</v>
      </c>
    </row>
    <row r="64" spans="1:15" hidden="1" x14ac:dyDescent="0.25">
      <c r="A64" s="630" t="s">
        <v>336</v>
      </c>
      <c r="B64" s="629">
        <v>2.4</v>
      </c>
      <c r="C64" s="630"/>
      <c r="D64" s="630" t="s">
        <v>319</v>
      </c>
      <c r="E64" s="630" t="s">
        <v>319</v>
      </c>
      <c r="F64" s="630" t="s">
        <v>319</v>
      </c>
      <c r="G64" s="630" t="s">
        <v>324</v>
      </c>
      <c r="H64" s="601" t="s">
        <v>325</v>
      </c>
      <c r="I64" s="601" t="s">
        <v>379</v>
      </c>
      <c r="J64" s="630" t="s">
        <v>338</v>
      </c>
      <c r="K64" s="630" t="s">
        <v>339</v>
      </c>
      <c r="L64" s="630" t="s">
        <v>320</v>
      </c>
      <c r="M64" s="630" t="s">
        <v>321</v>
      </c>
      <c r="N64" s="630" t="s">
        <v>340</v>
      </c>
      <c r="O64" s="630" t="s">
        <v>341</v>
      </c>
    </row>
    <row r="65" spans="1:15" hidden="1" x14ac:dyDescent="0.25">
      <c r="A65" s="630" t="s">
        <v>336</v>
      </c>
      <c r="B65" s="629">
        <v>2.4</v>
      </c>
      <c r="C65" s="630"/>
      <c r="D65" s="630" t="s">
        <v>319</v>
      </c>
      <c r="E65" s="630" t="s">
        <v>319</v>
      </c>
      <c r="F65" s="630" t="s">
        <v>319</v>
      </c>
      <c r="G65" s="630" t="s">
        <v>324</v>
      </c>
      <c r="H65" s="601" t="s">
        <v>325</v>
      </c>
      <c r="I65" s="601" t="s">
        <v>380</v>
      </c>
      <c r="J65" s="630" t="s">
        <v>338</v>
      </c>
      <c r="K65" s="630" t="s">
        <v>339</v>
      </c>
      <c r="L65" s="630" t="s">
        <v>320</v>
      </c>
      <c r="M65" s="630" t="s">
        <v>321</v>
      </c>
      <c r="N65" s="630" t="s">
        <v>340</v>
      </c>
      <c r="O65" s="630" t="s">
        <v>341</v>
      </c>
    </row>
    <row r="66" spans="1:15" hidden="1" x14ac:dyDescent="0.25">
      <c r="A66" s="630" t="s">
        <v>336</v>
      </c>
      <c r="B66" s="629">
        <v>2.4</v>
      </c>
      <c r="C66" s="630"/>
      <c r="D66" s="630" t="s">
        <v>319</v>
      </c>
      <c r="E66" s="630" t="s">
        <v>319</v>
      </c>
      <c r="F66" s="630" t="s">
        <v>319</v>
      </c>
      <c r="G66" s="630" t="s">
        <v>324</v>
      </c>
      <c r="H66" s="601" t="s">
        <v>325</v>
      </c>
      <c r="I66" s="601" t="s">
        <v>381</v>
      </c>
      <c r="J66" s="630" t="s">
        <v>338</v>
      </c>
      <c r="K66" s="630" t="s">
        <v>339</v>
      </c>
      <c r="L66" s="630" t="s">
        <v>320</v>
      </c>
      <c r="M66" s="630" t="s">
        <v>321</v>
      </c>
      <c r="N66" s="630" t="s">
        <v>340</v>
      </c>
      <c r="O66" s="630" t="s">
        <v>341</v>
      </c>
    </row>
    <row r="67" spans="1:15" hidden="1" x14ac:dyDescent="0.25">
      <c r="A67" s="630" t="s">
        <v>336</v>
      </c>
      <c r="B67" s="629">
        <v>2.4</v>
      </c>
      <c r="C67" s="630"/>
      <c r="D67" s="630" t="s">
        <v>319</v>
      </c>
      <c r="E67" s="630" t="s">
        <v>319</v>
      </c>
      <c r="F67" s="630" t="s">
        <v>319</v>
      </c>
      <c r="G67" s="630" t="s">
        <v>324</v>
      </c>
      <c r="H67" s="601" t="s">
        <v>325</v>
      </c>
      <c r="I67" s="601" t="s">
        <v>382</v>
      </c>
      <c r="J67" s="630" t="s">
        <v>338</v>
      </c>
      <c r="K67" s="630" t="s">
        <v>339</v>
      </c>
      <c r="L67" s="630" t="s">
        <v>320</v>
      </c>
      <c r="M67" s="630" t="s">
        <v>321</v>
      </c>
      <c r="N67" s="630" t="s">
        <v>340</v>
      </c>
      <c r="O67" s="630" t="s">
        <v>341</v>
      </c>
    </row>
    <row r="68" spans="1:15" hidden="1" x14ac:dyDescent="0.25">
      <c r="A68" s="630" t="s">
        <v>336</v>
      </c>
      <c r="B68" s="629">
        <v>2.4</v>
      </c>
      <c r="C68" s="630"/>
      <c r="D68" s="630" t="s">
        <v>319</v>
      </c>
      <c r="E68" s="630" t="s">
        <v>319</v>
      </c>
      <c r="F68" s="630" t="s">
        <v>319</v>
      </c>
      <c r="G68" s="630" t="s">
        <v>324</v>
      </c>
      <c r="H68" s="601" t="s">
        <v>325</v>
      </c>
      <c r="I68" s="601" t="s">
        <v>383</v>
      </c>
      <c r="J68" s="630" t="s">
        <v>338</v>
      </c>
      <c r="K68" s="630" t="s">
        <v>339</v>
      </c>
      <c r="L68" s="630" t="s">
        <v>320</v>
      </c>
      <c r="M68" s="630" t="s">
        <v>321</v>
      </c>
      <c r="N68" s="630" t="s">
        <v>340</v>
      </c>
      <c r="O68" s="630" t="s">
        <v>341</v>
      </c>
    </row>
    <row r="69" spans="1:15" hidden="1" x14ac:dyDescent="0.25">
      <c r="A69" s="630" t="s">
        <v>336</v>
      </c>
      <c r="B69" s="629">
        <v>2.4</v>
      </c>
      <c r="C69" s="630"/>
      <c r="D69" s="630" t="s">
        <v>319</v>
      </c>
      <c r="E69" s="630" t="s">
        <v>319</v>
      </c>
      <c r="F69" s="630" t="s">
        <v>319</v>
      </c>
      <c r="G69" s="630" t="s">
        <v>324</v>
      </c>
      <c r="H69" s="601" t="s">
        <v>325</v>
      </c>
      <c r="I69" s="601" t="s">
        <v>384</v>
      </c>
      <c r="J69" s="630" t="s">
        <v>338</v>
      </c>
      <c r="K69" s="630" t="s">
        <v>339</v>
      </c>
      <c r="L69" s="630" t="s">
        <v>320</v>
      </c>
      <c r="M69" s="630" t="s">
        <v>321</v>
      </c>
      <c r="N69" s="630" t="s">
        <v>340</v>
      </c>
      <c r="O69" s="630" t="s">
        <v>341</v>
      </c>
    </row>
    <row r="70" spans="1:15" hidden="1" x14ac:dyDescent="0.25">
      <c r="A70" s="630" t="s">
        <v>336</v>
      </c>
      <c r="B70" s="629">
        <v>2.4</v>
      </c>
      <c r="C70" s="630"/>
      <c r="D70" s="630" t="s">
        <v>319</v>
      </c>
      <c r="E70" s="630" t="s">
        <v>319</v>
      </c>
      <c r="F70" s="630" t="s">
        <v>319</v>
      </c>
      <c r="G70" s="630" t="s">
        <v>324</v>
      </c>
      <c r="H70" s="601" t="s">
        <v>325</v>
      </c>
      <c r="I70" s="601" t="s">
        <v>385</v>
      </c>
      <c r="J70" s="630" t="s">
        <v>338</v>
      </c>
      <c r="K70" s="630" t="s">
        <v>339</v>
      </c>
      <c r="L70" s="630" t="s">
        <v>320</v>
      </c>
      <c r="M70" s="630" t="s">
        <v>321</v>
      </c>
      <c r="N70" s="630" t="s">
        <v>340</v>
      </c>
      <c r="O70" s="630" t="s">
        <v>341</v>
      </c>
    </row>
    <row r="71" spans="1:15" hidden="1" x14ac:dyDescent="0.25">
      <c r="A71" s="630" t="s">
        <v>336</v>
      </c>
      <c r="B71" s="629">
        <v>3</v>
      </c>
      <c r="C71" s="630"/>
      <c r="D71" s="630" t="s">
        <v>319</v>
      </c>
      <c r="E71" s="630" t="s">
        <v>319</v>
      </c>
      <c r="F71" s="630" t="s">
        <v>319</v>
      </c>
      <c r="G71" s="630" t="s">
        <v>324</v>
      </c>
      <c r="H71" s="601" t="s">
        <v>325</v>
      </c>
      <c r="I71" s="601" t="s">
        <v>386</v>
      </c>
      <c r="J71" s="630" t="s">
        <v>338</v>
      </c>
      <c r="K71" s="630" t="s">
        <v>339</v>
      </c>
      <c r="L71" s="630" t="s">
        <v>320</v>
      </c>
      <c r="M71" s="630" t="s">
        <v>321</v>
      </c>
      <c r="N71" s="630" t="s">
        <v>340</v>
      </c>
      <c r="O71" s="630" t="s">
        <v>341</v>
      </c>
    </row>
    <row r="72" spans="1:15" hidden="1" x14ac:dyDescent="0.25">
      <c r="A72" s="630" t="s">
        <v>336</v>
      </c>
      <c r="B72" s="629">
        <v>3</v>
      </c>
      <c r="C72" s="630"/>
      <c r="D72" s="630" t="s">
        <v>319</v>
      </c>
      <c r="E72" s="630" t="s">
        <v>319</v>
      </c>
      <c r="F72" s="630" t="s">
        <v>319</v>
      </c>
      <c r="G72" s="630" t="s">
        <v>324</v>
      </c>
      <c r="H72" s="601" t="s">
        <v>325</v>
      </c>
      <c r="I72" s="601" t="s">
        <v>387</v>
      </c>
      <c r="J72" s="630" t="s">
        <v>338</v>
      </c>
      <c r="K72" s="630" t="s">
        <v>339</v>
      </c>
      <c r="L72" s="630" t="s">
        <v>320</v>
      </c>
      <c r="M72" s="630" t="s">
        <v>321</v>
      </c>
      <c r="N72" s="630" t="s">
        <v>340</v>
      </c>
      <c r="O72" s="630" t="s">
        <v>341</v>
      </c>
    </row>
    <row r="73" spans="1:15" hidden="1" x14ac:dyDescent="0.25">
      <c r="A73" s="630" t="s">
        <v>336</v>
      </c>
      <c r="B73" s="629">
        <v>3</v>
      </c>
      <c r="C73" s="630"/>
      <c r="D73" s="630" t="s">
        <v>319</v>
      </c>
      <c r="E73" s="630" t="s">
        <v>319</v>
      </c>
      <c r="F73" s="630" t="s">
        <v>319</v>
      </c>
      <c r="G73" s="630" t="s">
        <v>324</v>
      </c>
      <c r="H73" s="601" t="s">
        <v>325</v>
      </c>
      <c r="I73" s="601" t="s">
        <v>388</v>
      </c>
      <c r="J73" s="630" t="s">
        <v>338</v>
      </c>
      <c r="K73" s="630" t="s">
        <v>339</v>
      </c>
      <c r="L73" s="630" t="s">
        <v>320</v>
      </c>
      <c r="M73" s="630" t="s">
        <v>321</v>
      </c>
      <c r="N73" s="630" t="s">
        <v>340</v>
      </c>
      <c r="O73" s="630" t="s">
        <v>341</v>
      </c>
    </row>
    <row r="74" spans="1:15" hidden="1" x14ac:dyDescent="0.25">
      <c r="A74" s="630" t="s">
        <v>336</v>
      </c>
      <c r="B74" s="629">
        <v>3</v>
      </c>
      <c r="C74" s="630"/>
      <c r="D74" s="630" t="s">
        <v>319</v>
      </c>
      <c r="E74" s="630" t="s">
        <v>319</v>
      </c>
      <c r="F74" s="630" t="s">
        <v>319</v>
      </c>
      <c r="G74" s="630" t="s">
        <v>324</v>
      </c>
      <c r="H74" s="601" t="s">
        <v>325</v>
      </c>
      <c r="I74" s="601" t="s">
        <v>389</v>
      </c>
      <c r="J74" s="630" t="s">
        <v>338</v>
      </c>
      <c r="K74" s="630" t="s">
        <v>339</v>
      </c>
      <c r="L74" s="630" t="s">
        <v>320</v>
      </c>
      <c r="M74" s="630" t="s">
        <v>321</v>
      </c>
      <c r="N74" s="630" t="s">
        <v>340</v>
      </c>
      <c r="O74" s="630" t="s">
        <v>341</v>
      </c>
    </row>
    <row r="75" spans="1:15" hidden="1" x14ac:dyDescent="0.25">
      <c r="A75" s="630" t="s">
        <v>336</v>
      </c>
      <c r="B75" s="629">
        <v>3</v>
      </c>
      <c r="C75" s="630"/>
      <c r="D75" s="630" t="s">
        <v>319</v>
      </c>
      <c r="E75" s="630" t="s">
        <v>319</v>
      </c>
      <c r="F75" s="630" t="s">
        <v>319</v>
      </c>
      <c r="G75" s="630" t="s">
        <v>324</v>
      </c>
      <c r="H75" s="601" t="s">
        <v>325</v>
      </c>
      <c r="I75" s="601" t="s">
        <v>390</v>
      </c>
      <c r="J75" s="630" t="s">
        <v>338</v>
      </c>
      <c r="K75" s="630" t="s">
        <v>339</v>
      </c>
      <c r="L75" s="630" t="s">
        <v>320</v>
      </c>
      <c r="M75" s="630" t="s">
        <v>321</v>
      </c>
      <c r="N75" s="630" t="s">
        <v>340</v>
      </c>
      <c r="O75" s="630" t="s">
        <v>341</v>
      </c>
    </row>
    <row r="76" spans="1:15" hidden="1" x14ac:dyDescent="0.25">
      <c r="A76" s="630" t="s">
        <v>336</v>
      </c>
      <c r="B76" s="629">
        <v>3</v>
      </c>
      <c r="C76" s="630"/>
      <c r="D76" s="630" t="s">
        <v>319</v>
      </c>
      <c r="E76" s="630" t="s">
        <v>319</v>
      </c>
      <c r="F76" s="630" t="s">
        <v>319</v>
      </c>
      <c r="G76" s="630" t="s">
        <v>324</v>
      </c>
      <c r="H76" s="601" t="s">
        <v>325</v>
      </c>
      <c r="I76" s="601" t="s">
        <v>391</v>
      </c>
      <c r="J76" s="630" t="s">
        <v>338</v>
      </c>
      <c r="K76" s="630" t="s">
        <v>339</v>
      </c>
      <c r="L76" s="630" t="s">
        <v>320</v>
      </c>
      <c r="M76" s="630" t="s">
        <v>321</v>
      </c>
      <c r="N76" s="630" t="s">
        <v>340</v>
      </c>
      <c r="O76" s="630" t="s">
        <v>341</v>
      </c>
    </row>
    <row r="77" spans="1:15" hidden="1" x14ac:dyDescent="0.25">
      <c r="A77" s="630" t="s">
        <v>336</v>
      </c>
      <c r="B77" s="629">
        <v>3</v>
      </c>
      <c r="C77" s="630"/>
      <c r="D77" s="630" t="s">
        <v>319</v>
      </c>
      <c r="E77" s="630" t="s">
        <v>319</v>
      </c>
      <c r="F77" s="630" t="s">
        <v>319</v>
      </c>
      <c r="G77" s="630" t="s">
        <v>324</v>
      </c>
      <c r="H77" s="601" t="s">
        <v>325</v>
      </c>
      <c r="I77" s="601" t="s">
        <v>392</v>
      </c>
      <c r="J77" s="630" t="s">
        <v>338</v>
      </c>
      <c r="K77" s="630" t="s">
        <v>339</v>
      </c>
      <c r="L77" s="630" t="s">
        <v>320</v>
      </c>
      <c r="M77" s="630" t="s">
        <v>321</v>
      </c>
      <c r="N77" s="630" t="s">
        <v>340</v>
      </c>
      <c r="O77" s="630" t="s">
        <v>341</v>
      </c>
    </row>
    <row r="78" spans="1:15" hidden="1" x14ac:dyDescent="0.25">
      <c r="A78" s="630" t="s">
        <v>336</v>
      </c>
      <c r="B78" s="629">
        <v>3</v>
      </c>
      <c r="C78" s="630"/>
      <c r="D78" s="630" t="s">
        <v>319</v>
      </c>
      <c r="E78" s="630" t="s">
        <v>319</v>
      </c>
      <c r="F78" s="630" t="s">
        <v>319</v>
      </c>
      <c r="G78" s="630" t="s">
        <v>324</v>
      </c>
      <c r="H78" s="601" t="s">
        <v>325</v>
      </c>
      <c r="I78" s="601" t="s">
        <v>393</v>
      </c>
      <c r="J78" s="630" t="s">
        <v>338</v>
      </c>
      <c r="K78" s="630" t="s">
        <v>339</v>
      </c>
      <c r="L78" s="630" t="s">
        <v>320</v>
      </c>
      <c r="M78" s="630" t="s">
        <v>321</v>
      </c>
      <c r="N78" s="630" t="s">
        <v>340</v>
      </c>
      <c r="O78" s="630" t="s">
        <v>341</v>
      </c>
    </row>
    <row r="79" spans="1:15" hidden="1" x14ac:dyDescent="0.25">
      <c r="A79" s="630" t="s">
        <v>336</v>
      </c>
      <c r="B79" s="629">
        <v>3</v>
      </c>
      <c r="C79" s="630"/>
      <c r="D79" s="630" t="s">
        <v>319</v>
      </c>
      <c r="E79" s="630" t="s">
        <v>319</v>
      </c>
      <c r="F79" s="630" t="s">
        <v>319</v>
      </c>
      <c r="G79" s="630" t="s">
        <v>324</v>
      </c>
      <c r="H79" s="601" t="s">
        <v>325</v>
      </c>
      <c r="I79" s="601" t="s">
        <v>394</v>
      </c>
      <c r="J79" s="630" t="s">
        <v>338</v>
      </c>
      <c r="K79" s="630" t="s">
        <v>339</v>
      </c>
      <c r="L79" s="630" t="s">
        <v>320</v>
      </c>
      <c r="M79" s="630" t="s">
        <v>321</v>
      </c>
      <c r="N79" s="630" t="s">
        <v>340</v>
      </c>
      <c r="O79" s="630" t="s">
        <v>341</v>
      </c>
    </row>
    <row r="80" spans="1:15" hidden="1" x14ac:dyDescent="0.25">
      <c r="A80" s="630" t="s">
        <v>336</v>
      </c>
      <c r="B80" s="629">
        <v>3</v>
      </c>
      <c r="C80" s="630"/>
      <c r="D80" s="630" t="s">
        <v>319</v>
      </c>
      <c r="E80" s="630" t="s">
        <v>319</v>
      </c>
      <c r="F80" s="630" t="s">
        <v>319</v>
      </c>
      <c r="G80" s="630" t="s">
        <v>324</v>
      </c>
      <c r="H80" s="601" t="s">
        <v>325</v>
      </c>
      <c r="I80" s="601" t="s">
        <v>395</v>
      </c>
      <c r="J80" s="630" t="s">
        <v>338</v>
      </c>
      <c r="K80" s="630" t="s">
        <v>339</v>
      </c>
      <c r="L80" s="630" t="s">
        <v>320</v>
      </c>
      <c r="M80" s="630" t="s">
        <v>321</v>
      </c>
      <c r="N80" s="630" t="s">
        <v>340</v>
      </c>
      <c r="O80" s="630" t="s">
        <v>341</v>
      </c>
    </row>
    <row r="81" spans="1:15" hidden="1" x14ac:dyDescent="0.25">
      <c r="A81" s="630" t="s">
        <v>336</v>
      </c>
      <c r="B81" s="629">
        <v>3</v>
      </c>
      <c r="C81" s="630"/>
      <c r="D81" s="630" t="s">
        <v>319</v>
      </c>
      <c r="E81" s="630" t="s">
        <v>319</v>
      </c>
      <c r="F81" s="630" t="s">
        <v>319</v>
      </c>
      <c r="G81" s="630" t="s">
        <v>324</v>
      </c>
      <c r="H81" s="601" t="s">
        <v>325</v>
      </c>
      <c r="I81" s="601" t="s">
        <v>396</v>
      </c>
      <c r="J81" s="630" t="s">
        <v>338</v>
      </c>
      <c r="K81" s="630" t="s">
        <v>339</v>
      </c>
      <c r="L81" s="630" t="s">
        <v>320</v>
      </c>
      <c r="M81" s="630" t="s">
        <v>321</v>
      </c>
      <c r="N81" s="630" t="s">
        <v>340</v>
      </c>
      <c r="O81" s="630" t="s">
        <v>341</v>
      </c>
    </row>
    <row r="82" spans="1:15" hidden="1" x14ac:dyDescent="0.25">
      <c r="A82" s="630" t="s">
        <v>336</v>
      </c>
      <c r="B82" s="629">
        <v>3</v>
      </c>
      <c r="C82" s="630"/>
      <c r="D82" s="630" t="s">
        <v>319</v>
      </c>
      <c r="E82" s="630" t="s">
        <v>319</v>
      </c>
      <c r="F82" s="630" t="s">
        <v>319</v>
      </c>
      <c r="G82" s="630" t="s">
        <v>324</v>
      </c>
      <c r="H82" s="601" t="s">
        <v>325</v>
      </c>
      <c r="I82" s="601" t="s">
        <v>397</v>
      </c>
      <c r="J82" s="630" t="s">
        <v>338</v>
      </c>
      <c r="K82" s="630" t="s">
        <v>339</v>
      </c>
      <c r="L82" s="630" t="s">
        <v>320</v>
      </c>
      <c r="M82" s="630" t="s">
        <v>321</v>
      </c>
      <c r="N82" s="630" t="s">
        <v>340</v>
      </c>
      <c r="O82" s="630" t="s">
        <v>341</v>
      </c>
    </row>
    <row r="83" spans="1:15" hidden="1" x14ac:dyDescent="0.25">
      <c r="A83" s="630" t="s">
        <v>336</v>
      </c>
      <c r="B83" s="629">
        <v>3</v>
      </c>
      <c r="C83" s="630"/>
      <c r="D83" s="630" t="s">
        <v>319</v>
      </c>
      <c r="E83" s="630" t="s">
        <v>319</v>
      </c>
      <c r="F83" s="630" t="s">
        <v>319</v>
      </c>
      <c r="G83" s="630" t="s">
        <v>324</v>
      </c>
      <c r="H83" s="601" t="s">
        <v>325</v>
      </c>
      <c r="I83" s="601" t="s">
        <v>398</v>
      </c>
      <c r="J83" s="630" t="s">
        <v>338</v>
      </c>
      <c r="K83" s="630" t="s">
        <v>339</v>
      </c>
      <c r="L83" s="630" t="s">
        <v>320</v>
      </c>
      <c r="M83" s="630" t="s">
        <v>321</v>
      </c>
      <c r="N83" s="630" t="s">
        <v>340</v>
      </c>
      <c r="O83" s="630" t="s">
        <v>341</v>
      </c>
    </row>
    <row r="84" spans="1:15" hidden="1" x14ac:dyDescent="0.25">
      <c r="A84" s="630" t="s">
        <v>336</v>
      </c>
      <c r="B84" s="629">
        <v>3</v>
      </c>
      <c r="C84" s="630"/>
      <c r="D84" s="630" t="s">
        <v>319</v>
      </c>
      <c r="E84" s="630" t="s">
        <v>319</v>
      </c>
      <c r="F84" s="630" t="s">
        <v>319</v>
      </c>
      <c r="G84" s="630" t="s">
        <v>324</v>
      </c>
      <c r="H84" s="601" t="s">
        <v>325</v>
      </c>
      <c r="I84" s="601" t="s">
        <v>399</v>
      </c>
      <c r="J84" s="630" t="s">
        <v>338</v>
      </c>
      <c r="K84" s="630" t="s">
        <v>339</v>
      </c>
      <c r="L84" s="630" t="s">
        <v>320</v>
      </c>
      <c r="M84" s="630" t="s">
        <v>321</v>
      </c>
      <c r="N84" s="630" t="s">
        <v>340</v>
      </c>
      <c r="O84" s="630" t="s">
        <v>341</v>
      </c>
    </row>
    <row r="85" spans="1:15" hidden="1" x14ac:dyDescent="0.25">
      <c r="A85" s="630" t="s">
        <v>336</v>
      </c>
      <c r="B85" s="629">
        <v>3</v>
      </c>
      <c r="C85" s="630"/>
      <c r="D85" s="630" t="s">
        <v>319</v>
      </c>
      <c r="E85" s="630" t="s">
        <v>319</v>
      </c>
      <c r="F85" s="630" t="s">
        <v>319</v>
      </c>
      <c r="G85" s="630" t="s">
        <v>324</v>
      </c>
      <c r="H85" s="601" t="s">
        <v>325</v>
      </c>
      <c r="I85" s="601" t="s">
        <v>400</v>
      </c>
      <c r="J85" s="630" t="s">
        <v>338</v>
      </c>
      <c r="K85" s="630" t="s">
        <v>339</v>
      </c>
      <c r="L85" s="630" t="s">
        <v>320</v>
      </c>
      <c r="M85" s="630" t="s">
        <v>321</v>
      </c>
      <c r="N85" s="630" t="s">
        <v>340</v>
      </c>
      <c r="O85" s="630" t="s">
        <v>341</v>
      </c>
    </row>
    <row r="86" spans="1:15" hidden="1" x14ac:dyDescent="0.25">
      <c r="A86" s="630" t="s">
        <v>336</v>
      </c>
      <c r="B86" s="629">
        <v>3</v>
      </c>
      <c r="C86" s="630"/>
      <c r="D86" s="630" t="s">
        <v>319</v>
      </c>
      <c r="E86" s="630" t="s">
        <v>319</v>
      </c>
      <c r="F86" s="630" t="s">
        <v>319</v>
      </c>
      <c r="G86" s="630" t="s">
        <v>324</v>
      </c>
      <c r="H86" s="601" t="s">
        <v>325</v>
      </c>
      <c r="I86" s="601" t="s">
        <v>401</v>
      </c>
      <c r="J86" s="630" t="s">
        <v>338</v>
      </c>
      <c r="K86" s="630" t="s">
        <v>339</v>
      </c>
      <c r="L86" s="630" t="s">
        <v>320</v>
      </c>
      <c r="M86" s="630" t="s">
        <v>321</v>
      </c>
      <c r="N86" s="630" t="s">
        <v>340</v>
      </c>
      <c r="O86" s="630" t="s">
        <v>341</v>
      </c>
    </row>
    <row r="87" spans="1:15" hidden="1" x14ac:dyDescent="0.25">
      <c r="A87" s="630" t="s">
        <v>336</v>
      </c>
      <c r="B87" s="629">
        <v>3</v>
      </c>
      <c r="C87" s="630"/>
      <c r="D87" s="630" t="s">
        <v>319</v>
      </c>
      <c r="E87" s="630" t="s">
        <v>319</v>
      </c>
      <c r="F87" s="630" t="s">
        <v>319</v>
      </c>
      <c r="G87" s="630" t="s">
        <v>324</v>
      </c>
      <c r="H87" s="601" t="s">
        <v>325</v>
      </c>
      <c r="I87" s="601" t="s">
        <v>402</v>
      </c>
      <c r="J87" s="630" t="s">
        <v>338</v>
      </c>
      <c r="K87" s="630" t="s">
        <v>339</v>
      </c>
      <c r="L87" s="630" t="s">
        <v>320</v>
      </c>
      <c r="M87" s="630" t="s">
        <v>321</v>
      </c>
      <c r="N87" s="630" t="s">
        <v>340</v>
      </c>
      <c r="O87" s="630" t="s">
        <v>341</v>
      </c>
    </row>
    <row r="88" spans="1:15" hidden="1" x14ac:dyDescent="0.25">
      <c r="A88" s="630" t="s">
        <v>336</v>
      </c>
      <c r="B88" s="629">
        <v>3</v>
      </c>
      <c r="C88" s="630"/>
      <c r="D88" s="630" t="s">
        <v>319</v>
      </c>
      <c r="E88" s="630" t="s">
        <v>319</v>
      </c>
      <c r="F88" s="630" t="s">
        <v>319</v>
      </c>
      <c r="G88" s="630" t="s">
        <v>324</v>
      </c>
      <c r="H88" s="601" t="s">
        <v>325</v>
      </c>
      <c r="I88" s="601" t="s">
        <v>403</v>
      </c>
      <c r="J88" s="630" t="s">
        <v>338</v>
      </c>
      <c r="K88" s="630" t="s">
        <v>339</v>
      </c>
      <c r="L88" s="630" t="s">
        <v>320</v>
      </c>
      <c r="M88" s="630" t="s">
        <v>321</v>
      </c>
      <c r="N88" s="630" t="s">
        <v>340</v>
      </c>
      <c r="O88" s="630" t="s">
        <v>341</v>
      </c>
    </row>
    <row r="89" spans="1:15" hidden="1" x14ac:dyDescent="0.25">
      <c r="A89" s="630" t="s">
        <v>336</v>
      </c>
      <c r="B89" s="629">
        <v>3</v>
      </c>
      <c r="C89" s="630"/>
      <c r="D89" s="630" t="s">
        <v>319</v>
      </c>
      <c r="E89" s="630" t="s">
        <v>319</v>
      </c>
      <c r="F89" s="630" t="s">
        <v>319</v>
      </c>
      <c r="G89" s="630" t="s">
        <v>324</v>
      </c>
      <c r="H89" s="601" t="s">
        <v>325</v>
      </c>
      <c r="I89" s="601" t="s">
        <v>404</v>
      </c>
      <c r="J89" s="630" t="s">
        <v>338</v>
      </c>
      <c r="K89" s="630" t="s">
        <v>339</v>
      </c>
      <c r="L89" s="630" t="s">
        <v>320</v>
      </c>
      <c r="M89" s="630" t="s">
        <v>321</v>
      </c>
      <c r="N89" s="630" t="s">
        <v>340</v>
      </c>
      <c r="O89" s="630" t="s">
        <v>341</v>
      </c>
    </row>
    <row r="90" spans="1:15" hidden="1" x14ac:dyDescent="0.25">
      <c r="A90" s="630" t="s">
        <v>336</v>
      </c>
      <c r="B90" s="629">
        <v>3</v>
      </c>
      <c r="C90" s="630"/>
      <c r="D90" s="630" t="s">
        <v>319</v>
      </c>
      <c r="E90" s="630" t="s">
        <v>319</v>
      </c>
      <c r="F90" s="630" t="s">
        <v>319</v>
      </c>
      <c r="G90" s="630" t="s">
        <v>324</v>
      </c>
      <c r="H90" s="601" t="s">
        <v>325</v>
      </c>
      <c r="I90" s="601" t="s">
        <v>405</v>
      </c>
      <c r="J90" s="630" t="s">
        <v>338</v>
      </c>
      <c r="K90" s="630" t="s">
        <v>339</v>
      </c>
      <c r="L90" s="630" t="s">
        <v>320</v>
      </c>
      <c r="M90" s="630" t="s">
        <v>321</v>
      </c>
      <c r="N90" s="630" t="s">
        <v>340</v>
      </c>
      <c r="O90" s="630" t="s">
        <v>341</v>
      </c>
    </row>
    <row r="91" spans="1:15" hidden="1" x14ac:dyDescent="0.25">
      <c r="A91" s="630" t="s">
        <v>336</v>
      </c>
      <c r="B91" s="629">
        <v>3</v>
      </c>
      <c r="C91" s="630"/>
      <c r="D91" s="630" t="s">
        <v>319</v>
      </c>
      <c r="E91" s="630" t="s">
        <v>319</v>
      </c>
      <c r="F91" s="630" t="s">
        <v>319</v>
      </c>
      <c r="G91" s="630" t="s">
        <v>324</v>
      </c>
      <c r="H91" s="601" t="s">
        <v>325</v>
      </c>
      <c r="I91" s="601" t="s">
        <v>406</v>
      </c>
      <c r="J91" s="630" t="s">
        <v>338</v>
      </c>
      <c r="K91" s="630" t="s">
        <v>339</v>
      </c>
      <c r="L91" s="630" t="s">
        <v>320</v>
      </c>
      <c r="M91" s="630" t="s">
        <v>321</v>
      </c>
      <c r="N91" s="630" t="s">
        <v>340</v>
      </c>
      <c r="O91" s="630" t="s">
        <v>341</v>
      </c>
    </row>
    <row r="92" spans="1:15" hidden="1" x14ac:dyDescent="0.25">
      <c r="A92" s="630" t="s">
        <v>336</v>
      </c>
      <c r="B92" s="629">
        <v>3</v>
      </c>
      <c r="C92" s="630"/>
      <c r="D92" s="630" t="s">
        <v>319</v>
      </c>
      <c r="E92" s="630" t="s">
        <v>319</v>
      </c>
      <c r="F92" s="630" t="s">
        <v>319</v>
      </c>
      <c r="G92" s="630" t="s">
        <v>324</v>
      </c>
      <c r="H92" s="601" t="s">
        <v>325</v>
      </c>
      <c r="I92" s="601" t="s">
        <v>407</v>
      </c>
      <c r="J92" s="630" t="s">
        <v>338</v>
      </c>
      <c r="K92" s="630" t="s">
        <v>339</v>
      </c>
      <c r="L92" s="630" t="s">
        <v>320</v>
      </c>
      <c r="M92" s="630" t="s">
        <v>321</v>
      </c>
      <c r="N92" s="630" t="s">
        <v>340</v>
      </c>
      <c r="O92" s="630" t="s">
        <v>341</v>
      </c>
    </row>
    <row r="93" spans="1:15" hidden="1" x14ac:dyDescent="0.25">
      <c r="A93" s="630" t="s">
        <v>336</v>
      </c>
      <c r="B93" s="629">
        <v>3</v>
      </c>
      <c r="C93" s="630"/>
      <c r="D93" s="630" t="s">
        <v>319</v>
      </c>
      <c r="E93" s="630" t="s">
        <v>319</v>
      </c>
      <c r="F93" s="630" t="s">
        <v>319</v>
      </c>
      <c r="G93" s="630" t="s">
        <v>324</v>
      </c>
      <c r="H93" s="601" t="s">
        <v>325</v>
      </c>
      <c r="I93" s="601" t="s">
        <v>408</v>
      </c>
      <c r="J93" s="630" t="s">
        <v>338</v>
      </c>
      <c r="K93" s="630" t="s">
        <v>339</v>
      </c>
      <c r="L93" s="630" t="s">
        <v>320</v>
      </c>
      <c r="M93" s="630" t="s">
        <v>321</v>
      </c>
      <c r="N93" s="630" t="s">
        <v>340</v>
      </c>
      <c r="O93" s="630" t="s">
        <v>341</v>
      </c>
    </row>
    <row r="94" spans="1:15" hidden="1" x14ac:dyDescent="0.25">
      <c r="A94" s="630" t="s">
        <v>336</v>
      </c>
      <c r="B94" s="629">
        <v>3</v>
      </c>
      <c r="C94" s="630"/>
      <c r="D94" s="630" t="s">
        <v>319</v>
      </c>
      <c r="E94" s="630" t="s">
        <v>319</v>
      </c>
      <c r="F94" s="630" t="s">
        <v>319</v>
      </c>
      <c r="G94" s="630" t="s">
        <v>324</v>
      </c>
      <c r="H94" s="601" t="s">
        <v>325</v>
      </c>
      <c r="I94" s="601" t="s">
        <v>409</v>
      </c>
      <c r="J94" s="630" t="s">
        <v>338</v>
      </c>
      <c r="K94" s="630" t="s">
        <v>339</v>
      </c>
      <c r="L94" s="630" t="s">
        <v>320</v>
      </c>
      <c r="M94" s="630" t="s">
        <v>321</v>
      </c>
      <c r="N94" s="630" t="s">
        <v>340</v>
      </c>
      <c r="O94" s="630" t="s">
        <v>341</v>
      </c>
    </row>
    <row r="95" spans="1:15" hidden="1" x14ac:dyDescent="0.25">
      <c r="A95" s="630" t="s">
        <v>336</v>
      </c>
      <c r="B95" s="629">
        <v>3</v>
      </c>
      <c r="C95" s="630"/>
      <c r="D95" s="630" t="s">
        <v>319</v>
      </c>
      <c r="E95" s="630" t="s">
        <v>319</v>
      </c>
      <c r="F95" s="630" t="s">
        <v>319</v>
      </c>
      <c r="G95" s="630" t="s">
        <v>324</v>
      </c>
      <c r="H95" s="601" t="s">
        <v>325</v>
      </c>
      <c r="I95" s="601" t="s">
        <v>410</v>
      </c>
      <c r="J95" s="630" t="s">
        <v>338</v>
      </c>
      <c r="K95" s="630" t="s">
        <v>339</v>
      </c>
      <c r="L95" s="630" t="s">
        <v>320</v>
      </c>
      <c r="M95" s="630" t="s">
        <v>321</v>
      </c>
      <c r="N95" s="630" t="s">
        <v>340</v>
      </c>
      <c r="O95" s="630" t="s">
        <v>341</v>
      </c>
    </row>
    <row r="96" spans="1:15" hidden="1" x14ac:dyDescent="0.25">
      <c r="A96" s="630" t="s">
        <v>336</v>
      </c>
      <c r="B96" s="629">
        <v>3</v>
      </c>
      <c r="C96" s="630"/>
      <c r="D96" s="630" t="s">
        <v>319</v>
      </c>
      <c r="E96" s="630" t="s">
        <v>319</v>
      </c>
      <c r="F96" s="630" t="s">
        <v>319</v>
      </c>
      <c r="G96" s="630" t="s">
        <v>324</v>
      </c>
      <c r="H96" s="601" t="s">
        <v>325</v>
      </c>
      <c r="I96" s="601" t="s">
        <v>411</v>
      </c>
      <c r="J96" s="630" t="s">
        <v>338</v>
      </c>
      <c r="K96" s="630" t="s">
        <v>339</v>
      </c>
      <c r="L96" s="630" t="s">
        <v>320</v>
      </c>
      <c r="M96" s="630" t="s">
        <v>321</v>
      </c>
      <c r="N96" s="630" t="s">
        <v>340</v>
      </c>
      <c r="O96" s="630" t="s">
        <v>341</v>
      </c>
    </row>
    <row r="97" spans="1:15" hidden="1" x14ac:dyDescent="0.25">
      <c r="A97" s="630" t="s">
        <v>336</v>
      </c>
      <c r="B97" s="629">
        <v>3</v>
      </c>
      <c r="C97" s="630"/>
      <c r="D97" s="630" t="s">
        <v>319</v>
      </c>
      <c r="E97" s="630" t="s">
        <v>319</v>
      </c>
      <c r="F97" s="630" t="s">
        <v>319</v>
      </c>
      <c r="G97" s="630" t="s">
        <v>324</v>
      </c>
      <c r="H97" s="601" t="s">
        <v>325</v>
      </c>
      <c r="I97" s="601" t="s">
        <v>412</v>
      </c>
      <c r="J97" s="630" t="s">
        <v>338</v>
      </c>
      <c r="K97" s="630" t="s">
        <v>339</v>
      </c>
      <c r="L97" s="630" t="s">
        <v>320</v>
      </c>
      <c r="M97" s="630" t="s">
        <v>321</v>
      </c>
      <c r="N97" s="630" t="s">
        <v>340</v>
      </c>
      <c r="O97" s="630" t="s">
        <v>341</v>
      </c>
    </row>
    <row r="98" spans="1:15" hidden="1" x14ac:dyDescent="0.25">
      <c r="A98" s="630" t="s">
        <v>336</v>
      </c>
      <c r="B98" s="629">
        <v>3</v>
      </c>
      <c r="C98" s="630"/>
      <c r="D98" s="630" t="s">
        <v>319</v>
      </c>
      <c r="E98" s="630" t="s">
        <v>319</v>
      </c>
      <c r="F98" s="630" t="s">
        <v>319</v>
      </c>
      <c r="G98" s="630" t="s">
        <v>324</v>
      </c>
      <c r="H98" s="601" t="s">
        <v>325</v>
      </c>
      <c r="I98" s="601" t="s">
        <v>413</v>
      </c>
      <c r="J98" s="630" t="s">
        <v>338</v>
      </c>
      <c r="K98" s="630" t="s">
        <v>339</v>
      </c>
      <c r="L98" s="630" t="s">
        <v>320</v>
      </c>
      <c r="M98" s="630" t="s">
        <v>321</v>
      </c>
      <c r="N98" s="630" t="s">
        <v>340</v>
      </c>
      <c r="O98" s="630" t="s">
        <v>341</v>
      </c>
    </row>
    <row r="99" spans="1:15" hidden="1" x14ac:dyDescent="0.25">
      <c r="A99" s="630" t="s">
        <v>336</v>
      </c>
      <c r="B99" s="629">
        <v>3</v>
      </c>
      <c r="C99" s="630"/>
      <c r="D99" s="630" t="s">
        <v>319</v>
      </c>
      <c r="E99" s="630" t="s">
        <v>319</v>
      </c>
      <c r="F99" s="630" t="s">
        <v>319</v>
      </c>
      <c r="G99" s="630" t="s">
        <v>324</v>
      </c>
      <c r="H99" s="601" t="s">
        <v>325</v>
      </c>
      <c r="I99" s="601" t="s">
        <v>414</v>
      </c>
      <c r="J99" s="630" t="s">
        <v>338</v>
      </c>
      <c r="K99" s="630" t="s">
        <v>339</v>
      </c>
      <c r="L99" s="630" t="s">
        <v>320</v>
      </c>
      <c r="M99" s="630" t="s">
        <v>321</v>
      </c>
      <c r="N99" s="630" t="s">
        <v>340</v>
      </c>
      <c r="O99" s="630" t="s">
        <v>341</v>
      </c>
    </row>
    <row r="100" spans="1:15" hidden="1" x14ac:dyDescent="0.25">
      <c r="A100" s="630" t="s">
        <v>336</v>
      </c>
      <c r="B100" s="629">
        <v>3</v>
      </c>
      <c r="C100" s="630"/>
      <c r="D100" s="630" t="s">
        <v>319</v>
      </c>
      <c r="E100" s="630" t="s">
        <v>319</v>
      </c>
      <c r="F100" s="630" t="s">
        <v>319</v>
      </c>
      <c r="G100" s="630" t="s">
        <v>324</v>
      </c>
      <c r="H100" s="601" t="s">
        <v>325</v>
      </c>
      <c r="I100" s="601" t="s">
        <v>415</v>
      </c>
      <c r="J100" s="630" t="s">
        <v>338</v>
      </c>
      <c r="K100" s="630" t="s">
        <v>339</v>
      </c>
      <c r="L100" s="630" t="s">
        <v>320</v>
      </c>
      <c r="M100" s="630" t="s">
        <v>321</v>
      </c>
      <c r="N100" s="630" t="s">
        <v>340</v>
      </c>
      <c r="O100" s="630" t="s">
        <v>341</v>
      </c>
    </row>
    <row r="101" spans="1:15" hidden="1" x14ac:dyDescent="0.25">
      <c r="A101" s="630" t="s">
        <v>336</v>
      </c>
      <c r="B101" s="629">
        <v>3</v>
      </c>
      <c r="C101" s="630"/>
      <c r="D101" s="630" t="s">
        <v>319</v>
      </c>
      <c r="E101" s="630" t="s">
        <v>319</v>
      </c>
      <c r="F101" s="630" t="s">
        <v>319</v>
      </c>
      <c r="G101" s="630" t="s">
        <v>324</v>
      </c>
      <c r="H101" s="601" t="s">
        <v>325</v>
      </c>
      <c r="I101" s="601" t="s">
        <v>416</v>
      </c>
      <c r="J101" s="630" t="s">
        <v>338</v>
      </c>
      <c r="K101" s="630" t="s">
        <v>339</v>
      </c>
      <c r="L101" s="630" t="s">
        <v>320</v>
      </c>
      <c r="M101" s="630" t="s">
        <v>321</v>
      </c>
      <c r="N101" s="630" t="s">
        <v>340</v>
      </c>
      <c r="O101" s="630" t="s">
        <v>341</v>
      </c>
    </row>
    <row r="102" spans="1:15" hidden="1" x14ac:dyDescent="0.25">
      <c r="A102" s="630" t="s">
        <v>336</v>
      </c>
      <c r="B102" s="629">
        <v>0.85</v>
      </c>
      <c r="C102" s="630"/>
      <c r="D102" s="630" t="s">
        <v>319</v>
      </c>
      <c r="E102" s="630" t="s">
        <v>319</v>
      </c>
      <c r="F102" s="630" t="s">
        <v>319</v>
      </c>
      <c r="G102" s="630" t="s">
        <v>324</v>
      </c>
      <c r="H102" s="601" t="s">
        <v>325</v>
      </c>
      <c r="I102" s="601" t="s">
        <v>337</v>
      </c>
      <c r="J102" s="630" t="s">
        <v>338</v>
      </c>
      <c r="K102" s="630" t="s">
        <v>339</v>
      </c>
      <c r="L102" s="630" t="b">
        <v>0</v>
      </c>
      <c r="M102" s="630" t="s">
        <v>321</v>
      </c>
      <c r="N102" s="630" t="s">
        <v>340</v>
      </c>
      <c r="O102" s="630" t="s">
        <v>341</v>
      </c>
    </row>
    <row r="103" spans="1:15" hidden="1" x14ac:dyDescent="0.25">
      <c r="A103" s="630" t="s">
        <v>336</v>
      </c>
      <c r="B103" s="629">
        <v>0.85</v>
      </c>
      <c r="C103" s="630"/>
      <c r="D103" s="630" t="s">
        <v>319</v>
      </c>
      <c r="E103" s="630" t="s">
        <v>319</v>
      </c>
      <c r="F103" s="630" t="s">
        <v>319</v>
      </c>
      <c r="G103" s="630" t="s">
        <v>324</v>
      </c>
      <c r="H103" s="601" t="s">
        <v>325</v>
      </c>
      <c r="I103" s="601" t="s">
        <v>342</v>
      </c>
      <c r="J103" s="630" t="s">
        <v>338</v>
      </c>
      <c r="K103" s="630" t="s">
        <v>339</v>
      </c>
      <c r="L103" s="630" t="b">
        <v>0</v>
      </c>
      <c r="M103" s="630" t="s">
        <v>321</v>
      </c>
      <c r="N103" s="630" t="s">
        <v>340</v>
      </c>
      <c r="O103" s="630" t="s">
        <v>341</v>
      </c>
    </row>
    <row r="104" spans="1:15" hidden="1" x14ac:dyDescent="0.25">
      <c r="A104" s="630" t="s">
        <v>336</v>
      </c>
      <c r="B104" s="629">
        <v>0.85</v>
      </c>
      <c r="C104" s="630"/>
      <c r="D104" s="630" t="s">
        <v>319</v>
      </c>
      <c r="E104" s="630" t="s">
        <v>319</v>
      </c>
      <c r="F104" s="630" t="s">
        <v>319</v>
      </c>
      <c r="G104" s="630" t="s">
        <v>324</v>
      </c>
      <c r="H104" s="601" t="s">
        <v>325</v>
      </c>
      <c r="I104" s="601" t="s">
        <v>343</v>
      </c>
      <c r="J104" s="630" t="s">
        <v>338</v>
      </c>
      <c r="K104" s="630" t="s">
        <v>339</v>
      </c>
      <c r="L104" s="630" t="b">
        <v>0</v>
      </c>
      <c r="M104" s="630" t="s">
        <v>321</v>
      </c>
      <c r="N104" s="630" t="s">
        <v>340</v>
      </c>
      <c r="O104" s="630" t="s">
        <v>341</v>
      </c>
    </row>
    <row r="105" spans="1:15" hidden="1" x14ac:dyDescent="0.25">
      <c r="A105" s="630" t="s">
        <v>336</v>
      </c>
      <c r="B105" s="629">
        <v>0.85</v>
      </c>
      <c r="C105" s="630"/>
      <c r="D105" s="630" t="s">
        <v>319</v>
      </c>
      <c r="E105" s="630" t="s">
        <v>319</v>
      </c>
      <c r="F105" s="630" t="s">
        <v>319</v>
      </c>
      <c r="G105" s="630" t="s">
        <v>324</v>
      </c>
      <c r="H105" s="601" t="s">
        <v>325</v>
      </c>
      <c r="I105" s="601" t="s">
        <v>344</v>
      </c>
      <c r="J105" s="630" t="s">
        <v>338</v>
      </c>
      <c r="K105" s="630" t="s">
        <v>339</v>
      </c>
      <c r="L105" s="630" t="b">
        <v>0</v>
      </c>
      <c r="M105" s="630" t="s">
        <v>321</v>
      </c>
      <c r="N105" s="630" t="s">
        <v>340</v>
      </c>
      <c r="O105" s="630" t="s">
        <v>341</v>
      </c>
    </row>
    <row r="106" spans="1:15" hidden="1" x14ac:dyDescent="0.25">
      <c r="A106" s="630" t="s">
        <v>336</v>
      </c>
      <c r="B106" s="629">
        <v>0.85</v>
      </c>
      <c r="C106" s="630"/>
      <c r="D106" s="630" t="s">
        <v>319</v>
      </c>
      <c r="E106" s="630" t="s">
        <v>319</v>
      </c>
      <c r="F106" s="630" t="s">
        <v>319</v>
      </c>
      <c r="G106" s="630" t="s">
        <v>324</v>
      </c>
      <c r="H106" s="601" t="s">
        <v>325</v>
      </c>
      <c r="I106" s="601" t="s">
        <v>345</v>
      </c>
      <c r="J106" s="630" t="s">
        <v>338</v>
      </c>
      <c r="K106" s="630" t="s">
        <v>339</v>
      </c>
      <c r="L106" s="630" t="b">
        <v>0</v>
      </c>
      <c r="M106" s="630" t="s">
        <v>321</v>
      </c>
      <c r="N106" s="630" t="s">
        <v>340</v>
      </c>
      <c r="O106" s="630" t="s">
        <v>341</v>
      </c>
    </row>
    <row r="107" spans="1:15" hidden="1" x14ac:dyDescent="0.25">
      <c r="A107" s="630" t="s">
        <v>336</v>
      </c>
      <c r="B107" s="629">
        <v>0.9</v>
      </c>
      <c r="C107" s="630"/>
      <c r="D107" s="630" t="s">
        <v>319</v>
      </c>
      <c r="E107" s="630" t="s">
        <v>319</v>
      </c>
      <c r="F107" s="630" t="s">
        <v>319</v>
      </c>
      <c r="G107" s="630" t="s">
        <v>324</v>
      </c>
      <c r="H107" s="601" t="s">
        <v>325</v>
      </c>
      <c r="I107" s="601" t="s">
        <v>346</v>
      </c>
      <c r="J107" s="630" t="s">
        <v>338</v>
      </c>
      <c r="K107" s="630" t="s">
        <v>339</v>
      </c>
      <c r="L107" s="630" t="b">
        <v>0</v>
      </c>
      <c r="M107" s="630" t="s">
        <v>321</v>
      </c>
      <c r="N107" s="630" t="s">
        <v>340</v>
      </c>
      <c r="O107" s="630" t="s">
        <v>341</v>
      </c>
    </row>
    <row r="108" spans="1:15" hidden="1" x14ac:dyDescent="0.25">
      <c r="A108" s="630" t="s">
        <v>336</v>
      </c>
      <c r="B108" s="629">
        <v>0.9</v>
      </c>
      <c r="C108" s="630"/>
      <c r="D108" s="630" t="s">
        <v>319</v>
      </c>
      <c r="E108" s="630" t="s">
        <v>319</v>
      </c>
      <c r="F108" s="630" t="s">
        <v>319</v>
      </c>
      <c r="G108" s="630" t="s">
        <v>324</v>
      </c>
      <c r="H108" s="601" t="s">
        <v>325</v>
      </c>
      <c r="I108" s="601" t="s">
        <v>347</v>
      </c>
      <c r="J108" s="630" t="s">
        <v>338</v>
      </c>
      <c r="K108" s="630" t="s">
        <v>339</v>
      </c>
      <c r="L108" s="630" t="b">
        <v>0</v>
      </c>
      <c r="M108" s="630" t="s">
        <v>321</v>
      </c>
      <c r="N108" s="630" t="s">
        <v>340</v>
      </c>
      <c r="O108" s="630" t="s">
        <v>341</v>
      </c>
    </row>
    <row r="109" spans="1:15" hidden="1" x14ac:dyDescent="0.25">
      <c r="A109" s="630" t="s">
        <v>336</v>
      </c>
      <c r="B109" s="629">
        <v>0.9</v>
      </c>
      <c r="C109" s="630"/>
      <c r="D109" s="630" t="s">
        <v>319</v>
      </c>
      <c r="E109" s="630" t="s">
        <v>319</v>
      </c>
      <c r="F109" s="630" t="s">
        <v>319</v>
      </c>
      <c r="G109" s="630" t="s">
        <v>324</v>
      </c>
      <c r="H109" s="601" t="s">
        <v>325</v>
      </c>
      <c r="I109" s="601" t="s">
        <v>348</v>
      </c>
      <c r="J109" s="630" t="s">
        <v>338</v>
      </c>
      <c r="K109" s="630" t="s">
        <v>339</v>
      </c>
      <c r="L109" s="630" t="b">
        <v>0</v>
      </c>
      <c r="M109" s="630" t="s">
        <v>321</v>
      </c>
      <c r="N109" s="630" t="s">
        <v>340</v>
      </c>
      <c r="O109" s="630" t="s">
        <v>341</v>
      </c>
    </row>
    <row r="110" spans="1:15" hidden="1" x14ac:dyDescent="0.25">
      <c r="A110" s="630" t="s">
        <v>336</v>
      </c>
      <c r="B110" s="629">
        <v>0.9</v>
      </c>
      <c r="C110" s="630"/>
      <c r="D110" s="630" t="s">
        <v>319</v>
      </c>
      <c r="E110" s="630" t="s">
        <v>319</v>
      </c>
      <c r="F110" s="630" t="s">
        <v>319</v>
      </c>
      <c r="G110" s="630" t="s">
        <v>324</v>
      </c>
      <c r="H110" s="601" t="s">
        <v>325</v>
      </c>
      <c r="I110" s="601" t="s">
        <v>349</v>
      </c>
      <c r="J110" s="630" t="s">
        <v>338</v>
      </c>
      <c r="K110" s="630" t="s">
        <v>339</v>
      </c>
      <c r="L110" s="630" t="b">
        <v>0</v>
      </c>
      <c r="M110" s="630" t="s">
        <v>321</v>
      </c>
      <c r="N110" s="630" t="s">
        <v>340</v>
      </c>
      <c r="O110" s="630" t="s">
        <v>341</v>
      </c>
    </row>
    <row r="111" spans="1:15" hidden="1" x14ac:dyDescent="0.25">
      <c r="A111" s="630" t="s">
        <v>336</v>
      </c>
      <c r="B111" s="629">
        <v>0.9</v>
      </c>
      <c r="C111" s="630"/>
      <c r="D111" s="630" t="s">
        <v>319</v>
      </c>
      <c r="E111" s="630" t="s">
        <v>319</v>
      </c>
      <c r="F111" s="630" t="s">
        <v>319</v>
      </c>
      <c r="G111" s="630" t="s">
        <v>324</v>
      </c>
      <c r="H111" s="601" t="s">
        <v>325</v>
      </c>
      <c r="I111" s="601" t="s">
        <v>350</v>
      </c>
      <c r="J111" s="630" t="s">
        <v>338</v>
      </c>
      <c r="K111" s="630" t="s">
        <v>339</v>
      </c>
      <c r="L111" s="630" t="b">
        <v>0</v>
      </c>
      <c r="M111" s="630" t="s">
        <v>321</v>
      </c>
      <c r="N111" s="630" t="s">
        <v>340</v>
      </c>
      <c r="O111" s="630" t="s">
        <v>341</v>
      </c>
    </row>
    <row r="112" spans="1:15" hidden="1" x14ac:dyDescent="0.25">
      <c r="A112" s="630" t="s">
        <v>336</v>
      </c>
      <c r="B112" s="629">
        <v>0.9</v>
      </c>
      <c r="C112" s="630"/>
      <c r="D112" s="630" t="s">
        <v>319</v>
      </c>
      <c r="E112" s="630" t="s">
        <v>319</v>
      </c>
      <c r="F112" s="630" t="s">
        <v>319</v>
      </c>
      <c r="G112" s="630" t="s">
        <v>324</v>
      </c>
      <c r="H112" s="601" t="s">
        <v>325</v>
      </c>
      <c r="I112" s="601" t="s">
        <v>351</v>
      </c>
      <c r="J112" s="630" t="s">
        <v>338</v>
      </c>
      <c r="K112" s="630" t="s">
        <v>339</v>
      </c>
      <c r="L112" s="630" t="b">
        <v>0</v>
      </c>
      <c r="M112" s="630" t="s">
        <v>321</v>
      </c>
      <c r="N112" s="630" t="s">
        <v>340</v>
      </c>
      <c r="O112" s="630" t="s">
        <v>341</v>
      </c>
    </row>
    <row r="113" spans="1:15" hidden="1" x14ac:dyDescent="0.25">
      <c r="A113" s="630" t="s">
        <v>336</v>
      </c>
      <c r="B113" s="629">
        <v>0.9</v>
      </c>
      <c r="C113" s="630"/>
      <c r="D113" s="630" t="s">
        <v>319</v>
      </c>
      <c r="E113" s="630" t="s">
        <v>319</v>
      </c>
      <c r="F113" s="630" t="s">
        <v>319</v>
      </c>
      <c r="G113" s="630" t="s">
        <v>324</v>
      </c>
      <c r="H113" s="601" t="s">
        <v>325</v>
      </c>
      <c r="I113" s="601" t="s">
        <v>352</v>
      </c>
      <c r="J113" s="630" t="s">
        <v>338</v>
      </c>
      <c r="K113" s="630" t="s">
        <v>339</v>
      </c>
      <c r="L113" s="630" t="b">
        <v>0</v>
      </c>
      <c r="M113" s="630" t="s">
        <v>321</v>
      </c>
      <c r="N113" s="630" t="s">
        <v>340</v>
      </c>
      <c r="O113" s="630" t="s">
        <v>341</v>
      </c>
    </row>
    <row r="114" spans="1:15" hidden="1" x14ac:dyDescent="0.25">
      <c r="A114" s="630" t="s">
        <v>336</v>
      </c>
      <c r="B114" s="629">
        <v>0.9</v>
      </c>
      <c r="C114" s="630"/>
      <c r="D114" s="630" t="s">
        <v>319</v>
      </c>
      <c r="E114" s="630" t="s">
        <v>319</v>
      </c>
      <c r="F114" s="630" t="s">
        <v>319</v>
      </c>
      <c r="G114" s="630" t="s">
        <v>324</v>
      </c>
      <c r="H114" s="601" t="s">
        <v>325</v>
      </c>
      <c r="I114" s="601" t="s">
        <v>353</v>
      </c>
      <c r="J114" s="630" t="s">
        <v>338</v>
      </c>
      <c r="K114" s="630" t="s">
        <v>339</v>
      </c>
      <c r="L114" s="630" t="b">
        <v>0</v>
      </c>
      <c r="M114" s="630" t="s">
        <v>321</v>
      </c>
      <c r="N114" s="630" t="s">
        <v>340</v>
      </c>
      <c r="O114" s="630" t="s">
        <v>341</v>
      </c>
    </row>
    <row r="115" spans="1:15" hidden="1" x14ac:dyDescent="0.25">
      <c r="A115" s="630" t="s">
        <v>336</v>
      </c>
      <c r="B115" s="629">
        <v>0.9</v>
      </c>
      <c r="C115" s="630"/>
      <c r="D115" s="630" t="s">
        <v>319</v>
      </c>
      <c r="E115" s="630" t="s">
        <v>319</v>
      </c>
      <c r="F115" s="630" t="s">
        <v>319</v>
      </c>
      <c r="G115" s="630" t="s">
        <v>324</v>
      </c>
      <c r="H115" s="601" t="s">
        <v>325</v>
      </c>
      <c r="I115" s="601" t="s">
        <v>354</v>
      </c>
      <c r="J115" s="630" t="s">
        <v>338</v>
      </c>
      <c r="K115" s="630" t="s">
        <v>339</v>
      </c>
      <c r="L115" s="630" t="b">
        <v>0</v>
      </c>
      <c r="M115" s="630" t="s">
        <v>321</v>
      </c>
      <c r="N115" s="630" t="s">
        <v>340</v>
      </c>
      <c r="O115" s="630" t="s">
        <v>341</v>
      </c>
    </row>
    <row r="116" spans="1:15" hidden="1" x14ac:dyDescent="0.25">
      <c r="A116" s="630" t="s">
        <v>336</v>
      </c>
      <c r="B116" s="629">
        <v>0.9</v>
      </c>
      <c r="C116" s="630"/>
      <c r="D116" s="630" t="s">
        <v>319</v>
      </c>
      <c r="E116" s="630" t="s">
        <v>319</v>
      </c>
      <c r="F116" s="630" t="s">
        <v>319</v>
      </c>
      <c r="G116" s="630" t="s">
        <v>324</v>
      </c>
      <c r="H116" s="601" t="s">
        <v>325</v>
      </c>
      <c r="I116" s="601" t="s">
        <v>355</v>
      </c>
      <c r="J116" s="630" t="s">
        <v>338</v>
      </c>
      <c r="K116" s="630" t="s">
        <v>339</v>
      </c>
      <c r="L116" s="630" t="b">
        <v>0</v>
      </c>
      <c r="M116" s="630" t="s">
        <v>321</v>
      </c>
      <c r="N116" s="630" t="s">
        <v>340</v>
      </c>
      <c r="O116" s="630" t="s">
        <v>341</v>
      </c>
    </row>
    <row r="117" spans="1:15" hidden="1" x14ac:dyDescent="0.25">
      <c r="A117" s="630" t="s">
        <v>336</v>
      </c>
      <c r="B117" s="629">
        <v>1</v>
      </c>
      <c r="C117" s="630"/>
      <c r="D117" s="630" t="s">
        <v>319</v>
      </c>
      <c r="E117" s="630" t="s">
        <v>319</v>
      </c>
      <c r="F117" s="630" t="s">
        <v>319</v>
      </c>
      <c r="G117" s="630" t="s">
        <v>324</v>
      </c>
      <c r="H117" s="601" t="s">
        <v>325</v>
      </c>
      <c r="I117" s="601" t="s">
        <v>356</v>
      </c>
      <c r="J117" s="630" t="s">
        <v>338</v>
      </c>
      <c r="K117" s="630" t="s">
        <v>339</v>
      </c>
      <c r="L117" s="630" t="b">
        <v>0</v>
      </c>
      <c r="M117" s="630" t="s">
        <v>321</v>
      </c>
      <c r="N117" s="630" t="s">
        <v>340</v>
      </c>
      <c r="O117" s="630" t="s">
        <v>341</v>
      </c>
    </row>
    <row r="118" spans="1:15" hidden="1" x14ac:dyDescent="0.25">
      <c r="A118" s="630" t="s">
        <v>336</v>
      </c>
      <c r="B118" s="629">
        <v>1</v>
      </c>
      <c r="C118" s="630"/>
      <c r="D118" s="630" t="s">
        <v>319</v>
      </c>
      <c r="E118" s="630" t="s">
        <v>319</v>
      </c>
      <c r="F118" s="630" t="s">
        <v>319</v>
      </c>
      <c r="G118" s="630" t="s">
        <v>324</v>
      </c>
      <c r="H118" s="601" t="s">
        <v>325</v>
      </c>
      <c r="I118" s="601" t="s">
        <v>357</v>
      </c>
      <c r="J118" s="630" t="s">
        <v>338</v>
      </c>
      <c r="K118" s="630" t="s">
        <v>339</v>
      </c>
      <c r="L118" s="630" t="b">
        <v>0</v>
      </c>
      <c r="M118" s="630" t="s">
        <v>321</v>
      </c>
      <c r="N118" s="630" t="s">
        <v>340</v>
      </c>
      <c r="O118" s="630" t="s">
        <v>341</v>
      </c>
    </row>
    <row r="119" spans="1:15" hidden="1" x14ac:dyDescent="0.25">
      <c r="A119" s="630" t="s">
        <v>336</v>
      </c>
      <c r="B119" s="629">
        <v>1</v>
      </c>
      <c r="C119" s="630"/>
      <c r="D119" s="630" t="s">
        <v>319</v>
      </c>
      <c r="E119" s="630" t="s">
        <v>319</v>
      </c>
      <c r="F119" s="630" t="s">
        <v>319</v>
      </c>
      <c r="G119" s="630" t="s">
        <v>324</v>
      </c>
      <c r="H119" s="601" t="s">
        <v>325</v>
      </c>
      <c r="I119" s="601" t="s">
        <v>358</v>
      </c>
      <c r="J119" s="630" t="s">
        <v>338</v>
      </c>
      <c r="K119" s="630" t="s">
        <v>339</v>
      </c>
      <c r="L119" s="630" t="b">
        <v>0</v>
      </c>
      <c r="M119" s="630" t="s">
        <v>321</v>
      </c>
      <c r="N119" s="630" t="s">
        <v>340</v>
      </c>
      <c r="O119" s="630" t="s">
        <v>341</v>
      </c>
    </row>
    <row r="120" spans="1:15" hidden="1" x14ac:dyDescent="0.25">
      <c r="A120" s="630" t="s">
        <v>336</v>
      </c>
      <c r="B120" s="629">
        <v>1</v>
      </c>
      <c r="C120" s="630"/>
      <c r="D120" s="630" t="s">
        <v>319</v>
      </c>
      <c r="E120" s="630" t="s">
        <v>319</v>
      </c>
      <c r="F120" s="630" t="s">
        <v>319</v>
      </c>
      <c r="G120" s="630" t="s">
        <v>324</v>
      </c>
      <c r="H120" s="601" t="s">
        <v>325</v>
      </c>
      <c r="I120" s="601" t="s">
        <v>359</v>
      </c>
      <c r="J120" s="630" t="s">
        <v>338</v>
      </c>
      <c r="K120" s="630" t="s">
        <v>339</v>
      </c>
      <c r="L120" s="630" t="b">
        <v>0</v>
      </c>
      <c r="M120" s="630" t="s">
        <v>321</v>
      </c>
      <c r="N120" s="630" t="s">
        <v>340</v>
      </c>
      <c r="O120" s="630" t="s">
        <v>341</v>
      </c>
    </row>
    <row r="121" spans="1:15" hidden="1" x14ac:dyDescent="0.25">
      <c r="A121" s="630" t="s">
        <v>336</v>
      </c>
      <c r="B121" s="629">
        <v>1</v>
      </c>
      <c r="C121" s="630"/>
      <c r="D121" s="630" t="s">
        <v>319</v>
      </c>
      <c r="E121" s="630" t="s">
        <v>319</v>
      </c>
      <c r="F121" s="630" t="s">
        <v>319</v>
      </c>
      <c r="G121" s="630" t="s">
        <v>324</v>
      </c>
      <c r="H121" s="601" t="s">
        <v>325</v>
      </c>
      <c r="I121" s="601" t="s">
        <v>360</v>
      </c>
      <c r="J121" s="630" t="s">
        <v>338</v>
      </c>
      <c r="K121" s="630" t="s">
        <v>339</v>
      </c>
      <c r="L121" s="630" t="b">
        <v>0</v>
      </c>
      <c r="M121" s="630" t="s">
        <v>321</v>
      </c>
      <c r="N121" s="630" t="s">
        <v>340</v>
      </c>
      <c r="O121" s="630" t="s">
        <v>341</v>
      </c>
    </row>
    <row r="122" spans="1:15" hidden="1" x14ac:dyDescent="0.25">
      <c r="A122" s="630" t="s">
        <v>336</v>
      </c>
      <c r="B122" s="629">
        <v>1</v>
      </c>
      <c r="C122" s="630"/>
      <c r="D122" s="630" t="s">
        <v>319</v>
      </c>
      <c r="E122" s="630" t="s">
        <v>319</v>
      </c>
      <c r="F122" s="630" t="s">
        <v>319</v>
      </c>
      <c r="G122" s="630" t="s">
        <v>324</v>
      </c>
      <c r="H122" s="601" t="s">
        <v>325</v>
      </c>
      <c r="I122" s="601" t="s">
        <v>361</v>
      </c>
      <c r="J122" s="630" t="s">
        <v>338</v>
      </c>
      <c r="K122" s="630" t="s">
        <v>339</v>
      </c>
      <c r="L122" s="630" t="b">
        <v>0</v>
      </c>
      <c r="M122" s="630" t="s">
        <v>321</v>
      </c>
      <c r="N122" s="630" t="s">
        <v>340</v>
      </c>
      <c r="O122" s="630" t="s">
        <v>341</v>
      </c>
    </row>
    <row r="123" spans="1:15" hidden="1" x14ac:dyDescent="0.25">
      <c r="A123" s="630" t="s">
        <v>336</v>
      </c>
      <c r="B123" s="629">
        <v>1</v>
      </c>
      <c r="C123" s="630"/>
      <c r="D123" s="630" t="s">
        <v>319</v>
      </c>
      <c r="E123" s="630" t="s">
        <v>319</v>
      </c>
      <c r="F123" s="630" t="s">
        <v>319</v>
      </c>
      <c r="G123" s="630" t="s">
        <v>324</v>
      </c>
      <c r="H123" s="601" t="s">
        <v>325</v>
      </c>
      <c r="I123" s="601" t="s">
        <v>362</v>
      </c>
      <c r="J123" s="630" t="s">
        <v>338</v>
      </c>
      <c r="K123" s="630" t="s">
        <v>339</v>
      </c>
      <c r="L123" s="630" t="b">
        <v>0</v>
      </c>
      <c r="M123" s="630" t="s">
        <v>321</v>
      </c>
      <c r="N123" s="630" t="s">
        <v>340</v>
      </c>
      <c r="O123" s="630" t="s">
        <v>341</v>
      </c>
    </row>
    <row r="124" spans="1:15" hidden="1" x14ac:dyDescent="0.25">
      <c r="A124" s="630" t="s">
        <v>336</v>
      </c>
      <c r="B124" s="629">
        <v>1</v>
      </c>
      <c r="C124" s="630"/>
      <c r="D124" s="630" t="s">
        <v>319</v>
      </c>
      <c r="E124" s="630" t="s">
        <v>319</v>
      </c>
      <c r="F124" s="630" t="s">
        <v>319</v>
      </c>
      <c r="G124" s="630" t="s">
        <v>324</v>
      </c>
      <c r="H124" s="601" t="s">
        <v>325</v>
      </c>
      <c r="I124" s="601" t="s">
        <v>363</v>
      </c>
      <c r="J124" s="630" t="s">
        <v>338</v>
      </c>
      <c r="K124" s="630" t="s">
        <v>339</v>
      </c>
      <c r="L124" s="630" t="b">
        <v>0</v>
      </c>
      <c r="M124" s="630" t="s">
        <v>321</v>
      </c>
      <c r="N124" s="630" t="s">
        <v>340</v>
      </c>
      <c r="O124" s="630" t="s">
        <v>341</v>
      </c>
    </row>
    <row r="125" spans="1:15" hidden="1" x14ac:dyDescent="0.25">
      <c r="A125" s="630" t="s">
        <v>336</v>
      </c>
      <c r="B125" s="629">
        <v>1</v>
      </c>
      <c r="C125" s="630"/>
      <c r="D125" s="630" t="s">
        <v>319</v>
      </c>
      <c r="E125" s="630" t="s">
        <v>319</v>
      </c>
      <c r="F125" s="630" t="s">
        <v>319</v>
      </c>
      <c r="G125" s="630" t="s">
        <v>324</v>
      </c>
      <c r="H125" s="601" t="s">
        <v>325</v>
      </c>
      <c r="I125" s="601" t="s">
        <v>364</v>
      </c>
      <c r="J125" s="630" t="s">
        <v>338</v>
      </c>
      <c r="K125" s="630" t="s">
        <v>339</v>
      </c>
      <c r="L125" s="630" t="b">
        <v>0</v>
      </c>
      <c r="M125" s="630" t="s">
        <v>321</v>
      </c>
      <c r="N125" s="630" t="s">
        <v>340</v>
      </c>
      <c r="O125" s="630" t="s">
        <v>341</v>
      </c>
    </row>
    <row r="126" spans="1:15" hidden="1" x14ac:dyDescent="0.25">
      <c r="A126" s="630" t="s">
        <v>336</v>
      </c>
      <c r="B126" s="629">
        <v>1</v>
      </c>
      <c r="C126" s="630"/>
      <c r="D126" s="630" t="s">
        <v>319</v>
      </c>
      <c r="E126" s="630" t="s">
        <v>319</v>
      </c>
      <c r="F126" s="630" t="s">
        <v>319</v>
      </c>
      <c r="G126" s="630" t="s">
        <v>324</v>
      </c>
      <c r="H126" s="601" t="s">
        <v>325</v>
      </c>
      <c r="I126" s="601" t="s">
        <v>365</v>
      </c>
      <c r="J126" s="630" t="s">
        <v>338</v>
      </c>
      <c r="K126" s="630" t="s">
        <v>339</v>
      </c>
      <c r="L126" s="630" t="b">
        <v>0</v>
      </c>
      <c r="M126" s="630" t="s">
        <v>321</v>
      </c>
      <c r="N126" s="630" t="s">
        <v>340</v>
      </c>
      <c r="O126" s="630" t="s">
        <v>341</v>
      </c>
    </row>
    <row r="127" spans="1:15" hidden="1" x14ac:dyDescent="0.25">
      <c r="A127" s="630" t="s">
        <v>336</v>
      </c>
      <c r="B127" s="629">
        <v>1.1499999999999999</v>
      </c>
      <c r="C127" s="630"/>
      <c r="D127" s="630" t="s">
        <v>319</v>
      </c>
      <c r="E127" s="630" t="s">
        <v>319</v>
      </c>
      <c r="F127" s="630" t="s">
        <v>319</v>
      </c>
      <c r="G127" s="630" t="s">
        <v>324</v>
      </c>
      <c r="H127" s="601" t="s">
        <v>325</v>
      </c>
      <c r="I127" s="601" t="s">
        <v>366</v>
      </c>
      <c r="J127" s="630" t="s">
        <v>338</v>
      </c>
      <c r="K127" s="630" t="s">
        <v>339</v>
      </c>
      <c r="L127" s="630" t="b">
        <v>0</v>
      </c>
      <c r="M127" s="630" t="s">
        <v>321</v>
      </c>
      <c r="N127" s="630" t="s">
        <v>340</v>
      </c>
      <c r="O127" s="630" t="s">
        <v>341</v>
      </c>
    </row>
    <row r="128" spans="1:15" hidden="1" x14ac:dyDescent="0.25">
      <c r="A128" s="630" t="s">
        <v>336</v>
      </c>
      <c r="B128" s="629">
        <v>1.1499999999999999</v>
      </c>
      <c r="C128" s="630"/>
      <c r="D128" s="630" t="s">
        <v>319</v>
      </c>
      <c r="E128" s="630" t="s">
        <v>319</v>
      </c>
      <c r="F128" s="630" t="s">
        <v>319</v>
      </c>
      <c r="G128" s="630" t="s">
        <v>324</v>
      </c>
      <c r="H128" s="601" t="s">
        <v>325</v>
      </c>
      <c r="I128" s="601" t="s">
        <v>367</v>
      </c>
      <c r="J128" s="630" t="s">
        <v>338</v>
      </c>
      <c r="K128" s="630" t="s">
        <v>339</v>
      </c>
      <c r="L128" s="630" t="b">
        <v>0</v>
      </c>
      <c r="M128" s="630" t="s">
        <v>321</v>
      </c>
      <c r="N128" s="630" t="s">
        <v>340</v>
      </c>
      <c r="O128" s="630" t="s">
        <v>341</v>
      </c>
    </row>
    <row r="129" spans="1:15" hidden="1" x14ac:dyDescent="0.25">
      <c r="A129" s="630" t="s">
        <v>336</v>
      </c>
      <c r="B129" s="629">
        <v>1.1499999999999999</v>
      </c>
      <c r="C129" s="630"/>
      <c r="D129" s="630" t="s">
        <v>319</v>
      </c>
      <c r="E129" s="630" t="s">
        <v>319</v>
      </c>
      <c r="F129" s="630" t="s">
        <v>319</v>
      </c>
      <c r="G129" s="630" t="s">
        <v>324</v>
      </c>
      <c r="H129" s="601" t="s">
        <v>325</v>
      </c>
      <c r="I129" s="601" t="s">
        <v>368</v>
      </c>
      <c r="J129" s="630" t="s">
        <v>338</v>
      </c>
      <c r="K129" s="630" t="s">
        <v>339</v>
      </c>
      <c r="L129" s="630" t="b">
        <v>0</v>
      </c>
      <c r="M129" s="630" t="s">
        <v>321</v>
      </c>
      <c r="N129" s="630" t="s">
        <v>340</v>
      </c>
      <c r="O129" s="630" t="s">
        <v>341</v>
      </c>
    </row>
    <row r="130" spans="1:15" hidden="1" x14ac:dyDescent="0.25">
      <c r="A130" s="630" t="s">
        <v>336</v>
      </c>
      <c r="B130" s="629">
        <v>1.1499999999999999</v>
      </c>
      <c r="C130" s="630"/>
      <c r="D130" s="630" t="s">
        <v>319</v>
      </c>
      <c r="E130" s="630" t="s">
        <v>319</v>
      </c>
      <c r="F130" s="630" t="s">
        <v>319</v>
      </c>
      <c r="G130" s="630" t="s">
        <v>324</v>
      </c>
      <c r="H130" s="601" t="s">
        <v>325</v>
      </c>
      <c r="I130" s="601" t="s">
        <v>369</v>
      </c>
      <c r="J130" s="630" t="s">
        <v>338</v>
      </c>
      <c r="K130" s="630" t="s">
        <v>339</v>
      </c>
      <c r="L130" s="630" t="b">
        <v>0</v>
      </c>
      <c r="M130" s="630" t="s">
        <v>321</v>
      </c>
      <c r="N130" s="630" t="s">
        <v>340</v>
      </c>
      <c r="O130" s="630" t="s">
        <v>341</v>
      </c>
    </row>
    <row r="131" spans="1:15" hidden="1" x14ac:dyDescent="0.25">
      <c r="A131" s="630" t="s">
        <v>336</v>
      </c>
      <c r="B131" s="629">
        <v>1.1499999999999999</v>
      </c>
      <c r="C131" s="630"/>
      <c r="D131" s="630" t="s">
        <v>319</v>
      </c>
      <c r="E131" s="630" t="s">
        <v>319</v>
      </c>
      <c r="F131" s="630" t="s">
        <v>319</v>
      </c>
      <c r="G131" s="630" t="s">
        <v>324</v>
      </c>
      <c r="H131" s="601" t="s">
        <v>325</v>
      </c>
      <c r="I131" s="601" t="s">
        <v>370</v>
      </c>
      <c r="J131" s="630" t="s">
        <v>338</v>
      </c>
      <c r="K131" s="630" t="s">
        <v>339</v>
      </c>
      <c r="L131" s="630" t="b">
        <v>0</v>
      </c>
      <c r="M131" s="630" t="s">
        <v>321</v>
      </c>
      <c r="N131" s="630" t="s">
        <v>340</v>
      </c>
      <c r="O131" s="630" t="s">
        <v>341</v>
      </c>
    </row>
    <row r="132" spans="1:15" hidden="1" x14ac:dyDescent="0.25">
      <c r="A132" s="630" t="s">
        <v>336</v>
      </c>
      <c r="B132" s="629">
        <v>1.1499999999999999</v>
      </c>
      <c r="C132" s="630"/>
      <c r="D132" s="630" t="s">
        <v>319</v>
      </c>
      <c r="E132" s="630" t="s">
        <v>319</v>
      </c>
      <c r="F132" s="630" t="s">
        <v>319</v>
      </c>
      <c r="G132" s="630" t="s">
        <v>324</v>
      </c>
      <c r="H132" s="601" t="s">
        <v>325</v>
      </c>
      <c r="I132" s="601" t="s">
        <v>371</v>
      </c>
      <c r="J132" s="630" t="s">
        <v>338</v>
      </c>
      <c r="K132" s="630" t="s">
        <v>339</v>
      </c>
      <c r="L132" s="630" t="b">
        <v>0</v>
      </c>
      <c r="M132" s="630" t="s">
        <v>321</v>
      </c>
      <c r="N132" s="630" t="s">
        <v>340</v>
      </c>
      <c r="O132" s="630" t="s">
        <v>341</v>
      </c>
    </row>
    <row r="133" spans="1:15" hidden="1" x14ac:dyDescent="0.25">
      <c r="A133" s="630" t="s">
        <v>336</v>
      </c>
      <c r="B133" s="629">
        <v>1.1499999999999999</v>
      </c>
      <c r="C133" s="630"/>
      <c r="D133" s="630" t="s">
        <v>319</v>
      </c>
      <c r="E133" s="630" t="s">
        <v>319</v>
      </c>
      <c r="F133" s="630" t="s">
        <v>319</v>
      </c>
      <c r="G133" s="630" t="s">
        <v>324</v>
      </c>
      <c r="H133" s="601" t="s">
        <v>325</v>
      </c>
      <c r="I133" s="601" t="s">
        <v>372</v>
      </c>
      <c r="J133" s="630" t="s">
        <v>338</v>
      </c>
      <c r="K133" s="630" t="s">
        <v>339</v>
      </c>
      <c r="L133" s="630" t="b">
        <v>0</v>
      </c>
      <c r="M133" s="630" t="s">
        <v>321</v>
      </c>
      <c r="N133" s="630" t="s">
        <v>340</v>
      </c>
      <c r="O133" s="630" t="s">
        <v>341</v>
      </c>
    </row>
    <row r="134" spans="1:15" hidden="1" x14ac:dyDescent="0.25">
      <c r="A134" s="630" t="s">
        <v>336</v>
      </c>
      <c r="B134" s="629">
        <v>1.1499999999999999</v>
      </c>
      <c r="C134" s="630"/>
      <c r="D134" s="630" t="s">
        <v>319</v>
      </c>
      <c r="E134" s="630" t="s">
        <v>319</v>
      </c>
      <c r="F134" s="630" t="s">
        <v>319</v>
      </c>
      <c r="G134" s="630" t="s">
        <v>324</v>
      </c>
      <c r="H134" s="601" t="s">
        <v>325</v>
      </c>
      <c r="I134" s="601" t="s">
        <v>373</v>
      </c>
      <c r="J134" s="630" t="s">
        <v>338</v>
      </c>
      <c r="K134" s="630" t="s">
        <v>339</v>
      </c>
      <c r="L134" s="630" t="b">
        <v>0</v>
      </c>
      <c r="M134" s="630" t="s">
        <v>321</v>
      </c>
      <c r="N134" s="630" t="s">
        <v>340</v>
      </c>
      <c r="O134" s="630" t="s">
        <v>341</v>
      </c>
    </row>
    <row r="135" spans="1:15" hidden="1" x14ac:dyDescent="0.25">
      <c r="A135" s="630" t="s">
        <v>336</v>
      </c>
      <c r="B135" s="629">
        <v>1.1499999999999999</v>
      </c>
      <c r="C135" s="630"/>
      <c r="D135" s="630" t="s">
        <v>319</v>
      </c>
      <c r="E135" s="630" t="s">
        <v>319</v>
      </c>
      <c r="F135" s="630" t="s">
        <v>319</v>
      </c>
      <c r="G135" s="630" t="s">
        <v>324</v>
      </c>
      <c r="H135" s="601" t="s">
        <v>325</v>
      </c>
      <c r="I135" s="601" t="s">
        <v>374</v>
      </c>
      <c r="J135" s="630" t="s">
        <v>338</v>
      </c>
      <c r="K135" s="630" t="s">
        <v>339</v>
      </c>
      <c r="L135" s="630" t="b">
        <v>0</v>
      </c>
      <c r="M135" s="630" t="s">
        <v>321</v>
      </c>
      <c r="N135" s="630" t="s">
        <v>340</v>
      </c>
      <c r="O135" s="630" t="s">
        <v>341</v>
      </c>
    </row>
    <row r="136" spans="1:15" hidden="1" x14ac:dyDescent="0.25">
      <c r="A136" s="630" t="s">
        <v>336</v>
      </c>
      <c r="B136" s="629">
        <v>1.1499999999999999</v>
      </c>
      <c r="C136" s="630"/>
      <c r="D136" s="630" t="s">
        <v>319</v>
      </c>
      <c r="E136" s="630" t="s">
        <v>319</v>
      </c>
      <c r="F136" s="630" t="s">
        <v>319</v>
      </c>
      <c r="G136" s="630" t="s">
        <v>324</v>
      </c>
      <c r="H136" s="601" t="s">
        <v>325</v>
      </c>
      <c r="I136" s="601" t="s">
        <v>375</v>
      </c>
      <c r="J136" s="630" t="s">
        <v>338</v>
      </c>
      <c r="K136" s="630" t="s">
        <v>339</v>
      </c>
      <c r="L136" s="630" t="b">
        <v>0</v>
      </c>
      <c r="M136" s="630" t="s">
        <v>321</v>
      </c>
      <c r="N136" s="630" t="s">
        <v>340</v>
      </c>
      <c r="O136" s="630" t="s">
        <v>341</v>
      </c>
    </row>
    <row r="137" spans="1:15" hidden="1" x14ac:dyDescent="0.25">
      <c r="A137" s="630" t="s">
        <v>336</v>
      </c>
      <c r="B137" s="629">
        <v>2</v>
      </c>
      <c r="C137" s="630"/>
      <c r="D137" s="630" t="s">
        <v>319</v>
      </c>
      <c r="E137" s="630" t="s">
        <v>319</v>
      </c>
      <c r="F137" s="630" t="s">
        <v>319</v>
      </c>
      <c r="G137" s="630" t="s">
        <v>324</v>
      </c>
      <c r="H137" s="601" t="s">
        <v>325</v>
      </c>
      <c r="I137" s="601" t="s">
        <v>376</v>
      </c>
      <c r="J137" s="630" t="s">
        <v>338</v>
      </c>
      <c r="K137" s="630" t="s">
        <v>339</v>
      </c>
      <c r="L137" s="630" t="b">
        <v>0</v>
      </c>
      <c r="M137" s="630" t="s">
        <v>321</v>
      </c>
      <c r="N137" s="630" t="s">
        <v>340</v>
      </c>
      <c r="O137" s="630" t="s">
        <v>341</v>
      </c>
    </row>
    <row r="138" spans="1:15" hidden="1" x14ac:dyDescent="0.25">
      <c r="A138" s="630" t="s">
        <v>336</v>
      </c>
      <c r="B138" s="629">
        <v>2</v>
      </c>
      <c r="C138" s="630"/>
      <c r="D138" s="630" t="s">
        <v>319</v>
      </c>
      <c r="E138" s="630" t="s">
        <v>319</v>
      </c>
      <c r="F138" s="630" t="s">
        <v>319</v>
      </c>
      <c r="G138" s="630" t="s">
        <v>324</v>
      </c>
      <c r="H138" s="601" t="s">
        <v>325</v>
      </c>
      <c r="I138" s="601" t="s">
        <v>377</v>
      </c>
      <c r="J138" s="630" t="s">
        <v>338</v>
      </c>
      <c r="K138" s="630" t="s">
        <v>339</v>
      </c>
      <c r="L138" s="630" t="b">
        <v>0</v>
      </c>
      <c r="M138" s="630" t="s">
        <v>321</v>
      </c>
      <c r="N138" s="630" t="s">
        <v>340</v>
      </c>
      <c r="O138" s="630" t="s">
        <v>341</v>
      </c>
    </row>
    <row r="139" spans="1:15" hidden="1" x14ac:dyDescent="0.25">
      <c r="A139" s="630" t="s">
        <v>336</v>
      </c>
      <c r="B139" s="629">
        <v>2</v>
      </c>
      <c r="C139" s="630"/>
      <c r="D139" s="630" t="s">
        <v>319</v>
      </c>
      <c r="E139" s="630" t="s">
        <v>319</v>
      </c>
      <c r="F139" s="630" t="s">
        <v>319</v>
      </c>
      <c r="G139" s="630" t="s">
        <v>324</v>
      </c>
      <c r="H139" s="601" t="s">
        <v>325</v>
      </c>
      <c r="I139" s="601" t="s">
        <v>378</v>
      </c>
      <c r="J139" s="630" t="s">
        <v>338</v>
      </c>
      <c r="K139" s="630" t="s">
        <v>339</v>
      </c>
      <c r="L139" s="630" t="b">
        <v>0</v>
      </c>
      <c r="M139" s="630" t="s">
        <v>321</v>
      </c>
      <c r="N139" s="630" t="s">
        <v>340</v>
      </c>
      <c r="O139" s="630" t="s">
        <v>341</v>
      </c>
    </row>
    <row r="140" spans="1:15" hidden="1" x14ac:dyDescent="0.25">
      <c r="A140" s="630" t="s">
        <v>336</v>
      </c>
      <c r="B140" s="629">
        <v>2</v>
      </c>
      <c r="C140" s="630"/>
      <c r="D140" s="630" t="s">
        <v>319</v>
      </c>
      <c r="E140" s="630" t="s">
        <v>319</v>
      </c>
      <c r="F140" s="630" t="s">
        <v>319</v>
      </c>
      <c r="G140" s="630" t="s">
        <v>324</v>
      </c>
      <c r="H140" s="601" t="s">
        <v>325</v>
      </c>
      <c r="I140" s="601" t="s">
        <v>379</v>
      </c>
      <c r="J140" s="630" t="s">
        <v>338</v>
      </c>
      <c r="K140" s="630" t="s">
        <v>339</v>
      </c>
      <c r="L140" s="630" t="b">
        <v>0</v>
      </c>
      <c r="M140" s="630" t="s">
        <v>321</v>
      </c>
      <c r="N140" s="630" t="s">
        <v>340</v>
      </c>
      <c r="O140" s="630" t="s">
        <v>341</v>
      </c>
    </row>
    <row r="141" spans="1:15" hidden="1" x14ac:dyDescent="0.25">
      <c r="A141" s="630" t="s">
        <v>336</v>
      </c>
      <c r="B141" s="629">
        <v>2</v>
      </c>
      <c r="C141" s="630"/>
      <c r="D141" s="630" t="s">
        <v>319</v>
      </c>
      <c r="E141" s="630" t="s">
        <v>319</v>
      </c>
      <c r="F141" s="630" t="s">
        <v>319</v>
      </c>
      <c r="G141" s="630" t="s">
        <v>324</v>
      </c>
      <c r="H141" s="601" t="s">
        <v>325</v>
      </c>
      <c r="I141" s="601" t="s">
        <v>380</v>
      </c>
      <c r="J141" s="630" t="s">
        <v>338</v>
      </c>
      <c r="K141" s="630" t="s">
        <v>339</v>
      </c>
      <c r="L141" s="630" t="b">
        <v>0</v>
      </c>
      <c r="M141" s="630" t="s">
        <v>321</v>
      </c>
      <c r="N141" s="630" t="s">
        <v>340</v>
      </c>
      <c r="O141" s="630" t="s">
        <v>341</v>
      </c>
    </row>
    <row r="142" spans="1:15" hidden="1" x14ac:dyDescent="0.25">
      <c r="A142" s="630" t="s">
        <v>336</v>
      </c>
      <c r="B142" s="629">
        <v>2</v>
      </c>
      <c r="C142" s="630"/>
      <c r="D142" s="630" t="s">
        <v>319</v>
      </c>
      <c r="E142" s="630" t="s">
        <v>319</v>
      </c>
      <c r="F142" s="630" t="s">
        <v>319</v>
      </c>
      <c r="G142" s="630" t="s">
        <v>324</v>
      </c>
      <c r="H142" s="601" t="s">
        <v>325</v>
      </c>
      <c r="I142" s="601" t="s">
        <v>381</v>
      </c>
      <c r="J142" s="630" t="s">
        <v>338</v>
      </c>
      <c r="K142" s="630" t="s">
        <v>339</v>
      </c>
      <c r="L142" s="630" t="b">
        <v>0</v>
      </c>
      <c r="M142" s="630" t="s">
        <v>321</v>
      </c>
      <c r="N142" s="630" t="s">
        <v>340</v>
      </c>
      <c r="O142" s="630" t="s">
        <v>341</v>
      </c>
    </row>
    <row r="143" spans="1:15" hidden="1" x14ac:dyDescent="0.25">
      <c r="A143" s="630" t="s">
        <v>336</v>
      </c>
      <c r="B143" s="629">
        <v>2</v>
      </c>
      <c r="C143" s="630"/>
      <c r="D143" s="630" t="s">
        <v>319</v>
      </c>
      <c r="E143" s="630" t="s">
        <v>319</v>
      </c>
      <c r="F143" s="630" t="s">
        <v>319</v>
      </c>
      <c r="G143" s="630" t="s">
        <v>324</v>
      </c>
      <c r="H143" s="601" t="s">
        <v>325</v>
      </c>
      <c r="I143" s="601" t="s">
        <v>382</v>
      </c>
      <c r="J143" s="630" t="s">
        <v>338</v>
      </c>
      <c r="K143" s="630" t="s">
        <v>339</v>
      </c>
      <c r="L143" s="630" t="b">
        <v>0</v>
      </c>
      <c r="M143" s="630" t="s">
        <v>321</v>
      </c>
      <c r="N143" s="630" t="s">
        <v>340</v>
      </c>
      <c r="O143" s="630" t="s">
        <v>341</v>
      </c>
    </row>
    <row r="144" spans="1:15" hidden="1" x14ac:dyDescent="0.25">
      <c r="A144" s="630" t="s">
        <v>336</v>
      </c>
      <c r="B144" s="629">
        <v>2</v>
      </c>
      <c r="C144" s="630"/>
      <c r="D144" s="630" t="s">
        <v>319</v>
      </c>
      <c r="E144" s="630" t="s">
        <v>319</v>
      </c>
      <c r="F144" s="630" t="s">
        <v>319</v>
      </c>
      <c r="G144" s="630" t="s">
        <v>324</v>
      </c>
      <c r="H144" s="601" t="s">
        <v>325</v>
      </c>
      <c r="I144" s="601" t="s">
        <v>383</v>
      </c>
      <c r="J144" s="630" t="s">
        <v>338</v>
      </c>
      <c r="K144" s="630" t="s">
        <v>339</v>
      </c>
      <c r="L144" s="630" t="b">
        <v>0</v>
      </c>
      <c r="M144" s="630" t="s">
        <v>321</v>
      </c>
      <c r="N144" s="630" t="s">
        <v>340</v>
      </c>
      <c r="O144" s="630" t="s">
        <v>341</v>
      </c>
    </row>
    <row r="145" spans="1:15" hidden="1" x14ac:dyDescent="0.25">
      <c r="A145" s="630" t="s">
        <v>336</v>
      </c>
      <c r="B145" s="629">
        <v>2</v>
      </c>
      <c r="C145" s="630"/>
      <c r="D145" s="630" t="s">
        <v>319</v>
      </c>
      <c r="E145" s="630" t="s">
        <v>319</v>
      </c>
      <c r="F145" s="630" t="s">
        <v>319</v>
      </c>
      <c r="G145" s="630" t="s">
        <v>324</v>
      </c>
      <c r="H145" s="601" t="s">
        <v>325</v>
      </c>
      <c r="I145" s="601" t="s">
        <v>384</v>
      </c>
      <c r="J145" s="630" t="s">
        <v>338</v>
      </c>
      <c r="K145" s="630" t="s">
        <v>339</v>
      </c>
      <c r="L145" s="630" t="b">
        <v>0</v>
      </c>
      <c r="M145" s="630" t="s">
        <v>321</v>
      </c>
      <c r="N145" s="630" t="s">
        <v>340</v>
      </c>
      <c r="O145" s="630" t="s">
        <v>341</v>
      </c>
    </row>
    <row r="146" spans="1:15" hidden="1" x14ac:dyDescent="0.25">
      <c r="A146" s="630" t="s">
        <v>336</v>
      </c>
      <c r="B146" s="629">
        <v>2</v>
      </c>
      <c r="C146" s="630"/>
      <c r="D146" s="630" t="s">
        <v>319</v>
      </c>
      <c r="E146" s="630" t="s">
        <v>319</v>
      </c>
      <c r="F146" s="630" t="s">
        <v>319</v>
      </c>
      <c r="G146" s="630" t="s">
        <v>324</v>
      </c>
      <c r="H146" s="601" t="s">
        <v>325</v>
      </c>
      <c r="I146" s="601" t="s">
        <v>385</v>
      </c>
      <c r="J146" s="630" t="s">
        <v>338</v>
      </c>
      <c r="K146" s="630" t="s">
        <v>339</v>
      </c>
      <c r="L146" s="630" t="b">
        <v>0</v>
      </c>
      <c r="M146" s="630" t="s">
        <v>321</v>
      </c>
      <c r="N146" s="630" t="s">
        <v>340</v>
      </c>
      <c r="O146" s="630" t="s">
        <v>341</v>
      </c>
    </row>
    <row r="147" spans="1:15" hidden="1" x14ac:dyDescent="0.25">
      <c r="A147" s="630" t="s">
        <v>336</v>
      </c>
      <c r="B147" s="629">
        <v>2.5</v>
      </c>
      <c r="C147" s="630"/>
      <c r="D147" s="630" t="s">
        <v>319</v>
      </c>
      <c r="E147" s="630" t="s">
        <v>319</v>
      </c>
      <c r="F147" s="630" t="s">
        <v>319</v>
      </c>
      <c r="G147" s="630" t="s">
        <v>324</v>
      </c>
      <c r="H147" s="601" t="s">
        <v>325</v>
      </c>
      <c r="I147" s="601" t="s">
        <v>386</v>
      </c>
      <c r="J147" s="630" t="s">
        <v>338</v>
      </c>
      <c r="K147" s="630" t="s">
        <v>339</v>
      </c>
      <c r="L147" s="630" t="b">
        <v>0</v>
      </c>
      <c r="M147" s="630" t="s">
        <v>321</v>
      </c>
      <c r="N147" s="630" t="s">
        <v>340</v>
      </c>
      <c r="O147" s="630" t="s">
        <v>341</v>
      </c>
    </row>
    <row r="148" spans="1:15" hidden="1" x14ac:dyDescent="0.25">
      <c r="A148" s="630" t="s">
        <v>336</v>
      </c>
      <c r="B148" s="629">
        <v>2.5</v>
      </c>
      <c r="C148" s="630"/>
      <c r="D148" s="630" t="s">
        <v>319</v>
      </c>
      <c r="E148" s="630" t="s">
        <v>319</v>
      </c>
      <c r="F148" s="630" t="s">
        <v>319</v>
      </c>
      <c r="G148" s="630" t="s">
        <v>324</v>
      </c>
      <c r="H148" s="601" t="s">
        <v>325</v>
      </c>
      <c r="I148" s="601" t="s">
        <v>387</v>
      </c>
      <c r="J148" s="630" t="s">
        <v>338</v>
      </c>
      <c r="K148" s="630" t="s">
        <v>339</v>
      </c>
      <c r="L148" s="630" t="b">
        <v>0</v>
      </c>
      <c r="M148" s="630" t="s">
        <v>321</v>
      </c>
      <c r="N148" s="630" t="s">
        <v>340</v>
      </c>
      <c r="O148" s="630" t="s">
        <v>341</v>
      </c>
    </row>
    <row r="149" spans="1:15" hidden="1" x14ac:dyDescent="0.25">
      <c r="A149" s="630" t="s">
        <v>336</v>
      </c>
      <c r="B149" s="629">
        <v>2.5</v>
      </c>
      <c r="C149" s="630"/>
      <c r="D149" s="630" t="s">
        <v>319</v>
      </c>
      <c r="E149" s="630" t="s">
        <v>319</v>
      </c>
      <c r="F149" s="630" t="s">
        <v>319</v>
      </c>
      <c r="G149" s="630" t="s">
        <v>324</v>
      </c>
      <c r="H149" s="601" t="s">
        <v>325</v>
      </c>
      <c r="I149" s="601" t="s">
        <v>388</v>
      </c>
      <c r="J149" s="630" t="s">
        <v>338</v>
      </c>
      <c r="K149" s="630" t="s">
        <v>339</v>
      </c>
      <c r="L149" s="630" t="b">
        <v>0</v>
      </c>
      <c r="M149" s="630" t="s">
        <v>321</v>
      </c>
      <c r="N149" s="630" t="s">
        <v>340</v>
      </c>
      <c r="O149" s="630" t="s">
        <v>341</v>
      </c>
    </row>
    <row r="150" spans="1:15" hidden="1" x14ac:dyDescent="0.25">
      <c r="A150" s="630" t="s">
        <v>336</v>
      </c>
      <c r="B150" s="629">
        <v>2.5</v>
      </c>
      <c r="C150" s="630"/>
      <c r="D150" s="630" t="s">
        <v>319</v>
      </c>
      <c r="E150" s="630" t="s">
        <v>319</v>
      </c>
      <c r="F150" s="630" t="s">
        <v>319</v>
      </c>
      <c r="G150" s="630" t="s">
        <v>324</v>
      </c>
      <c r="H150" s="601" t="s">
        <v>325</v>
      </c>
      <c r="I150" s="601" t="s">
        <v>389</v>
      </c>
      <c r="J150" s="630" t="s">
        <v>338</v>
      </c>
      <c r="K150" s="630" t="s">
        <v>339</v>
      </c>
      <c r="L150" s="630" t="b">
        <v>0</v>
      </c>
      <c r="M150" s="630" t="s">
        <v>321</v>
      </c>
      <c r="N150" s="630" t="s">
        <v>340</v>
      </c>
      <c r="O150" s="630" t="s">
        <v>341</v>
      </c>
    </row>
    <row r="151" spans="1:15" hidden="1" x14ac:dyDescent="0.25">
      <c r="A151" s="630" t="s">
        <v>336</v>
      </c>
      <c r="B151" s="629">
        <v>2.5</v>
      </c>
      <c r="C151" s="630"/>
      <c r="D151" s="630" t="s">
        <v>319</v>
      </c>
      <c r="E151" s="630" t="s">
        <v>319</v>
      </c>
      <c r="F151" s="630" t="s">
        <v>319</v>
      </c>
      <c r="G151" s="630" t="s">
        <v>324</v>
      </c>
      <c r="H151" s="601" t="s">
        <v>325</v>
      </c>
      <c r="I151" s="601" t="s">
        <v>390</v>
      </c>
      <c r="J151" s="630" t="s">
        <v>338</v>
      </c>
      <c r="K151" s="630" t="s">
        <v>339</v>
      </c>
      <c r="L151" s="630" t="b">
        <v>0</v>
      </c>
      <c r="M151" s="630" t="s">
        <v>321</v>
      </c>
      <c r="N151" s="630" t="s">
        <v>340</v>
      </c>
      <c r="O151" s="630" t="s">
        <v>341</v>
      </c>
    </row>
    <row r="152" spans="1:15" hidden="1" x14ac:dyDescent="0.25">
      <c r="A152" s="630" t="s">
        <v>336</v>
      </c>
      <c r="B152" s="629">
        <v>2.5</v>
      </c>
      <c r="C152" s="630"/>
      <c r="D152" s="630" t="s">
        <v>319</v>
      </c>
      <c r="E152" s="630" t="s">
        <v>319</v>
      </c>
      <c r="F152" s="630" t="s">
        <v>319</v>
      </c>
      <c r="G152" s="630" t="s">
        <v>324</v>
      </c>
      <c r="H152" s="601" t="s">
        <v>325</v>
      </c>
      <c r="I152" s="601" t="s">
        <v>391</v>
      </c>
      <c r="J152" s="630" t="s">
        <v>338</v>
      </c>
      <c r="K152" s="630" t="s">
        <v>339</v>
      </c>
      <c r="L152" s="630" t="b">
        <v>0</v>
      </c>
      <c r="M152" s="630" t="s">
        <v>321</v>
      </c>
      <c r="N152" s="630" t="s">
        <v>340</v>
      </c>
      <c r="O152" s="630" t="s">
        <v>341</v>
      </c>
    </row>
    <row r="153" spans="1:15" hidden="1" x14ac:dyDescent="0.25">
      <c r="A153" s="630" t="s">
        <v>336</v>
      </c>
      <c r="B153" s="629">
        <v>2.5</v>
      </c>
      <c r="C153" s="630"/>
      <c r="D153" s="630" t="s">
        <v>319</v>
      </c>
      <c r="E153" s="630" t="s">
        <v>319</v>
      </c>
      <c r="F153" s="630" t="s">
        <v>319</v>
      </c>
      <c r="G153" s="630" t="s">
        <v>324</v>
      </c>
      <c r="H153" s="601" t="s">
        <v>325</v>
      </c>
      <c r="I153" s="601" t="s">
        <v>392</v>
      </c>
      <c r="J153" s="630" t="s">
        <v>338</v>
      </c>
      <c r="K153" s="630" t="s">
        <v>339</v>
      </c>
      <c r="L153" s="630" t="b">
        <v>0</v>
      </c>
      <c r="M153" s="630" t="s">
        <v>321</v>
      </c>
      <c r="N153" s="630" t="s">
        <v>340</v>
      </c>
      <c r="O153" s="630" t="s">
        <v>341</v>
      </c>
    </row>
    <row r="154" spans="1:15" hidden="1" x14ac:dyDescent="0.25">
      <c r="A154" s="630" t="s">
        <v>336</v>
      </c>
      <c r="B154" s="629">
        <v>2.5</v>
      </c>
      <c r="C154" s="630"/>
      <c r="D154" s="630" t="s">
        <v>319</v>
      </c>
      <c r="E154" s="630" t="s">
        <v>319</v>
      </c>
      <c r="F154" s="630" t="s">
        <v>319</v>
      </c>
      <c r="G154" s="630" t="s">
        <v>324</v>
      </c>
      <c r="H154" s="601" t="s">
        <v>325</v>
      </c>
      <c r="I154" s="601" t="s">
        <v>393</v>
      </c>
      <c r="J154" s="630" t="s">
        <v>338</v>
      </c>
      <c r="K154" s="630" t="s">
        <v>339</v>
      </c>
      <c r="L154" s="630" t="b">
        <v>0</v>
      </c>
      <c r="M154" s="630" t="s">
        <v>321</v>
      </c>
      <c r="N154" s="630" t="s">
        <v>340</v>
      </c>
      <c r="O154" s="630" t="s">
        <v>341</v>
      </c>
    </row>
    <row r="155" spans="1:15" hidden="1" x14ac:dyDescent="0.25">
      <c r="A155" s="630" t="s">
        <v>336</v>
      </c>
      <c r="B155" s="629">
        <v>2.5</v>
      </c>
      <c r="C155" s="630"/>
      <c r="D155" s="630" t="s">
        <v>319</v>
      </c>
      <c r="E155" s="630" t="s">
        <v>319</v>
      </c>
      <c r="F155" s="630" t="s">
        <v>319</v>
      </c>
      <c r="G155" s="630" t="s">
        <v>324</v>
      </c>
      <c r="H155" s="601" t="s">
        <v>325</v>
      </c>
      <c r="I155" s="601" t="s">
        <v>394</v>
      </c>
      <c r="J155" s="630" t="s">
        <v>338</v>
      </c>
      <c r="K155" s="630" t="s">
        <v>339</v>
      </c>
      <c r="L155" s="630" t="b">
        <v>0</v>
      </c>
      <c r="M155" s="630" t="s">
        <v>321</v>
      </c>
      <c r="N155" s="630" t="s">
        <v>340</v>
      </c>
      <c r="O155" s="630" t="s">
        <v>341</v>
      </c>
    </row>
    <row r="156" spans="1:15" hidden="1" x14ac:dyDescent="0.25">
      <c r="A156" s="630" t="s">
        <v>336</v>
      </c>
      <c r="B156" s="629">
        <v>2.5</v>
      </c>
      <c r="C156" s="630"/>
      <c r="D156" s="630" t="s">
        <v>319</v>
      </c>
      <c r="E156" s="630" t="s">
        <v>319</v>
      </c>
      <c r="F156" s="630" t="s">
        <v>319</v>
      </c>
      <c r="G156" s="630" t="s">
        <v>324</v>
      </c>
      <c r="H156" s="601" t="s">
        <v>325</v>
      </c>
      <c r="I156" s="601" t="s">
        <v>395</v>
      </c>
      <c r="J156" s="630" t="s">
        <v>338</v>
      </c>
      <c r="K156" s="630" t="s">
        <v>339</v>
      </c>
      <c r="L156" s="630" t="b">
        <v>0</v>
      </c>
      <c r="M156" s="630" t="s">
        <v>321</v>
      </c>
      <c r="N156" s="630" t="s">
        <v>340</v>
      </c>
      <c r="O156" s="630" t="s">
        <v>341</v>
      </c>
    </row>
    <row r="157" spans="1:15" hidden="1" x14ac:dyDescent="0.25">
      <c r="A157" s="630" t="s">
        <v>336</v>
      </c>
      <c r="B157" s="629">
        <v>2.5</v>
      </c>
      <c r="C157" s="630"/>
      <c r="D157" s="630" t="s">
        <v>319</v>
      </c>
      <c r="E157" s="630" t="s">
        <v>319</v>
      </c>
      <c r="F157" s="630" t="s">
        <v>319</v>
      </c>
      <c r="G157" s="630" t="s">
        <v>324</v>
      </c>
      <c r="H157" s="601" t="s">
        <v>325</v>
      </c>
      <c r="I157" s="601" t="s">
        <v>396</v>
      </c>
      <c r="J157" s="630" t="s">
        <v>338</v>
      </c>
      <c r="K157" s="630" t="s">
        <v>339</v>
      </c>
      <c r="L157" s="630" t="b">
        <v>0</v>
      </c>
      <c r="M157" s="630" t="s">
        <v>321</v>
      </c>
      <c r="N157" s="630" t="s">
        <v>340</v>
      </c>
      <c r="O157" s="630" t="s">
        <v>341</v>
      </c>
    </row>
    <row r="158" spans="1:15" hidden="1" x14ac:dyDescent="0.25">
      <c r="A158" s="630" t="s">
        <v>336</v>
      </c>
      <c r="B158" s="629">
        <v>2.5</v>
      </c>
      <c r="C158" s="630"/>
      <c r="D158" s="630" t="s">
        <v>319</v>
      </c>
      <c r="E158" s="630" t="s">
        <v>319</v>
      </c>
      <c r="F158" s="630" t="s">
        <v>319</v>
      </c>
      <c r="G158" s="630" t="s">
        <v>324</v>
      </c>
      <c r="H158" s="601" t="s">
        <v>325</v>
      </c>
      <c r="I158" s="601" t="s">
        <v>397</v>
      </c>
      <c r="J158" s="630" t="s">
        <v>338</v>
      </c>
      <c r="K158" s="630" t="s">
        <v>339</v>
      </c>
      <c r="L158" s="630" t="b">
        <v>0</v>
      </c>
      <c r="M158" s="630" t="s">
        <v>321</v>
      </c>
      <c r="N158" s="630" t="s">
        <v>340</v>
      </c>
      <c r="O158" s="630" t="s">
        <v>341</v>
      </c>
    </row>
    <row r="159" spans="1:15" hidden="1" x14ac:dyDescent="0.25">
      <c r="A159" s="630" t="s">
        <v>336</v>
      </c>
      <c r="B159" s="629">
        <v>2.5</v>
      </c>
      <c r="C159" s="630"/>
      <c r="D159" s="630" t="s">
        <v>319</v>
      </c>
      <c r="E159" s="630" t="s">
        <v>319</v>
      </c>
      <c r="F159" s="630" t="s">
        <v>319</v>
      </c>
      <c r="G159" s="630" t="s">
        <v>324</v>
      </c>
      <c r="H159" s="601" t="s">
        <v>325</v>
      </c>
      <c r="I159" s="601" t="s">
        <v>398</v>
      </c>
      <c r="J159" s="630" t="s">
        <v>338</v>
      </c>
      <c r="K159" s="630" t="s">
        <v>339</v>
      </c>
      <c r="L159" s="630" t="b">
        <v>0</v>
      </c>
      <c r="M159" s="630" t="s">
        <v>321</v>
      </c>
      <c r="N159" s="630" t="s">
        <v>340</v>
      </c>
      <c r="O159" s="630" t="s">
        <v>341</v>
      </c>
    </row>
    <row r="160" spans="1:15" hidden="1" x14ac:dyDescent="0.25">
      <c r="A160" s="630" t="s">
        <v>336</v>
      </c>
      <c r="B160" s="629">
        <v>2.5</v>
      </c>
      <c r="C160" s="630"/>
      <c r="D160" s="630" t="s">
        <v>319</v>
      </c>
      <c r="E160" s="630" t="s">
        <v>319</v>
      </c>
      <c r="F160" s="630" t="s">
        <v>319</v>
      </c>
      <c r="G160" s="630" t="s">
        <v>324</v>
      </c>
      <c r="H160" s="601" t="s">
        <v>325</v>
      </c>
      <c r="I160" s="601" t="s">
        <v>399</v>
      </c>
      <c r="J160" s="630" t="s">
        <v>338</v>
      </c>
      <c r="K160" s="630" t="s">
        <v>339</v>
      </c>
      <c r="L160" s="630" t="b">
        <v>0</v>
      </c>
      <c r="M160" s="630" t="s">
        <v>321</v>
      </c>
      <c r="N160" s="630" t="s">
        <v>340</v>
      </c>
      <c r="O160" s="630" t="s">
        <v>341</v>
      </c>
    </row>
    <row r="161" spans="1:15" hidden="1" x14ac:dyDescent="0.25">
      <c r="A161" s="630" t="s">
        <v>336</v>
      </c>
      <c r="B161" s="629">
        <v>2.5</v>
      </c>
      <c r="C161" s="630"/>
      <c r="D161" s="630" t="s">
        <v>319</v>
      </c>
      <c r="E161" s="630" t="s">
        <v>319</v>
      </c>
      <c r="F161" s="630" t="s">
        <v>319</v>
      </c>
      <c r="G161" s="630" t="s">
        <v>324</v>
      </c>
      <c r="H161" s="601" t="s">
        <v>325</v>
      </c>
      <c r="I161" s="601" t="s">
        <v>400</v>
      </c>
      <c r="J161" s="630" t="s">
        <v>338</v>
      </c>
      <c r="K161" s="630" t="s">
        <v>339</v>
      </c>
      <c r="L161" s="630" t="b">
        <v>0</v>
      </c>
      <c r="M161" s="630" t="s">
        <v>321</v>
      </c>
      <c r="N161" s="630" t="s">
        <v>340</v>
      </c>
      <c r="O161" s="630" t="s">
        <v>341</v>
      </c>
    </row>
    <row r="162" spans="1:15" hidden="1" x14ac:dyDescent="0.25">
      <c r="A162" s="630" t="s">
        <v>336</v>
      </c>
      <c r="B162" s="629">
        <v>2.5</v>
      </c>
      <c r="C162" s="630"/>
      <c r="D162" s="630" t="s">
        <v>319</v>
      </c>
      <c r="E162" s="630" t="s">
        <v>319</v>
      </c>
      <c r="F162" s="630" t="s">
        <v>319</v>
      </c>
      <c r="G162" s="630" t="s">
        <v>324</v>
      </c>
      <c r="H162" s="601" t="s">
        <v>325</v>
      </c>
      <c r="I162" s="601" t="s">
        <v>401</v>
      </c>
      <c r="J162" s="630" t="s">
        <v>338</v>
      </c>
      <c r="K162" s="630" t="s">
        <v>339</v>
      </c>
      <c r="L162" s="630" t="b">
        <v>0</v>
      </c>
      <c r="M162" s="630" t="s">
        <v>321</v>
      </c>
      <c r="N162" s="630" t="s">
        <v>340</v>
      </c>
      <c r="O162" s="630" t="s">
        <v>341</v>
      </c>
    </row>
    <row r="163" spans="1:15" hidden="1" x14ac:dyDescent="0.25">
      <c r="A163" s="630" t="s">
        <v>336</v>
      </c>
      <c r="B163" s="629">
        <v>2.5</v>
      </c>
      <c r="C163" s="630"/>
      <c r="D163" s="630" t="s">
        <v>319</v>
      </c>
      <c r="E163" s="630" t="s">
        <v>319</v>
      </c>
      <c r="F163" s="630" t="s">
        <v>319</v>
      </c>
      <c r="G163" s="630" t="s">
        <v>324</v>
      </c>
      <c r="H163" s="601" t="s">
        <v>325</v>
      </c>
      <c r="I163" s="601" t="s">
        <v>402</v>
      </c>
      <c r="J163" s="630" t="s">
        <v>338</v>
      </c>
      <c r="K163" s="630" t="s">
        <v>339</v>
      </c>
      <c r="L163" s="630" t="b">
        <v>0</v>
      </c>
      <c r="M163" s="630" t="s">
        <v>321</v>
      </c>
      <c r="N163" s="630" t="s">
        <v>340</v>
      </c>
      <c r="O163" s="630" t="s">
        <v>341</v>
      </c>
    </row>
    <row r="164" spans="1:15" hidden="1" x14ac:dyDescent="0.25">
      <c r="A164" s="630" t="s">
        <v>336</v>
      </c>
      <c r="B164" s="629">
        <v>2.5</v>
      </c>
      <c r="C164" s="630"/>
      <c r="D164" s="630" t="s">
        <v>319</v>
      </c>
      <c r="E164" s="630" t="s">
        <v>319</v>
      </c>
      <c r="F164" s="630" t="s">
        <v>319</v>
      </c>
      <c r="G164" s="630" t="s">
        <v>324</v>
      </c>
      <c r="H164" s="601" t="s">
        <v>325</v>
      </c>
      <c r="I164" s="601" t="s">
        <v>403</v>
      </c>
      <c r="J164" s="630" t="s">
        <v>338</v>
      </c>
      <c r="K164" s="630" t="s">
        <v>339</v>
      </c>
      <c r="L164" s="630" t="b">
        <v>0</v>
      </c>
      <c r="M164" s="630" t="s">
        <v>321</v>
      </c>
      <c r="N164" s="630" t="s">
        <v>340</v>
      </c>
      <c r="O164" s="630" t="s">
        <v>341</v>
      </c>
    </row>
    <row r="165" spans="1:15" hidden="1" x14ac:dyDescent="0.25">
      <c r="A165" s="630" t="s">
        <v>336</v>
      </c>
      <c r="B165" s="629">
        <v>2.5</v>
      </c>
      <c r="C165" s="630"/>
      <c r="D165" s="630" t="s">
        <v>319</v>
      </c>
      <c r="E165" s="630" t="s">
        <v>319</v>
      </c>
      <c r="F165" s="630" t="s">
        <v>319</v>
      </c>
      <c r="G165" s="630" t="s">
        <v>324</v>
      </c>
      <c r="H165" s="601" t="s">
        <v>325</v>
      </c>
      <c r="I165" s="601" t="s">
        <v>404</v>
      </c>
      <c r="J165" s="630" t="s">
        <v>338</v>
      </c>
      <c r="K165" s="630" t="s">
        <v>339</v>
      </c>
      <c r="L165" s="630" t="b">
        <v>0</v>
      </c>
      <c r="M165" s="630" t="s">
        <v>321</v>
      </c>
      <c r="N165" s="630" t="s">
        <v>340</v>
      </c>
      <c r="O165" s="630" t="s">
        <v>341</v>
      </c>
    </row>
    <row r="166" spans="1:15" hidden="1" x14ac:dyDescent="0.25">
      <c r="A166" s="630" t="s">
        <v>336</v>
      </c>
      <c r="B166" s="629">
        <v>2.5</v>
      </c>
      <c r="C166" s="630"/>
      <c r="D166" s="630" t="s">
        <v>319</v>
      </c>
      <c r="E166" s="630" t="s">
        <v>319</v>
      </c>
      <c r="F166" s="630" t="s">
        <v>319</v>
      </c>
      <c r="G166" s="630" t="s">
        <v>324</v>
      </c>
      <c r="H166" s="601" t="s">
        <v>325</v>
      </c>
      <c r="I166" s="601" t="s">
        <v>405</v>
      </c>
      <c r="J166" s="630" t="s">
        <v>338</v>
      </c>
      <c r="K166" s="630" t="s">
        <v>339</v>
      </c>
      <c r="L166" s="630" t="b">
        <v>0</v>
      </c>
      <c r="M166" s="630" t="s">
        <v>321</v>
      </c>
      <c r="N166" s="630" t="s">
        <v>340</v>
      </c>
      <c r="O166" s="630" t="s">
        <v>341</v>
      </c>
    </row>
    <row r="167" spans="1:15" hidden="1" x14ac:dyDescent="0.25">
      <c r="A167" s="630" t="s">
        <v>336</v>
      </c>
      <c r="B167" s="629">
        <v>2.5</v>
      </c>
      <c r="C167" s="630"/>
      <c r="D167" s="630" t="s">
        <v>319</v>
      </c>
      <c r="E167" s="630" t="s">
        <v>319</v>
      </c>
      <c r="F167" s="630" t="s">
        <v>319</v>
      </c>
      <c r="G167" s="630" t="s">
        <v>324</v>
      </c>
      <c r="H167" s="601" t="s">
        <v>325</v>
      </c>
      <c r="I167" s="601" t="s">
        <v>406</v>
      </c>
      <c r="J167" s="630" t="s">
        <v>338</v>
      </c>
      <c r="K167" s="630" t="s">
        <v>339</v>
      </c>
      <c r="L167" s="630" t="b">
        <v>0</v>
      </c>
      <c r="M167" s="630" t="s">
        <v>321</v>
      </c>
      <c r="N167" s="630" t="s">
        <v>340</v>
      </c>
      <c r="O167" s="630" t="s">
        <v>341</v>
      </c>
    </row>
    <row r="168" spans="1:15" hidden="1" x14ac:dyDescent="0.25">
      <c r="A168" s="630" t="s">
        <v>336</v>
      </c>
      <c r="B168" s="629">
        <v>2.5</v>
      </c>
      <c r="C168" s="630"/>
      <c r="D168" s="630" t="s">
        <v>319</v>
      </c>
      <c r="E168" s="630" t="s">
        <v>319</v>
      </c>
      <c r="F168" s="630" t="s">
        <v>319</v>
      </c>
      <c r="G168" s="630" t="s">
        <v>324</v>
      </c>
      <c r="H168" s="601" t="s">
        <v>325</v>
      </c>
      <c r="I168" s="601" t="s">
        <v>407</v>
      </c>
      <c r="J168" s="630" t="s">
        <v>338</v>
      </c>
      <c r="K168" s="630" t="s">
        <v>339</v>
      </c>
      <c r="L168" s="630" t="b">
        <v>0</v>
      </c>
      <c r="M168" s="630" t="s">
        <v>321</v>
      </c>
      <c r="N168" s="630" t="s">
        <v>340</v>
      </c>
      <c r="O168" s="630" t="s">
        <v>341</v>
      </c>
    </row>
    <row r="169" spans="1:15" hidden="1" x14ac:dyDescent="0.25">
      <c r="A169" s="630" t="s">
        <v>336</v>
      </c>
      <c r="B169" s="629">
        <v>2.5</v>
      </c>
      <c r="C169" s="630"/>
      <c r="D169" s="630" t="s">
        <v>319</v>
      </c>
      <c r="E169" s="630" t="s">
        <v>319</v>
      </c>
      <c r="F169" s="630" t="s">
        <v>319</v>
      </c>
      <c r="G169" s="630" t="s">
        <v>324</v>
      </c>
      <c r="H169" s="601" t="s">
        <v>325</v>
      </c>
      <c r="I169" s="601" t="s">
        <v>408</v>
      </c>
      <c r="J169" s="630" t="s">
        <v>338</v>
      </c>
      <c r="K169" s="630" t="s">
        <v>339</v>
      </c>
      <c r="L169" s="630" t="b">
        <v>0</v>
      </c>
      <c r="M169" s="630" t="s">
        <v>321</v>
      </c>
      <c r="N169" s="630" t="s">
        <v>340</v>
      </c>
      <c r="O169" s="630" t="s">
        <v>341</v>
      </c>
    </row>
    <row r="170" spans="1:15" hidden="1" x14ac:dyDescent="0.25">
      <c r="A170" s="630" t="s">
        <v>336</v>
      </c>
      <c r="B170" s="629">
        <v>2.5</v>
      </c>
      <c r="C170" s="630"/>
      <c r="D170" s="630" t="s">
        <v>319</v>
      </c>
      <c r="E170" s="630" t="s">
        <v>319</v>
      </c>
      <c r="F170" s="630" t="s">
        <v>319</v>
      </c>
      <c r="G170" s="630" t="s">
        <v>324</v>
      </c>
      <c r="H170" s="601" t="s">
        <v>325</v>
      </c>
      <c r="I170" s="601" t="s">
        <v>409</v>
      </c>
      <c r="J170" s="630" t="s">
        <v>338</v>
      </c>
      <c r="K170" s="630" t="s">
        <v>339</v>
      </c>
      <c r="L170" s="630" t="b">
        <v>0</v>
      </c>
      <c r="M170" s="630" t="s">
        <v>321</v>
      </c>
      <c r="N170" s="630" t="s">
        <v>340</v>
      </c>
      <c r="O170" s="630" t="s">
        <v>341</v>
      </c>
    </row>
    <row r="171" spans="1:15" hidden="1" x14ac:dyDescent="0.25">
      <c r="A171" s="630" t="s">
        <v>336</v>
      </c>
      <c r="B171" s="629">
        <v>2.5</v>
      </c>
      <c r="C171" s="630"/>
      <c r="D171" s="630" t="s">
        <v>319</v>
      </c>
      <c r="E171" s="630" t="s">
        <v>319</v>
      </c>
      <c r="F171" s="630" t="s">
        <v>319</v>
      </c>
      <c r="G171" s="630" t="s">
        <v>324</v>
      </c>
      <c r="H171" s="601" t="s">
        <v>325</v>
      </c>
      <c r="I171" s="601" t="s">
        <v>410</v>
      </c>
      <c r="J171" s="630" t="s">
        <v>338</v>
      </c>
      <c r="K171" s="630" t="s">
        <v>339</v>
      </c>
      <c r="L171" s="630" t="b">
        <v>0</v>
      </c>
      <c r="M171" s="630" t="s">
        <v>321</v>
      </c>
      <c r="N171" s="630" t="s">
        <v>340</v>
      </c>
      <c r="O171" s="630" t="s">
        <v>341</v>
      </c>
    </row>
    <row r="172" spans="1:15" hidden="1" x14ac:dyDescent="0.25">
      <c r="A172" s="630" t="s">
        <v>336</v>
      </c>
      <c r="B172" s="629">
        <v>2.5</v>
      </c>
      <c r="C172" s="630"/>
      <c r="D172" s="630" t="s">
        <v>319</v>
      </c>
      <c r="E172" s="630" t="s">
        <v>319</v>
      </c>
      <c r="F172" s="630" t="s">
        <v>319</v>
      </c>
      <c r="G172" s="630" t="s">
        <v>324</v>
      </c>
      <c r="H172" s="601" t="s">
        <v>325</v>
      </c>
      <c r="I172" s="601" t="s">
        <v>411</v>
      </c>
      <c r="J172" s="630" t="s">
        <v>338</v>
      </c>
      <c r="K172" s="630" t="s">
        <v>339</v>
      </c>
      <c r="L172" s="630" t="b">
        <v>0</v>
      </c>
      <c r="M172" s="630" t="s">
        <v>321</v>
      </c>
      <c r="N172" s="630" t="s">
        <v>340</v>
      </c>
      <c r="O172" s="630" t="s">
        <v>341</v>
      </c>
    </row>
    <row r="173" spans="1:15" hidden="1" x14ac:dyDescent="0.25">
      <c r="A173" s="630" t="s">
        <v>336</v>
      </c>
      <c r="B173" s="629">
        <v>2.5</v>
      </c>
      <c r="C173" s="630"/>
      <c r="D173" s="630" t="s">
        <v>319</v>
      </c>
      <c r="E173" s="630" t="s">
        <v>319</v>
      </c>
      <c r="F173" s="630" t="s">
        <v>319</v>
      </c>
      <c r="G173" s="630" t="s">
        <v>324</v>
      </c>
      <c r="H173" s="601" t="s">
        <v>325</v>
      </c>
      <c r="I173" s="601" t="s">
        <v>412</v>
      </c>
      <c r="J173" s="630" t="s">
        <v>338</v>
      </c>
      <c r="K173" s="630" t="s">
        <v>339</v>
      </c>
      <c r="L173" s="630" t="b">
        <v>0</v>
      </c>
      <c r="M173" s="630" t="s">
        <v>321</v>
      </c>
      <c r="N173" s="630" t="s">
        <v>340</v>
      </c>
      <c r="O173" s="630" t="s">
        <v>341</v>
      </c>
    </row>
    <row r="174" spans="1:15" hidden="1" x14ac:dyDescent="0.25">
      <c r="A174" s="630" t="s">
        <v>336</v>
      </c>
      <c r="B174" s="629">
        <v>2.5</v>
      </c>
      <c r="C174" s="630"/>
      <c r="D174" s="630" t="s">
        <v>319</v>
      </c>
      <c r="E174" s="630" t="s">
        <v>319</v>
      </c>
      <c r="F174" s="630" t="s">
        <v>319</v>
      </c>
      <c r="G174" s="630" t="s">
        <v>324</v>
      </c>
      <c r="H174" s="601" t="s">
        <v>325</v>
      </c>
      <c r="I174" s="601" t="s">
        <v>413</v>
      </c>
      <c r="J174" s="630" t="s">
        <v>338</v>
      </c>
      <c r="K174" s="630" t="s">
        <v>339</v>
      </c>
      <c r="L174" s="630" t="b">
        <v>0</v>
      </c>
      <c r="M174" s="630" t="s">
        <v>321</v>
      </c>
      <c r="N174" s="630" t="s">
        <v>340</v>
      </c>
      <c r="O174" s="630" t="s">
        <v>341</v>
      </c>
    </row>
    <row r="175" spans="1:15" hidden="1" x14ac:dyDescent="0.25">
      <c r="A175" s="630" t="s">
        <v>336</v>
      </c>
      <c r="B175" s="629">
        <v>2.5</v>
      </c>
      <c r="C175" s="630"/>
      <c r="D175" s="630" t="s">
        <v>319</v>
      </c>
      <c r="E175" s="630" t="s">
        <v>319</v>
      </c>
      <c r="F175" s="630" t="s">
        <v>319</v>
      </c>
      <c r="G175" s="630" t="s">
        <v>324</v>
      </c>
      <c r="H175" s="601" t="s">
        <v>325</v>
      </c>
      <c r="I175" s="601" t="s">
        <v>414</v>
      </c>
      <c r="J175" s="630" t="s">
        <v>338</v>
      </c>
      <c r="K175" s="630" t="s">
        <v>339</v>
      </c>
      <c r="L175" s="630" t="b">
        <v>0</v>
      </c>
      <c r="M175" s="630" t="s">
        <v>321</v>
      </c>
      <c r="N175" s="630" t="s">
        <v>340</v>
      </c>
      <c r="O175" s="630" t="s">
        <v>341</v>
      </c>
    </row>
    <row r="176" spans="1:15" hidden="1" x14ac:dyDescent="0.25">
      <c r="A176" s="630" t="s">
        <v>336</v>
      </c>
      <c r="B176" s="629">
        <v>2.5</v>
      </c>
      <c r="C176" s="630"/>
      <c r="D176" s="630" t="s">
        <v>319</v>
      </c>
      <c r="E176" s="630" t="s">
        <v>319</v>
      </c>
      <c r="F176" s="630" t="s">
        <v>319</v>
      </c>
      <c r="G176" s="630" t="s">
        <v>324</v>
      </c>
      <c r="H176" s="601" t="s">
        <v>325</v>
      </c>
      <c r="I176" s="601" t="s">
        <v>415</v>
      </c>
      <c r="J176" s="630" t="s">
        <v>338</v>
      </c>
      <c r="K176" s="630" t="s">
        <v>339</v>
      </c>
      <c r="L176" s="630" t="b">
        <v>0</v>
      </c>
      <c r="M176" s="630" t="s">
        <v>321</v>
      </c>
      <c r="N176" s="630" t="s">
        <v>340</v>
      </c>
      <c r="O176" s="630" t="s">
        <v>341</v>
      </c>
    </row>
    <row r="177" spans="1:15" hidden="1" x14ac:dyDescent="0.25">
      <c r="A177" s="630" t="s">
        <v>336</v>
      </c>
      <c r="B177" s="629">
        <v>2.5</v>
      </c>
      <c r="C177" s="630"/>
      <c r="D177" s="630" t="s">
        <v>319</v>
      </c>
      <c r="E177" s="630" t="s">
        <v>319</v>
      </c>
      <c r="F177" s="630" t="s">
        <v>319</v>
      </c>
      <c r="G177" s="630" t="s">
        <v>324</v>
      </c>
      <c r="H177" s="601" t="s">
        <v>325</v>
      </c>
      <c r="I177" s="601" t="s">
        <v>416</v>
      </c>
      <c r="J177" s="630" t="s">
        <v>338</v>
      </c>
      <c r="K177" s="630" t="s">
        <v>339</v>
      </c>
      <c r="L177" s="630" t="b">
        <v>0</v>
      </c>
      <c r="M177" s="630" t="s">
        <v>321</v>
      </c>
      <c r="N177" s="630" t="s">
        <v>340</v>
      </c>
      <c r="O177" s="630" t="s">
        <v>341</v>
      </c>
    </row>
    <row r="178" spans="1:15" hidden="1" x14ac:dyDescent="0.25">
      <c r="A178" s="630" t="s">
        <v>417</v>
      </c>
      <c r="B178" s="629">
        <v>1</v>
      </c>
      <c r="C178" s="630"/>
      <c r="D178" s="630" t="s">
        <v>319</v>
      </c>
      <c r="E178" s="630" t="s">
        <v>319</v>
      </c>
      <c r="F178" s="630" t="s">
        <v>319</v>
      </c>
      <c r="G178" s="630" t="s">
        <v>418</v>
      </c>
      <c r="H178" s="601" t="s">
        <v>325</v>
      </c>
      <c r="I178" s="601" t="s">
        <v>419</v>
      </c>
      <c r="J178" s="630"/>
      <c r="K178" s="630"/>
      <c r="L178" s="630"/>
      <c r="M178" s="630"/>
      <c r="N178" s="630"/>
      <c r="O178" s="630"/>
    </row>
    <row r="179" spans="1:15" hidden="1" x14ac:dyDescent="0.25">
      <c r="A179" s="630" t="s">
        <v>417</v>
      </c>
      <c r="B179" s="629">
        <v>0.89500000000000002</v>
      </c>
      <c r="C179" s="630"/>
      <c r="D179" s="630" t="s">
        <v>319</v>
      </c>
      <c r="E179" s="630" t="s">
        <v>319</v>
      </c>
      <c r="F179" s="630" t="s">
        <v>319</v>
      </c>
      <c r="G179" s="630" t="s">
        <v>418</v>
      </c>
      <c r="H179" s="601" t="s">
        <v>325</v>
      </c>
      <c r="I179" s="601" t="s">
        <v>420</v>
      </c>
      <c r="J179" s="630"/>
      <c r="K179" s="630"/>
      <c r="L179" s="630"/>
      <c r="M179" s="630"/>
      <c r="N179" s="630"/>
      <c r="O179" s="630"/>
    </row>
    <row r="180" spans="1:15" hidden="1" x14ac:dyDescent="0.25">
      <c r="A180" s="630" t="s">
        <v>417</v>
      </c>
      <c r="B180" s="629">
        <v>0.79</v>
      </c>
      <c r="C180" s="630"/>
      <c r="D180" s="630" t="s">
        <v>319</v>
      </c>
      <c r="E180" s="630" t="s">
        <v>319</v>
      </c>
      <c r="F180" s="630" t="s">
        <v>319</v>
      </c>
      <c r="G180" s="630" t="s">
        <v>418</v>
      </c>
      <c r="H180" s="601" t="s">
        <v>325</v>
      </c>
      <c r="I180" s="601" t="s">
        <v>421</v>
      </c>
      <c r="J180" s="630"/>
      <c r="K180" s="630"/>
      <c r="L180" s="630"/>
      <c r="M180" s="630"/>
      <c r="N180" s="630"/>
      <c r="O180" s="630"/>
    </row>
    <row r="181" spans="1:15" hidden="1" x14ac:dyDescent="0.25">
      <c r="A181" s="630" t="s">
        <v>417</v>
      </c>
      <c r="B181" s="629">
        <v>0.63</v>
      </c>
      <c r="C181" s="630"/>
      <c r="D181" s="630" t="s">
        <v>319</v>
      </c>
      <c r="E181" s="630" t="s">
        <v>319</v>
      </c>
      <c r="F181" s="630" t="s">
        <v>319</v>
      </c>
      <c r="G181" s="630" t="s">
        <v>418</v>
      </c>
      <c r="H181" s="601" t="s">
        <v>325</v>
      </c>
      <c r="I181" s="601" t="s">
        <v>422</v>
      </c>
      <c r="J181" s="630"/>
      <c r="K181" s="630"/>
      <c r="L181" s="630"/>
      <c r="M181" s="630"/>
      <c r="N181" s="630"/>
      <c r="O181" s="630"/>
    </row>
    <row r="182" spans="1:15" hidden="1" x14ac:dyDescent="0.25">
      <c r="A182" s="630" t="s">
        <v>417</v>
      </c>
      <c r="B182" s="629">
        <v>0.53849999999999998</v>
      </c>
      <c r="C182" s="630"/>
      <c r="D182" s="630" t="s">
        <v>319</v>
      </c>
      <c r="E182" s="630" t="s">
        <v>319</v>
      </c>
      <c r="F182" s="630" t="s">
        <v>319</v>
      </c>
      <c r="G182" s="630" t="s">
        <v>418</v>
      </c>
      <c r="H182" s="601" t="s">
        <v>325</v>
      </c>
      <c r="I182" s="601" t="s">
        <v>423</v>
      </c>
      <c r="J182" s="630"/>
      <c r="K182" s="630"/>
      <c r="L182" s="630"/>
      <c r="M182" s="630"/>
      <c r="N182" s="630"/>
      <c r="O182" s="630"/>
    </row>
    <row r="183" spans="1:15" hidden="1" x14ac:dyDescent="0.25">
      <c r="A183" s="630" t="s">
        <v>417</v>
      </c>
      <c r="B183" s="629">
        <v>0.47110000000000002</v>
      </c>
      <c r="C183" s="630"/>
      <c r="D183" s="630" t="s">
        <v>319</v>
      </c>
      <c r="E183" s="630" t="s">
        <v>319</v>
      </c>
      <c r="F183" s="630" t="s">
        <v>319</v>
      </c>
      <c r="G183" s="630" t="s">
        <v>418</v>
      </c>
      <c r="H183" s="601" t="s">
        <v>325</v>
      </c>
      <c r="I183" s="601" t="s">
        <v>424</v>
      </c>
      <c r="J183" s="630"/>
      <c r="K183" s="630"/>
      <c r="L183" s="630"/>
      <c r="M183" s="630"/>
      <c r="N183" s="630"/>
      <c r="O183" s="630"/>
    </row>
    <row r="184" spans="1:15" hidden="1" x14ac:dyDescent="0.25">
      <c r="A184" s="630" t="s">
        <v>417</v>
      </c>
      <c r="B184" s="629">
        <v>0.4239</v>
      </c>
      <c r="C184" s="630"/>
      <c r="D184" s="630" t="s">
        <v>319</v>
      </c>
      <c r="E184" s="630" t="s">
        <v>319</v>
      </c>
      <c r="F184" s="630" t="s">
        <v>319</v>
      </c>
      <c r="G184" s="630" t="s">
        <v>418</v>
      </c>
      <c r="H184" s="601" t="s">
        <v>325</v>
      </c>
      <c r="I184" s="601" t="s">
        <v>425</v>
      </c>
      <c r="J184" s="630"/>
      <c r="K184" s="630"/>
      <c r="L184" s="630"/>
      <c r="M184" s="630"/>
      <c r="N184" s="630"/>
      <c r="O184" s="630"/>
    </row>
    <row r="185" spans="1:15" hidden="1" x14ac:dyDescent="0.25">
      <c r="A185" s="630" t="s">
        <v>417</v>
      </c>
      <c r="B185" s="629">
        <v>0.38940000000000002</v>
      </c>
      <c r="C185" s="630"/>
      <c r="D185" s="630" t="s">
        <v>319</v>
      </c>
      <c r="E185" s="630" t="s">
        <v>319</v>
      </c>
      <c r="F185" s="630" t="s">
        <v>319</v>
      </c>
      <c r="G185" s="630" t="s">
        <v>418</v>
      </c>
      <c r="H185" s="601" t="s">
        <v>325</v>
      </c>
      <c r="I185" s="601" t="s">
        <v>426</v>
      </c>
      <c r="J185" s="630"/>
      <c r="K185" s="630"/>
      <c r="L185" s="630"/>
      <c r="M185" s="630"/>
      <c r="N185" s="630"/>
      <c r="O185" s="630"/>
    </row>
    <row r="186" spans="1:15" hidden="1" x14ac:dyDescent="0.25">
      <c r="A186" s="630" t="s">
        <v>417</v>
      </c>
      <c r="B186" s="629">
        <v>0.3634</v>
      </c>
      <c r="C186" s="630"/>
      <c r="D186" s="630" t="s">
        <v>319</v>
      </c>
      <c r="E186" s="630" t="s">
        <v>319</v>
      </c>
      <c r="F186" s="630" t="s">
        <v>319</v>
      </c>
      <c r="G186" s="630" t="s">
        <v>418</v>
      </c>
      <c r="H186" s="601" t="s">
        <v>325</v>
      </c>
      <c r="I186" s="601" t="s">
        <v>427</v>
      </c>
      <c r="J186" s="630"/>
      <c r="K186" s="630"/>
      <c r="L186" s="630"/>
      <c r="M186" s="630"/>
      <c r="N186" s="630"/>
      <c r="O186" s="630"/>
    </row>
    <row r="187" spans="1:15" hidden="1" x14ac:dyDescent="0.25">
      <c r="A187" s="630" t="s">
        <v>417</v>
      </c>
      <c r="B187" s="629">
        <v>0.34339999999999998</v>
      </c>
      <c r="C187" s="630"/>
      <c r="D187" s="630" t="s">
        <v>319</v>
      </c>
      <c r="E187" s="630" t="s">
        <v>319</v>
      </c>
      <c r="F187" s="630" t="s">
        <v>319</v>
      </c>
      <c r="G187" s="630" t="s">
        <v>418</v>
      </c>
      <c r="H187" s="601" t="s">
        <v>325</v>
      </c>
      <c r="I187" s="601" t="s">
        <v>428</v>
      </c>
      <c r="J187" s="630"/>
      <c r="K187" s="630"/>
      <c r="L187" s="630"/>
      <c r="M187" s="630"/>
      <c r="N187" s="630"/>
      <c r="O187" s="630"/>
    </row>
    <row r="188" spans="1:15" hidden="1" x14ac:dyDescent="0.25">
      <c r="A188" s="630" t="s">
        <v>417</v>
      </c>
      <c r="B188" s="629">
        <v>0.32769999999999999</v>
      </c>
      <c r="C188" s="630"/>
      <c r="D188" s="630" t="s">
        <v>319</v>
      </c>
      <c r="E188" s="630" t="s">
        <v>319</v>
      </c>
      <c r="F188" s="630" t="s">
        <v>319</v>
      </c>
      <c r="G188" s="630" t="s">
        <v>418</v>
      </c>
      <c r="H188" s="601" t="s">
        <v>325</v>
      </c>
      <c r="I188" s="601" t="s">
        <v>429</v>
      </c>
      <c r="J188" s="630"/>
      <c r="K188" s="630"/>
      <c r="L188" s="630"/>
      <c r="M188" s="630"/>
      <c r="N188" s="630"/>
      <c r="O188" s="630"/>
    </row>
    <row r="189" spans="1:15" hidden="1" x14ac:dyDescent="0.25">
      <c r="A189" s="630" t="s">
        <v>417</v>
      </c>
      <c r="B189" s="629">
        <v>0.31540000000000001</v>
      </c>
      <c r="C189" s="630"/>
      <c r="D189" s="630" t="s">
        <v>319</v>
      </c>
      <c r="E189" s="630" t="s">
        <v>319</v>
      </c>
      <c r="F189" s="630" t="s">
        <v>319</v>
      </c>
      <c r="G189" s="630" t="s">
        <v>418</v>
      </c>
      <c r="H189" s="601" t="s">
        <v>325</v>
      </c>
      <c r="I189" s="601" t="s">
        <v>430</v>
      </c>
      <c r="J189" s="630"/>
      <c r="K189" s="630"/>
      <c r="L189" s="630"/>
      <c r="M189" s="630"/>
      <c r="N189" s="630"/>
      <c r="O189" s="630"/>
    </row>
    <row r="190" spans="1:15" hidden="1" x14ac:dyDescent="0.25">
      <c r="A190" s="630" t="s">
        <v>417</v>
      </c>
      <c r="B190" s="629">
        <v>0.29959999999999998</v>
      </c>
      <c r="C190" s="630"/>
      <c r="D190" s="630" t="s">
        <v>319</v>
      </c>
      <c r="E190" s="630" t="s">
        <v>319</v>
      </c>
      <c r="F190" s="630" t="s">
        <v>319</v>
      </c>
      <c r="G190" s="630" t="s">
        <v>418</v>
      </c>
      <c r="H190" s="601" t="s">
        <v>325</v>
      </c>
      <c r="I190" s="601" t="s">
        <v>431</v>
      </c>
      <c r="J190" s="630"/>
      <c r="K190" s="630"/>
      <c r="L190" s="630"/>
      <c r="M190" s="630"/>
      <c r="N190" s="630"/>
      <c r="O190" s="630"/>
    </row>
    <row r="191" spans="1:15" hidden="1" x14ac:dyDescent="0.25">
      <c r="A191" s="630" t="s">
        <v>417</v>
      </c>
      <c r="B191" s="629">
        <v>0.28639999999999999</v>
      </c>
      <c r="C191" s="630"/>
      <c r="D191" s="630" t="s">
        <v>319</v>
      </c>
      <c r="E191" s="630" t="s">
        <v>319</v>
      </c>
      <c r="F191" s="630" t="s">
        <v>319</v>
      </c>
      <c r="G191" s="630" t="s">
        <v>418</v>
      </c>
      <c r="H191" s="601" t="s">
        <v>325</v>
      </c>
      <c r="I191" s="601" t="s">
        <v>432</v>
      </c>
      <c r="J191" s="630"/>
      <c r="K191" s="630"/>
      <c r="L191" s="630"/>
      <c r="M191" s="630"/>
      <c r="N191" s="630"/>
      <c r="O191" s="630"/>
    </row>
    <row r="192" spans="1:15" hidden="1" x14ac:dyDescent="0.25">
      <c r="A192" s="630" t="s">
        <v>417</v>
      </c>
      <c r="B192" s="629">
        <v>0.27510000000000001</v>
      </c>
      <c r="C192" s="630"/>
      <c r="D192" s="630" t="s">
        <v>319</v>
      </c>
      <c r="E192" s="630" t="s">
        <v>319</v>
      </c>
      <c r="F192" s="630" t="s">
        <v>319</v>
      </c>
      <c r="G192" s="630" t="s">
        <v>418</v>
      </c>
      <c r="H192" s="601" t="s">
        <v>325</v>
      </c>
      <c r="I192" s="601" t="s">
        <v>433</v>
      </c>
      <c r="J192" s="630"/>
      <c r="K192" s="630"/>
      <c r="L192" s="630"/>
      <c r="M192" s="630"/>
      <c r="N192" s="630"/>
      <c r="O192" s="630"/>
    </row>
    <row r="193" spans="1:15" hidden="1" x14ac:dyDescent="0.25">
      <c r="A193" s="630" t="s">
        <v>417</v>
      </c>
      <c r="B193" s="629">
        <v>0.26550000000000001</v>
      </c>
      <c r="C193" s="630"/>
      <c r="D193" s="630" t="s">
        <v>319</v>
      </c>
      <c r="E193" s="630" t="s">
        <v>319</v>
      </c>
      <c r="F193" s="630" t="s">
        <v>319</v>
      </c>
      <c r="G193" s="630" t="s">
        <v>418</v>
      </c>
      <c r="H193" s="601" t="s">
        <v>325</v>
      </c>
      <c r="I193" s="601" t="s">
        <v>434</v>
      </c>
      <c r="J193" s="630"/>
      <c r="K193" s="630"/>
      <c r="L193" s="630"/>
      <c r="M193" s="630"/>
      <c r="N193" s="630"/>
      <c r="O193" s="630"/>
    </row>
    <row r="194" spans="1:15" hidden="1" x14ac:dyDescent="0.25">
      <c r="A194" s="630" t="s">
        <v>417</v>
      </c>
      <c r="B194" s="629">
        <v>0.25719999999999998</v>
      </c>
      <c r="C194" s="630"/>
      <c r="D194" s="630" t="s">
        <v>319</v>
      </c>
      <c r="E194" s="630" t="s">
        <v>319</v>
      </c>
      <c r="F194" s="630" t="s">
        <v>319</v>
      </c>
      <c r="G194" s="630" t="s">
        <v>418</v>
      </c>
      <c r="H194" s="601" t="s">
        <v>325</v>
      </c>
      <c r="I194" s="601" t="s">
        <v>435</v>
      </c>
      <c r="J194" s="630"/>
      <c r="K194" s="630"/>
      <c r="L194" s="630"/>
      <c r="M194" s="630"/>
      <c r="N194" s="630"/>
      <c r="O194" s="630"/>
    </row>
    <row r="195" spans="1:15" hidden="1" x14ac:dyDescent="0.25">
      <c r="A195" s="630" t="s">
        <v>417</v>
      </c>
      <c r="B195" s="629">
        <v>0.25</v>
      </c>
      <c r="C195" s="630"/>
      <c r="D195" s="630" t="s">
        <v>319</v>
      </c>
      <c r="E195" s="630" t="s">
        <v>319</v>
      </c>
      <c r="F195" s="630" t="s">
        <v>319</v>
      </c>
      <c r="G195" s="630" t="s">
        <v>418</v>
      </c>
      <c r="H195" s="601" t="s">
        <v>325</v>
      </c>
      <c r="I195" s="601" t="s">
        <v>436</v>
      </c>
      <c r="J195" s="630"/>
      <c r="K195" s="630"/>
      <c r="L195" s="630"/>
      <c r="M195" s="630"/>
      <c r="N195" s="630"/>
      <c r="O195" s="630"/>
    </row>
    <row r="196" spans="1:15" hidden="1" x14ac:dyDescent="0.25">
      <c r="A196" s="630" t="s">
        <v>417</v>
      </c>
      <c r="B196" s="629">
        <v>0.24199999999999999</v>
      </c>
      <c r="C196" s="630"/>
      <c r="D196" s="630" t="s">
        <v>319</v>
      </c>
      <c r="E196" s="630" t="s">
        <v>319</v>
      </c>
      <c r="F196" s="630" t="s">
        <v>319</v>
      </c>
      <c r="G196" s="630" t="s">
        <v>418</v>
      </c>
      <c r="H196" s="601" t="s">
        <v>325</v>
      </c>
      <c r="I196" s="601" t="s">
        <v>437</v>
      </c>
      <c r="J196" s="630"/>
      <c r="K196" s="630"/>
      <c r="L196" s="630"/>
      <c r="M196" s="630"/>
      <c r="N196" s="630"/>
      <c r="O196" s="630"/>
    </row>
    <row r="197" spans="1:15" hidden="1" x14ac:dyDescent="0.25">
      <c r="A197" s="630" t="s">
        <v>417</v>
      </c>
      <c r="B197" s="629">
        <v>0.23499999999999999</v>
      </c>
      <c r="C197" s="630"/>
      <c r="D197" s="630" t="s">
        <v>319</v>
      </c>
      <c r="E197" s="630" t="s">
        <v>319</v>
      </c>
      <c r="F197" s="630" t="s">
        <v>319</v>
      </c>
      <c r="G197" s="630" t="s">
        <v>418</v>
      </c>
      <c r="H197" s="601" t="s">
        <v>325</v>
      </c>
      <c r="I197" s="601" t="s">
        <v>438</v>
      </c>
      <c r="J197" s="630"/>
      <c r="K197" s="630"/>
      <c r="L197" s="630"/>
      <c r="M197" s="630"/>
      <c r="N197" s="630"/>
      <c r="O197" s="630"/>
    </row>
    <row r="198" spans="1:15" hidden="1" x14ac:dyDescent="0.25">
      <c r="A198" s="630" t="s">
        <v>417</v>
      </c>
      <c r="B198" s="629">
        <v>0.2</v>
      </c>
      <c r="C198" s="630"/>
      <c r="D198" s="630" t="s">
        <v>319</v>
      </c>
      <c r="E198" s="630" t="s">
        <v>319</v>
      </c>
      <c r="F198" s="630" t="s">
        <v>319</v>
      </c>
      <c r="G198" s="630" t="s">
        <v>418</v>
      </c>
      <c r="H198" s="601" t="s">
        <v>325</v>
      </c>
      <c r="I198" s="601" t="s">
        <v>439</v>
      </c>
      <c r="J198" s="630"/>
      <c r="K198" s="630"/>
      <c r="L198" s="630"/>
      <c r="M198" s="630"/>
      <c r="N198" s="630"/>
      <c r="O198" s="630"/>
    </row>
    <row r="199" spans="1:15" hidden="1" x14ac:dyDescent="0.25">
      <c r="A199" s="630" t="s">
        <v>417</v>
      </c>
      <c r="B199" s="629">
        <v>0.15</v>
      </c>
      <c r="C199" s="630"/>
      <c r="D199" s="630" t="s">
        <v>319</v>
      </c>
      <c r="E199" s="630" t="s">
        <v>319</v>
      </c>
      <c r="F199" s="630" t="s">
        <v>319</v>
      </c>
      <c r="G199" s="630" t="s">
        <v>418</v>
      </c>
      <c r="H199" s="601" t="s">
        <v>325</v>
      </c>
      <c r="I199" s="601" t="s">
        <v>440</v>
      </c>
      <c r="J199" s="630"/>
      <c r="K199" s="630"/>
      <c r="L199" s="630"/>
      <c r="M199" s="630"/>
      <c r="N199" s="630"/>
      <c r="O199" s="630"/>
    </row>
    <row r="200" spans="1:15" hidden="1" x14ac:dyDescent="0.25">
      <c r="A200" s="630" t="s">
        <v>417</v>
      </c>
      <c r="B200" s="629">
        <v>0.12</v>
      </c>
      <c r="C200" s="630"/>
      <c r="D200" s="630" t="s">
        <v>319</v>
      </c>
      <c r="E200" s="630" t="s">
        <v>319</v>
      </c>
      <c r="F200" s="630" t="s">
        <v>319</v>
      </c>
      <c r="G200" s="630" t="s">
        <v>418</v>
      </c>
      <c r="H200" s="601" t="s">
        <v>325</v>
      </c>
      <c r="I200" s="601" t="s">
        <v>441</v>
      </c>
      <c r="J200" s="630"/>
      <c r="K200" s="630"/>
      <c r="L200" s="630"/>
      <c r="M200" s="630"/>
      <c r="N200" s="630"/>
      <c r="O200" s="630"/>
    </row>
    <row r="201" spans="1:15" hidden="1" x14ac:dyDescent="0.25">
      <c r="A201" s="630" t="s">
        <v>417</v>
      </c>
      <c r="B201" s="629">
        <v>8.5999999999999993E-2</v>
      </c>
      <c r="C201" s="630"/>
      <c r="D201" s="630" t="s">
        <v>319</v>
      </c>
      <c r="E201" s="630" t="s">
        <v>319</v>
      </c>
      <c r="F201" s="630" t="s">
        <v>319</v>
      </c>
      <c r="G201" s="630" t="s">
        <v>418</v>
      </c>
      <c r="H201" s="601" t="s">
        <v>325</v>
      </c>
      <c r="I201" s="601" t="s">
        <v>442</v>
      </c>
      <c r="J201" s="630"/>
      <c r="K201" s="630"/>
      <c r="L201" s="630"/>
      <c r="M201" s="630"/>
      <c r="N201" s="630"/>
      <c r="O201" s="630"/>
    </row>
    <row r="202" spans="1:15" hidden="1" x14ac:dyDescent="0.25">
      <c r="A202" s="630" t="s">
        <v>417</v>
      </c>
      <c r="B202" s="629">
        <v>6.2E-2</v>
      </c>
      <c r="C202" s="630"/>
      <c r="D202" s="630" t="s">
        <v>319</v>
      </c>
      <c r="E202" s="630" t="s">
        <v>319</v>
      </c>
      <c r="F202" s="630" t="s">
        <v>319</v>
      </c>
      <c r="G202" s="630" t="s">
        <v>418</v>
      </c>
      <c r="H202" s="601" t="s">
        <v>325</v>
      </c>
      <c r="I202" s="601" t="s">
        <v>443</v>
      </c>
      <c r="J202" s="630"/>
      <c r="K202" s="630"/>
      <c r="L202" s="630"/>
      <c r="M202" s="630"/>
      <c r="N202" s="630"/>
      <c r="O202" s="630"/>
    </row>
    <row r="203" spans="1:15" hidden="1" x14ac:dyDescent="0.25">
      <c r="A203" s="630" t="s">
        <v>417</v>
      </c>
      <c r="B203" s="629">
        <v>4.3999999999999997E-2</v>
      </c>
      <c r="C203" s="630"/>
      <c r="D203" s="630" t="s">
        <v>319</v>
      </c>
      <c r="E203" s="630" t="s">
        <v>319</v>
      </c>
      <c r="F203" s="630" t="s">
        <v>319</v>
      </c>
      <c r="G203" s="630" t="s">
        <v>418</v>
      </c>
      <c r="H203" s="601" t="s">
        <v>325</v>
      </c>
      <c r="I203" s="601" t="s">
        <v>444</v>
      </c>
      <c r="J203" s="630"/>
      <c r="K203" s="630"/>
      <c r="L203" s="630"/>
      <c r="M203" s="630"/>
      <c r="N203" s="630"/>
      <c r="O203" s="630"/>
    </row>
    <row r="204" spans="1:15" hidden="1" x14ac:dyDescent="0.25">
      <c r="A204" s="630" t="s">
        <v>417</v>
      </c>
      <c r="B204" s="629">
        <v>3.2000000000000001E-2</v>
      </c>
      <c r="C204" s="630"/>
      <c r="D204" s="630" t="s">
        <v>319</v>
      </c>
      <c r="E204" s="630" t="s">
        <v>319</v>
      </c>
      <c r="F204" s="630" t="s">
        <v>319</v>
      </c>
      <c r="G204" s="630" t="s">
        <v>418</v>
      </c>
      <c r="H204" s="601" t="s">
        <v>325</v>
      </c>
      <c r="I204" s="601" t="s">
        <v>445</v>
      </c>
      <c r="J204" s="630"/>
      <c r="K204" s="630"/>
      <c r="L204" s="630"/>
      <c r="M204" s="630"/>
      <c r="N204" s="630"/>
      <c r="O204" s="630"/>
    </row>
    <row r="205" spans="1:15" hidden="1" x14ac:dyDescent="0.25">
      <c r="A205" s="630" t="s">
        <v>417</v>
      </c>
      <c r="B205" s="629">
        <v>2.5000000000000001E-2</v>
      </c>
      <c r="C205" s="630"/>
      <c r="D205" s="630" t="s">
        <v>319</v>
      </c>
      <c r="E205" s="630" t="s">
        <v>319</v>
      </c>
      <c r="F205" s="630" t="s">
        <v>319</v>
      </c>
      <c r="G205" s="630" t="s">
        <v>418</v>
      </c>
      <c r="H205" s="601" t="s">
        <v>325</v>
      </c>
      <c r="I205" s="601" t="s">
        <v>446</v>
      </c>
      <c r="J205" s="630"/>
      <c r="K205" s="630"/>
      <c r="L205" s="630"/>
      <c r="M205" s="630"/>
      <c r="N205" s="630"/>
      <c r="O205" s="630"/>
    </row>
    <row r="206" spans="1:15" hidden="1" x14ac:dyDescent="0.25">
      <c r="A206" s="630" t="s">
        <v>417</v>
      </c>
      <c r="B206" s="629">
        <v>0.02</v>
      </c>
      <c r="C206" s="630"/>
      <c r="D206" s="630" t="s">
        <v>319</v>
      </c>
      <c r="E206" s="630" t="s">
        <v>319</v>
      </c>
      <c r="F206" s="630" t="s">
        <v>319</v>
      </c>
      <c r="G206" s="630" t="s">
        <v>418</v>
      </c>
      <c r="H206" s="601" t="s">
        <v>325</v>
      </c>
      <c r="I206" s="601" t="s">
        <v>447</v>
      </c>
      <c r="J206" s="630"/>
      <c r="K206" s="630"/>
      <c r="L206" s="630"/>
      <c r="M206" s="630"/>
      <c r="N206" s="630"/>
      <c r="O206" s="630"/>
    </row>
    <row r="207" spans="1:15" hidden="1" x14ac:dyDescent="0.25">
      <c r="A207" s="601" t="s">
        <v>448</v>
      </c>
      <c r="B207" s="636">
        <v>3.4910000000000001</v>
      </c>
      <c r="C207" s="601"/>
      <c r="D207" s="601" t="s">
        <v>319</v>
      </c>
      <c r="E207" s="601" t="s">
        <v>319</v>
      </c>
      <c r="F207" s="601" t="s">
        <v>319</v>
      </c>
      <c r="G207" s="601" t="s">
        <v>449</v>
      </c>
      <c r="H207" s="601" t="s">
        <v>325</v>
      </c>
      <c r="I207" s="601" t="s">
        <v>450</v>
      </c>
      <c r="J207" s="575"/>
      <c r="K207" s="575"/>
      <c r="L207" s="575"/>
      <c r="M207" s="575"/>
      <c r="N207" s="575"/>
      <c r="O207" s="575"/>
    </row>
    <row r="208" spans="1:15" hidden="1" x14ac:dyDescent="0.25">
      <c r="A208" s="601" t="s">
        <v>448</v>
      </c>
      <c r="B208" s="636">
        <v>3.222</v>
      </c>
      <c r="C208" s="601"/>
      <c r="D208" s="601" t="s">
        <v>319</v>
      </c>
      <c r="E208" s="601" t="s">
        <v>319</v>
      </c>
      <c r="F208" s="601" t="s">
        <v>319</v>
      </c>
      <c r="G208" s="601" t="s">
        <v>449</v>
      </c>
      <c r="H208" s="601" t="s">
        <v>325</v>
      </c>
      <c r="I208" s="601" t="s">
        <v>451</v>
      </c>
      <c r="J208" s="575"/>
      <c r="K208" s="575"/>
      <c r="L208" s="575"/>
      <c r="M208" s="575"/>
      <c r="N208" s="575"/>
      <c r="O208" s="575"/>
    </row>
    <row r="209" spans="1:15" hidden="1" x14ac:dyDescent="0.25">
      <c r="A209" s="601" t="s">
        <v>448</v>
      </c>
      <c r="B209" s="636">
        <v>3.004</v>
      </c>
      <c r="C209" s="601"/>
      <c r="D209" s="601" t="s">
        <v>319</v>
      </c>
      <c r="E209" s="601" t="s">
        <v>319</v>
      </c>
      <c r="F209" s="601" t="s">
        <v>319</v>
      </c>
      <c r="G209" s="601" t="s">
        <v>449</v>
      </c>
      <c r="H209" s="601" t="s">
        <v>325</v>
      </c>
      <c r="I209" s="601" t="s">
        <v>452</v>
      </c>
      <c r="J209" s="575"/>
      <c r="K209" s="575"/>
      <c r="L209" s="575"/>
      <c r="M209" s="575"/>
      <c r="N209" s="575"/>
      <c r="O209" s="575"/>
    </row>
    <row r="210" spans="1:15" hidden="1" x14ac:dyDescent="0.25">
      <c r="A210" s="601" t="s">
        <v>448</v>
      </c>
      <c r="B210" s="636">
        <v>2.8460000000000001</v>
      </c>
      <c r="C210" s="601"/>
      <c r="D210" s="601" t="s">
        <v>319</v>
      </c>
      <c r="E210" s="601" t="s">
        <v>319</v>
      </c>
      <c r="F210" s="601" t="s">
        <v>319</v>
      </c>
      <c r="G210" s="601" t="s">
        <v>449</v>
      </c>
      <c r="H210" s="601" t="s">
        <v>325</v>
      </c>
      <c r="I210" s="601" t="s">
        <v>453</v>
      </c>
      <c r="J210" s="575"/>
      <c r="K210" s="575"/>
      <c r="L210" s="575"/>
      <c r="M210" s="575"/>
      <c r="N210" s="575"/>
      <c r="O210" s="575"/>
    </row>
    <row r="211" spans="1:15" hidden="1" x14ac:dyDescent="0.25">
      <c r="A211" s="601" t="s">
        <v>448</v>
      </c>
      <c r="B211" s="636">
        <v>2.7010000000000001</v>
      </c>
      <c r="C211" s="601"/>
      <c r="D211" s="601" t="s">
        <v>319</v>
      </c>
      <c r="E211" s="601" t="s">
        <v>319</v>
      </c>
      <c r="F211" s="601" t="s">
        <v>319</v>
      </c>
      <c r="G211" s="601" t="s">
        <v>449</v>
      </c>
      <c r="H211" s="601" t="s">
        <v>325</v>
      </c>
      <c r="I211" s="601" t="s">
        <v>454</v>
      </c>
      <c r="J211" s="575"/>
      <c r="K211" s="575"/>
      <c r="L211" s="575"/>
      <c r="M211" s="575"/>
      <c r="N211" s="575"/>
      <c r="O211" s="575"/>
    </row>
    <row r="212" spans="1:15" hidden="1" x14ac:dyDescent="0.25">
      <c r="A212" s="601" t="s">
        <v>448</v>
      </c>
      <c r="B212" s="636">
        <v>2.5670000000000002</v>
      </c>
      <c r="C212" s="601"/>
      <c r="D212" s="601" t="s">
        <v>319</v>
      </c>
      <c r="E212" s="601" t="s">
        <v>319</v>
      </c>
      <c r="F212" s="601" t="s">
        <v>319</v>
      </c>
      <c r="G212" s="601" t="s">
        <v>449</v>
      </c>
      <c r="H212" s="601" t="s">
        <v>325</v>
      </c>
      <c r="I212" s="601" t="s">
        <v>455</v>
      </c>
      <c r="J212" s="575"/>
      <c r="K212" s="575"/>
      <c r="L212" s="575"/>
      <c r="M212" s="575"/>
      <c r="N212" s="575"/>
      <c r="O212" s="575"/>
    </row>
    <row r="213" spans="1:15" hidden="1" x14ac:dyDescent="0.25">
      <c r="A213" s="601" t="s">
        <v>448</v>
      </c>
      <c r="B213" s="636">
        <v>2.4470000000000001</v>
      </c>
      <c r="C213" s="601"/>
      <c r="D213" s="601" t="s">
        <v>319</v>
      </c>
      <c r="E213" s="601" t="s">
        <v>319</v>
      </c>
      <c r="F213" s="601" t="s">
        <v>319</v>
      </c>
      <c r="G213" s="601" t="s">
        <v>449</v>
      </c>
      <c r="H213" s="601" t="s">
        <v>325</v>
      </c>
      <c r="I213" s="601" t="s">
        <v>456</v>
      </c>
      <c r="J213" s="575"/>
      <c r="K213" s="575"/>
      <c r="L213" s="575"/>
      <c r="M213" s="575"/>
      <c r="N213" s="575"/>
      <c r="O213" s="575"/>
    </row>
    <row r="214" spans="1:15" hidden="1" x14ac:dyDescent="0.25">
      <c r="A214" s="601" t="s">
        <v>448</v>
      </c>
      <c r="B214" s="636">
        <v>2.3420000000000001</v>
      </c>
      <c r="C214" s="601"/>
      <c r="D214" s="601" t="s">
        <v>319</v>
      </c>
      <c r="E214" s="601" t="s">
        <v>319</v>
      </c>
      <c r="F214" s="601" t="s">
        <v>319</v>
      </c>
      <c r="G214" s="601" t="s">
        <v>449</v>
      </c>
      <c r="H214" s="601" t="s">
        <v>325</v>
      </c>
      <c r="I214" s="601" t="s">
        <v>457</v>
      </c>
      <c r="J214" s="575"/>
      <c r="K214" s="575"/>
      <c r="L214" s="575"/>
      <c r="M214" s="575"/>
      <c r="N214" s="575"/>
      <c r="O214" s="575"/>
    </row>
    <row r="215" spans="1:15" hidden="1" x14ac:dyDescent="0.25">
      <c r="A215" s="601" t="s">
        <v>448</v>
      </c>
      <c r="B215" s="636">
        <v>2.25</v>
      </c>
      <c r="C215" s="601"/>
      <c r="D215" s="601" t="s">
        <v>319</v>
      </c>
      <c r="E215" s="601" t="s">
        <v>319</v>
      </c>
      <c r="F215" s="601" t="s">
        <v>319</v>
      </c>
      <c r="G215" s="601" t="s">
        <v>449</v>
      </c>
      <c r="H215" s="601" t="s">
        <v>325</v>
      </c>
      <c r="I215" s="601" t="s">
        <v>458</v>
      </c>
      <c r="J215" s="575"/>
      <c r="K215" s="575"/>
      <c r="L215" s="575"/>
      <c r="M215" s="575"/>
      <c r="N215" s="575"/>
      <c r="O215" s="575"/>
    </row>
    <row r="216" spans="1:15" hidden="1" x14ac:dyDescent="0.25">
      <c r="A216" s="601" t="s">
        <v>448</v>
      </c>
      <c r="B216" s="636">
        <v>2.105</v>
      </c>
      <c r="C216" s="601"/>
      <c r="D216" s="601" t="s">
        <v>319</v>
      </c>
      <c r="E216" s="601" t="s">
        <v>319</v>
      </c>
      <c r="F216" s="601" t="s">
        <v>319</v>
      </c>
      <c r="G216" s="601" t="s">
        <v>449</v>
      </c>
      <c r="H216" s="601" t="s">
        <v>325</v>
      </c>
      <c r="I216" s="601" t="s">
        <v>459</v>
      </c>
      <c r="J216" s="575"/>
      <c r="K216" s="575"/>
      <c r="L216" s="575"/>
      <c r="M216" s="575"/>
      <c r="N216" s="575"/>
      <c r="O216" s="575"/>
    </row>
    <row r="217" spans="1:15" hidden="1" x14ac:dyDescent="0.25">
      <c r="A217" s="601" t="s">
        <v>448</v>
      </c>
      <c r="B217" s="636">
        <v>1.889</v>
      </c>
      <c r="C217" s="601"/>
      <c r="D217" s="601" t="s">
        <v>319</v>
      </c>
      <c r="E217" s="601" t="s">
        <v>319</v>
      </c>
      <c r="F217" s="601" t="s">
        <v>319</v>
      </c>
      <c r="G217" s="601" t="s">
        <v>449</v>
      </c>
      <c r="H217" s="601" t="s">
        <v>325</v>
      </c>
      <c r="I217" s="601" t="s">
        <v>460</v>
      </c>
      <c r="J217" s="575"/>
      <c r="K217" s="575"/>
      <c r="L217" s="575"/>
      <c r="M217" s="575"/>
      <c r="N217" s="575"/>
      <c r="O217" s="575"/>
    </row>
    <row r="218" spans="1:15" hidden="1" x14ac:dyDescent="0.25">
      <c r="A218" s="601" t="s">
        <v>448</v>
      </c>
      <c r="B218" s="636">
        <v>1.6020000000000001</v>
      </c>
      <c r="C218" s="601"/>
      <c r="D218" s="601" t="s">
        <v>319</v>
      </c>
      <c r="E218" s="601" t="s">
        <v>319</v>
      </c>
      <c r="F218" s="601" t="s">
        <v>319</v>
      </c>
      <c r="G218" s="601" t="s">
        <v>449</v>
      </c>
      <c r="H218" s="601" t="s">
        <v>325</v>
      </c>
      <c r="I218" s="601" t="s">
        <v>461</v>
      </c>
      <c r="J218" s="575"/>
      <c r="K218" s="575"/>
      <c r="L218" s="575"/>
      <c r="M218" s="575"/>
      <c r="N218" s="575"/>
      <c r="O218" s="575"/>
    </row>
    <row r="219" spans="1:15" hidden="1" x14ac:dyDescent="0.25">
      <c r="A219" s="601" t="s">
        <v>448</v>
      </c>
      <c r="B219" s="636">
        <v>1.25</v>
      </c>
      <c r="C219" s="601"/>
      <c r="D219" s="601" t="s">
        <v>319</v>
      </c>
      <c r="E219" s="601" t="s">
        <v>319</v>
      </c>
      <c r="F219" s="601" t="s">
        <v>319</v>
      </c>
      <c r="G219" s="601" t="s">
        <v>449</v>
      </c>
      <c r="H219" s="601" t="s">
        <v>325</v>
      </c>
      <c r="I219" s="601" t="s">
        <v>462</v>
      </c>
      <c r="J219" s="575"/>
      <c r="K219" s="575"/>
      <c r="L219" s="575"/>
      <c r="M219" s="575"/>
      <c r="N219" s="575"/>
      <c r="O219" s="575"/>
    </row>
    <row r="220" spans="1:15" hidden="1" x14ac:dyDescent="0.25">
      <c r="A220" s="601" t="s">
        <v>448</v>
      </c>
      <c r="B220" s="636">
        <v>1.25</v>
      </c>
      <c r="C220" s="601"/>
      <c r="D220" s="601" t="s">
        <v>319</v>
      </c>
      <c r="E220" s="601" t="s">
        <v>319</v>
      </c>
      <c r="F220" s="601" t="s">
        <v>319</v>
      </c>
      <c r="G220" s="601" t="s">
        <v>449</v>
      </c>
      <c r="H220" s="601" t="s">
        <v>325</v>
      </c>
      <c r="I220" s="601" t="s">
        <v>463</v>
      </c>
      <c r="J220" s="575"/>
      <c r="K220" s="575"/>
      <c r="L220" s="575"/>
      <c r="M220" s="575"/>
      <c r="N220" s="575"/>
      <c r="O220" s="575"/>
    </row>
    <row r="221" spans="1:15" hidden="1" x14ac:dyDescent="0.25">
      <c r="A221" s="601" t="s">
        <v>448</v>
      </c>
      <c r="B221" s="636">
        <v>1.25</v>
      </c>
      <c r="C221" s="601"/>
      <c r="D221" s="601" t="s">
        <v>319</v>
      </c>
      <c r="E221" s="601" t="s">
        <v>319</v>
      </c>
      <c r="F221" s="601" t="s">
        <v>319</v>
      </c>
      <c r="G221" s="601" t="s">
        <v>449</v>
      </c>
      <c r="H221" s="601" t="s">
        <v>325</v>
      </c>
      <c r="I221" s="601" t="s">
        <v>464</v>
      </c>
      <c r="J221" s="575"/>
      <c r="K221" s="575"/>
      <c r="L221" s="575"/>
      <c r="M221" s="575"/>
      <c r="N221" s="575"/>
      <c r="O221" s="575"/>
    </row>
    <row r="222" spans="1:15" hidden="1" x14ac:dyDescent="0.25">
      <c r="A222" s="601" t="s">
        <v>448</v>
      </c>
      <c r="B222" s="636">
        <v>1.25</v>
      </c>
      <c r="C222" s="601"/>
      <c r="D222" s="601" t="s">
        <v>319</v>
      </c>
      <c r="E222" s="601" t="s">
        <v>319</v>
      </c>
      <c r="F222" s="601" t="s">
        <v>319</v>
      </c>
      <c r="G222" s="601" t="s">
        <v>449</v>
      </c>
      <c r="H222" s="601" t="s">
        <v>325</v>
      </c>
      <c r="I222" s="601" t="s">
        <v>465</v>
      </c>
      <c r="J222" s="575"/>
      <c r="K222" s="575"/>
      <c r="L222" s="575"/>
      <c r="M222" s="575"/>
      <c r="N222" s="575"/>
      <c r="O222" s="575"/>
    </row>
    <row r="223" spans="1:15" hidden="1" x14ac:dyDescent="0.25">
      <c r="A223" s="601" t="s">
        <v>448</v>
      </c>
      <c r="B223" s="636">
        <v>1.25</v>
      </c>
      <c r="C223" s="601"/>
      <c r="D223" s="601" t="s">
        <v>319</v>
      </c>
      <c r="E223" s="601" t="s">
        <v>319</v>
      </c>
      <c r="F223" s="601" t="s">
        <v>319</v>
      </c>
      <c r="G223" s="601" t="s">
        <v>449</v>
      </c>
      <c r="H223" s="601" t="s">
        <v>325</v>
      </c>
      <c r="I223" s="601" t="s">
        <v>466</v>
      </c>
      <c r="J223" s="575"/>
      <c r="K223" s="575"/>
      <c r="L223" s="575"/>
      <c r="M223" s="575"/>
      <c r="N223" s="575"/>
      <c r="O223" s="575"/>
    </row>
    <row r="224" spans="1:15" hidden="1" x14ac:dyDescent="0.25">
      <c r="A224" s="601" t="s">
        <v>448</v>
      </c>
      <c r="B224" s="636">
        <v>1.1499999999999999</v>
      </c>
      <c r="C224" s="601"/>
      <c r="D224" s="601" t="s">
        <v>319</v>
      </c>
      <c r="E224" s="601" t="s">
        <v>319</v>
      </c>
      <c r="F224" s="601" t="s">
        <v>319</v>
      </c>
      <c r="G224" s="601" t="s">
        <v>449</v>
      </c>
      <c r="H224" s="601" t="s">
        <v>325</v>
      </c>
      <c r="I224" s="601" t="s">
        <v>467</v>
      </c>
      <c r="J224" s="575"/>
      <c r="K224" s="575"/>
      <c r="L224" s="575"/>
      <c r="M224" s="575"/>
      <c r="N224" s="575"/>
      <c r="O224" s="575"/>
    </row>
    <row r="225" spans="1:15" hidden="1" x14ac:dyDescent="0.25">
      <c r="A225" s="601" t="s">
        <v>448</v>
      </c>
      <c r="B225" s="636">
        <v>1.1499999999999999</v>
      </c>
      <c r="C225" s="601"/>
      <c r="D225" s="601" t="s">
        <v>319</v>
      </c>
      <c r="E225" s="601" t="s">
        <v>319</v>
      </c>
      <c r="F225" s="601" t="s">
        <v>319</v>
      </c>
      <c r="G225" s="601" t="s">
        <v>449</v>
      </c>
      <c r="H225" s="601" t="s">
        <v>325</v>
      </c>
      <c r="I225" s="601" t="s">
        <v>468</v>
      </c>
      <c r="J225" s="575"/>
      <c r="K225" s="575"/>
      <c r="L225" s="575"/>
      <c r="M225" s="575"/>
      <c r="N225" s="575"/>
      <c r="O225" s="575"/>
    </row>
    <row r="226" spans="1:15" hidden="1" x14ac:dyDescent="0.25">
      <c r="A226" s="601" t="s">
        <v>448</v>
      </c>
      <c r="B226" s="636">
        <v>1.1499999999999999</v>
      </c>
      <c r="C226" s="601"/>
      <c r="D226" s="601" t="s">
        <v>319</v>
      </c>
      <c r="E226" s="601" t="s">
        <v>319</v>
      </c>
      <c r="F226" s="601" t="s">
        <v>319</v>
      </c>
      <c r="G226" s="601" t="s">
        <v>449</v>
      </c>
      <c r="H226" s="601" t="s">
        <v>325</v>
      </c>
      <c r="I226" s="601" t="s">
        <v>469</v>
      </c>
      <c r="J226" s="575"/>
      <c r="K226" s="575"/>
      <c r="L226" s="575"/>
      <c r="M226" s="575"/>
      <c r="N226" s="575"/>
      <c r="O226" s="575"/>
    </row>
    <row r="227" spans="1:15" hidden="1" x14ac:dyDescent="0.25">
      <c r="A227" s="601" t="s">
        <v>448</v>
      </c>
      <c r="B227" s="636">
        <v>1.1499999999999999</v>
      </c>
      <c r="C227" s="601"/>
      <c r="D227" s="601" t="s">
        <v>319</v>
      </c>
      <c r="E227" s="601" t="s">
        <v>319</v>
      </c>
      <c r="F227" s="601" t="s">
        <v>319</v>
      </c>
      <c r="G227" s="601" t="s">
        <v>449</v>
      </c>
      <c r="H227" s="601" t="s">
        <v>325</v>
      </c>
      <c r="I227" s="601" t="s">
        <v>470</v>
      </c>
      <c r="J227" s="575"/>
      <c r="K227" s="575"/>
      <c r="L227" s="575"/>
      <c r="M227" s="575"/>
      <c r="N227" s="575"/>
      <c r="O227" s="575"/>
    </row>
    <row r="228" spans="1:15" hidden="1" x14ac:dyDescent="0.25">
      <c r="A228" s="601" t="s">
        <v>448</v>
      </c>
      <c r="B228" s="636">
        <v>1.1499999999999999</v>
      </c>
      <c r="C228" s="601"/>
      <c r="D228" s="601" t="s">
        <v>319</v>
      </c>
      <c r="E228" s="601" t="s">
        <v>319</v>
      </c>
      <c r="F228" s="601" t="s">
        <v>319</v>
      </c>
      <c r="G228" s="601" t="s">
        <v>449</v>
      </c>
      <c r="H228" s="601" t="s">
        <v>325</v>
      </c>
      <c r="I228" s="601" t="s">
        <v>471</v>
      </c>
      <c r="J228" s="575"/>
      <c r="K228" s="575"/>
      <c r="L228" s="575"/>
      <c r="M228" s="575"/>
      <c r="N228" s="575"/>
      <c r="O228" s="575"/>
    </row>
    <row r="229" spans="1:15" hidden="1" x14ac:dyDescent="0.25">
      <c r="A229" s="601" t="s">
        <v>448</v>
      </c>
      <c r="B229" s="636">
        <v>1.05</v>
      </c>
      <c r="C229" s="601"/>
      <c r="D229" s="601" t="s">
        <v>319</v>
      </c>
      <c r="E229" s="601" t="s">
        <v>319</v>
      </c>
      <c r="F229" s="601" t="s">
        <v>319</v>
      </c>
      <c r="G229" s="601" t="s">
        <v>449</v>
      </c>
      <c r="H229" s="601" t="s">
        <v>325</v>
      </c>
      <c r="I229" s="601" t="s">
        <v>472</v>
      </c>
      <c r="J229" s="575"/>
      <c r="K229" s="575"/>
      <c r="L229" s="575"/>
      <c r="M229" s="575"/>
      <c r="N229" s="575"/>
      <c r="O229" s="575"/>
    </row>
    <row r="230" spans="1:15" hidden="1" x14ac:dyDescent="0.25">
      <c r="A230" s="601" t="s">
        <v>448</v>
      </c>
      <c r="B230" s="636">
        <v>1.05</v>
      </c>
      <c r="C230" s="601"/>
      <c r="D230" s="601" t="s">
        <v>319</v>
      </c>
      <c r="E230" s="601" t="s">
        <v>319</v>
      </c>
      <c r="F230" s="601" t="s">
        <v>319</v>
      </c>
      <c r="G230" s="601" t="s">
        <v>449</v>
      </c>
      <c r="H230" s="601" t="s">
        <v>325</v>
      </c>
      <c r="I230" s="601" t="s">
        <v>473</v>
      </c>
      <c r="J230" s="575"/>
      <c r="K230" s="575"/>
      <c r="L230" s="575"/>
      <c r="M230" s="575"/>
      <c r="N230" s="575"/>
      <c r="O230" s="575"/>
    </row>
    <row r="231" spans="1:15" hidden="1" x14ac:dyDescent="0.25">
      <c r="A231" s="601" t="s">
        <v>448</v>
      </c>
      <c r="B231" s="636">
        <v>1.05</v>
      </c>
      <c r="C231" s="601"/>
      <c r="D231" s="601" t="s">
        <v>319</v>
      </c>
      <c r="E231" s="601" t="s">
        <v>319</v>
      </c>
      <c r="F231" s="601" t="s">
        <v>319</v>
      </c>
      <c r="G231" s="601" t="s">
        <v>449</v>
      </c>
      <c r="H231" s="601" t="s">
        <v>325</v>
      </c>
      <c r="I231" s="601" t="s">
        <v>474</v>
      </c>
      <c r="J231" s="575"/>
      <c r="K231" s="575"/>
      <c r="L231" s="575"/>
      <c r="M231" s="575"/>
      <c r="N231" s="575"/>
      <c r="O231" s="575"/>
    </row>
    <row r="232" spans="1:15" hidden="1" x14ac:dyDescent="0.25">
      <c r="A232" s="601" t="s">
        <v>448</v>
      </c>
      <c r="B232" s="636">
        <v>1.05</v>
      </c>
      <c r="C232" s="601"/>
      <c r="D232" s="601" t="s">
        <v>319</v>
      </c>
      <c r="E232" s="601" t="s">
        <v>319</v>
      </c>
      <c r="F232" s="601" t="s">
        <v>319</v>
      </c>
      <c r="G232" s="601" t="s">
        <v>449</v>
      </c>
      <c r="H232" s="601" t="s">
        <v>325</v>
      </c>
      <c r="I232" s="601" t="s">
        <v>475</v>
      </c>
      <c r="J232" s="575"/>
      <c r="K232" s="575"/>
      <c r="L232" s="575"/>
      <c r="M232" s="575"/>
      <c r="N232" s="575"/>
      <c r="O232" s="575"/>
    </row>
    <row r="233" spans="1:15" hidden="1" x14ac:dyDescent="0.25">
      <c r="A233" s="601" t="s">
        <v>448</v>
      </c>
      <c r="B233" s="636">
        <v>1.05</v>
      </c>
      <c r="C233" s="601"/>
      <c r="D233" s="601" t="s">
        <v>319</v>
      </c>
      <c r="E233" s="601" t="s">
        <v>319</v>
      </c>
      <c r="F233" s="601" t="s">
        <v>319</v>
      </c>
      <c r="G233" s="601" t="s">
        <v>449</v>
      </c>
      <c r="H233" s="601" t="s">
        <v>325</v>
      </c>
      <c r="I233" s="601" t="s">
        <v>476</v>
      </c>
      <c r="J233" s="575"/>
      <c r="K233" s="575"/>
      <c r="L233" s="575"/>
      <c r="M233" s="575"/>
      <c r="N233" s="575"/>
      <c r="O233" s="575"/>
    </row>
    <row r="234" spans="1:15" hidden="1" x14ac:dyDescent="0.25">
      <c r="A234" s="601" t="s">
        <v>448</v>
      </c>
      <c r="B234" s="636">
        <v>1.0249999999999999</v>
      </c>
      <c r="C234" s="601"/>
      <c r="D234" s="601" t="s">
        <v>319</v>
      </c>
      <c r="E234" s="601" t="s">
        <v>319</v>
      </c>
      <c r="F234" s="601" t="s">
        <v>319</v>
      </c>
      <c r="G234" s="601" t="s">
        <v>449</v>
      </c>
      <c r="H234" s="601" t="s">
        <v>325</v>
      </c>
      <c r="I234" s="601" t="s">
        <v>477</v>
      </c>
      <c r="J234" s="575"/>
      <c r="K234" s="575"/>
      <c r="L234" s="575"/>
      <c r="M234" s="575"/>
      <c r="N234" s="575"/>
      <c r="O234" s="575"/>
    </row>
    <row r="235" spans="1:15" hidden="1" x14ac:dyDescent="0.25">
      <c r="A235" s="601" t="s">
        <v>448</v>
      </c>
      <c r="B235" s="636">
        <v>1.0249999999999999</v>
      </c>
      <c r="C235" s="601"/>
      <c r="D235" s="601" t="s">
        <v>319</v>
      </c>
      <c r="E235" s="601" t="s">
        <v>319</v>
      </c>
      <c r="F235" s="601" t="s">
        <v>319</v>
      </c>
      <c r="G235" s="601" t="s">
        <v>449</v>
      </c>
      <c r="H235" s="601" t="s">
        <v>325</v>
      </c>
      <c r="I235" s="601" t="s">
        <v>478</v>
      </c>
      <c r="J235" s="575"/>
      <c r="K235" s="575"/>
      <c r="L235" s="575"/>
      <c r="M235" s="575"/>
      <c r="N235" s="575"/>
      <c r="O235" s="575"/>
    </row>
    <row r="236" spans="1:15" hidden="1" x14ac:dyDescent="0.25">
      <c r="A236" s="601" t="s">
        <v>448</v>
      </c>
      <c r="B236" s="636">
        <v>1.0249999999999999</v>
      </c>
      <c r="C236" s="601"/>
      <c r="D236" s="601" t="s">
        <v>319</v>
      </c>
      <c r="E236" s="601" t="s">
        <v>319</v>
      </c>
      <c r="F236" s="601" t="s">
        <v>319</v>
      </c>
      <c r="G236" s="601" t="s">
        <v>449</v>
      </c>
      <c r="H236" s="601" t="s">
        <v>325</v>
      </c>
      <c r="I236" s="601" t="s">
        <v>479</v>
      </c>
      <c r="J236" s="575"/>
      <c r="K236" s="575"/>
      <c r="L236" s="575"/>
      <c r="M236" s="575"/>
      <c r="N236" s="575"/>
      <c r="O236" s="575"/>
    </row>
    <row r="237" spans="1:15" hidden="1" x14ac:dyDescent="0.25">
      <c r="A237" s="601" t="s">
        <v>448</v>
      </c>
      <c r="B237" s="636">
        <v>1.0249999999999999</v>
      </c>
      <c r="C237" s="601"/>
      <c r="D237" s="601" t="s">
        <v>319</v>
      </c>
      <c r="E237" s="601" t="s">
        <v>319</v>
      </c>
      <c r="F237" s="601" t="s">
        <v>319</v>
      </c>
      <c r="G237" s="601" t="s">
        <v>449</v>
      </c>
      <c r="H237" s="601" t="s">
        <v>325</v>
      </c>
      <c r="I237" s="601" t="s">
        <v>480</v>
      </c>
      <c r="J237" s="575"/>
      <c r="K237" s="575"/>
      <c r="L237" s="575"/>
      <c r="M237" s="575"/>
      <c r="N237" s="575"/>
      <c r="O237" s="575"/>
    </row>
    <row r="238" spans="1:15" hidden="1" x14ac:dyDescent="0.25">
      <c r="A238" s="601" t="s">
        <v>448</v>
      </c>
      <c r="B238" s="636">
        <v>1.0249999999999999</v>
      </c>
      <c r="C238" s="601"/>
      <c r="D238" s="601" t="s">
        <v>319</v>
      </c>
      <c r="E238" s="601" t="s">
        <v>319</v>
      </c>
      <c r="F238" s="601" t="s">
        <v>319</v>
      </c>
      <c r="G238" s="601" t="s">
        <v>449</v>
      </c>
      <c r="H238" s="601" t="s">
        <v>325</v>
      </c>
      <c r="I238" s="601" t="s">
        <v>481</v>
      </c>
      <c r="J238" s="575"/>
      <c r="K238" s="575"/>
      <c r="L238" s="575"/>
      <c r="M238" s="575"/>
      <c r="N238" s="575"/>
      <c r="O238" s="575"/>
    </row>
    <row r="239" spans="1:15" hidden="1" x14ac:dyDescent="0.25">
      <c r="A239" s="601" t="s">
        <v>448</v>
      </c>
      <c r="B239" s="636">
        <v>1</v>
      </c>
      <c r="C239" s="601"/>
      <c r="D239" s="601" t="s">
        <v>319</v>
      </c>
      <c r="E239" s="601" t="s">
        <v>319</v>
      </c>
      <c r="F239" s="601" t="s">
        <v>319</v>
      </c>
      <c r="G239" s="601" t="s">
        <v>449</v>
      </c>
      <c r="H239" s="601" t="s">
        <v>325</v>
      </c>
      <c r="I239" s="601" t="s">
        <v>482</v>
      </c>
      <c r="J239" s="575"/>
      <c r="K239" s="575"/>
      <c r="L239" s="575"/>
      <c r="M239" s="575"/>
      <c r="N239" s="575"/>
      <c r="O239" s="575"/>
    </row>
    <row r="240" spans="1:15" hidden="1" x14ac:dyDescent="0.25">
      <c r="A240" s="601" t="s">
        <v>448</v>
      </c>
      <c r="B240" s="636">
        <v>1</v>
      </c>
      <c r="C240" s="601"/>
      <c r="D240" s="601" t="s">
        <v>319</v>
      </c>
      <c r="E240" s="601" t="s">
        <v>319</v>
      </c>
      <c r="F240" s="601" t="s">
        <v>319</v>
      </c>
      <c r="G240" s="601" t="s">
        <v>449</v>
      </c>
      <c r="H240" s="601" t="s">
        <v>325</v>
      </c>
      <c r="I240" s="601" t="s">
        <v>483</v>
      </c>
      <c r="J240" s="575"/>
      <c r="K240" s="575"/>
      <c r="L240" s="575"/>
      <c r="M240" s="575"/>
      <c r="N240" s="575"/>
      <c r="O240" s="575"/>
    </row>
    <row r="241" spans="1:15" hidden="1" x14ac:dyDescent="0.25">
      <c r="A241" s="601" t="s">
        <v>448</v>
      </c>
      <c r="B241" s="636">
        <v>1</v>
      </c>
      <c r="C241" s="601"/>
      <c r="D241" s="601" t="s">
        <v>319</v>
      </c>
      <c r="E241" s="601" t="s">
        <v>319</v>
      </c>
      <c r="F241" s="601" t="s">
        <v>319</v>
      </c>
      <c r="G241" s="601" t="s">
        <v>449</v>
      </c>
      <c r="H241" s="601" t="s">
        <v>325</v>
      </c>
      <c r="I241" s="601" t="s">
        <v>484</v>
      </c>
      <c r="J241" s="575"/>
      <c r="K241" s="575"/>
      <c r="L241" s="575"/>
      <c r="M241" s="575"/>
      <c r="N241" s="575"/>
      <c r="O241" s="575"/>
    </row>
    <row r="242" spans="1:15" hidden="1" x14ac:dyDescent="0.25">
      <c r="A242" s="601" t="s">
        <v>448</v>
      </c>
      <c r="B242" s="636">
        <v>1</v>
      </c>
      <c r="C242" s="601"/>
      <c r="D242" s="601" t="s">
        <v>319</v>
      </c>
      <c r="E242" s="601" t="s">
        <v>319</v>
      </c>
      <c r="F242" s="601" t="s">
        <v>319</v>
      </c>
      <c r="G242" s="601" t="s">
        <v>449</v>
      </c>
      <c r="H242" s="601" t="s">
        <v>325</v>
      </c>
      <c r="I242" s="601" t="s">
        <v>485</v>
      </c>
      <c r="J242" s="575"/>
      <c r="K242" s="575"/>
      <c r="L242" s="575"/>
      <c r="M242" s="575"/>
      <c r="N242" s="575"/>
      <c r="O242" s="575"/>
    </row>
    <row r="243" spans="1:15" hidden="1" x14ac:dyDescent="0.25">
      <c r="A243" s="601" t="s">
        <v>448</v>
      </c>
      <c r="B243" s="636">
        <v>1</v>
      </c>
      <c r="C243" s="601"/>
      <c r="D243" s="601" t="s">
        <v>319</v>
      </c>
      <c r="E243" s="601" t="s">
        <v>319</v>
      </c>
      <c r="F243" s="601" t="s">
        <v>319</v>
      </c>
      <c r="G243" s="601" t="s">
        <v>449</v>
      </c>
      <c r="H243" s="601" t="s">
        <v>325</v>
      </c>
      <c r="I243" s="601" t="s">
        <v>486</v>
      </c>
      <c r="J243" s="575"/>
      <c r="K243" s="575"/>
      <c r="L243" s="575"/>
      <c r="M243" s="575"/>
      <c r="N243" s="575"/>
      <c r="O243" s="575"/>
    </row>
    <row r="244" spans="1:15" hidden="1" x14ac:dyDescent="0.25">
      <c r="A244" s="601" t="s">
        <v>448</v>
      </c>
      <c r="B244" s="636">
        <v>1</v>
      </c>
      <c r="C244" s="601"/>
      <c r="D244" s="601" t="s">
        <v>319</v>
      </c>
      <c r="E244" s="601" t="s">
        <v>319</v>
      </c>
      <c r="F244" s="601" t="s">
        <v>319</v>
      </c>
      <c r="G244" s="601" t="s">
        <v>449</v>
      </c>
      <c r="H244" s="601" t="s">
        <v>325</v>
      </c>
      <c r="I244" s="601" t="s">
        <v>487</v>
      </c>
      <c r="J244" s="575"/>
      <c r="K244" s="575"/>
      <c r="L244" s="575"/>
      <c r="M244" s="575"/>
      <c r="N244" s="575"/>
      <c r="O244" s="575"/>
    </row>
    <row r="245" spans="1:15" hidden="1" x14ac:dyDescent="0.25">
      <c r="A245" s="601" t="s">
        <v>448</v>
      </c>
      <c r="B245" s="636">
        <v>1</v>
      </c>
      <c r="C245" s="601"/>
      <c r="D245" s="601" t="s">
        <v>319</v>
      </c>
      <c r="E245" s="601" t="s">
        <v>319</v>
      </c>
      <c r="F245" s="601" t="s">
        <v>319</v>
      </c>
      <c r="G245" s="601" t="s">
        <v>449</v>
      </c>
      <c r="H245" s="601" t="s">
        <v>325</v>
      </c>
      <c r="I245" s="601" t="s">
        <v>488</v>
      </c>
      <c r="J245" s="575"/>
      <c r="K245" s="575"/>
      <c r="L245" s="575"/>
      <c r="M245" s="575"/>
      <c r="N245" s="575"/>
      <c r="O245" s="575"/>
    </row>
    <row r="246" spans="1:15" hidden="1" x14ac:dyDescent="0.25">
      <c r="A246" s="601" t="s">
        <v>448</v>
      </c>
      <c r="B246" s="636">
        <v>1</v>
      </c>
      <c r="C246" s="601"/>
      <c r="D246" s="601" t="s">
        <v>319</v>
      </c>
      <c r="E246" s="601" t="s">
        <v>319</v>
      </c>
      <c r="F246" s="601" t="s">
        <v>319</v>
      </c>
      <c r="G246" s="601" t="s">
        <v>449</v>
      </c>
      <c r="H246" s="601" t="s">
        <v>325</v>
      </c>
      <c r="I246" s="601" t="s">
        <v>489</v>
      </c>
      <c r="J246" s="575"/>
      <c r="K246" s="575"/>
      <c r="L246" s="575"/>
      <c r="M246" s="575"/>
      <c r="N246" s="575"/>
      <c r="O246" s="575"/>
    </row>
    <row r="247" spans="1:15" hidden="1" x14ac:dyDescent="0.25">
      <c r="A247" s="601" t="s">
        <v>448</v>
      </c>
      <c r="B247" s="636">
        <v>1</v>
      </c>
      <c r="C247" s="601"/>
      <c r="D247" s="601" t="s">
        <v>319</v>
      </c>
      <c r="E247" s="601" t="s">
        <v>319</v>
      </c>
      <c r="F247" s="601" t="s">
        <v>319</v>
      </c>
      <c r="G247" s="601" t="s">
        <v>449</v>
      </c>
      <c r="H247" s="601" t="s">
        <v>325</v>
      </c>
      <c r="I247" s="601" t="s">
        <v>490</v>
      </c>
      <c r="J247" s="575"/>
      <c r="K247" s="575"/>
      <c r="L247" s="575"/>
      <c r="M247" s="575"/>
      <c r="N247" s="575"/>
      <c r="O247" s="575"/>
    </row>
    <row r="248" spans="1:15" hidden="1" x14ac:dyDescent="0.25">
      <c r="A248" s="601" t="s">
        <v>448</v>
      </c>
      <c r="B248" s="636">
        <v>1</v>
      </c>
      <c r="C248" s="601"/>
      <c r="D248" s="601" t="s">
        <v>319</v>
      </c>
      <c r="E248" s="601" t="s">
        <v>319</v>
      </c>
      <c r="F248" s="601" t="s">
        <v>319</v>
      </c>
      <c r="G248" s="601" t="s">
        <v>449</v>
      </c>
      <c r="H248" s="601" t="s">
        <v>325</v>
      </c>
      <c r="I248" s="601" t="s">
        <v>491</v>
      </c>
      <c r="J248" s="575"/>
      <c r="K248" s="575"/>
      <c r="L248" s="575"/>
      <c r="M248" s="575"/>
      <c r="N248" s="575"/>
      <c r="O248" s="575"/>
    </row>
    <row r="249" spans="1:15" hidden="1" x14ac:dyDescent="0.25">
      <c r="A249" s="601" t="s">
        <v>448</v>
      </c>
      <c r="B249" s="636">
        <v>1</v>
      </c>
      <c r="C249" s="601"/>
      <c r="D249" s="601" t="s">
        <v>319</v>
      </c>
      <c r="E249" s="601" t="s">
        <v>319</v>
      </c>
      <c r="F249" s="601" t="s">
        <v>319</v>
      </c>
      <c r="G249" s="601" t="s">
        <v>449</v>
      </c>
      <c r="H249" s="601" t="s">
        <v>325</v>
      </c>
      <c r="I249" s="601" t="s">
        <v>492</v>
      </c>
      <c r="J249" s="575"/>
      <c r="K249" s="575"/>
      <c r="L249" s="575"/>
      <c r="M249" s="575"/>
      <c r="N249" s="575"/>
      <c r="O249" s="575"/>
    </row>
    <row r="250" spans="1:15" hidden="1" x14ac:dyDescent="0.25">
      <c r="A250" s="601" t="s">
        <v>448</v>
      </c>
      <c r="B250" s="636">
        <v>1</v>
      </c>
      <c r="C250" s="601"/>
      <c r="D250" s="601" t="s">
        <v>319</v>
      </c>
      <c r="E250" s="601" t="s">
        <v>319</v>
      </c>
      <c r="F250" s="601" t="s">
        <v>319</v>
      </c>
      <c r="G250" s="601" t="s">
        <v>449</v>
      </c>
      <c r="H250" s="601" t="s">
        <v>325</v>
      </c>
      <c r="I250" s="601" t="s">
        <v>493</v>
      </c>
      <c r="J250" s="575"/>
      <c r="K250" s="575"/>
      <c r="L250" s="575"/>
      <c r="M250" s="575"/>
      <c r="N250" s="575"/>
      <c r="O250" s="575"/>
    </row>
    <row r="251" spans="1:15" hidden="1" x14ac:dyDescent="0.25">
      <c r="A251" s="601" t="s">
        <v>448</v>
      </c>
      <c r="B251" s="636">
        <v>1</v>
      </c>
      <c r="C251" s="601"/>
      <c r="D251" s="601" t="s">
        <v>319</v>
      </c>
      <c r="E251" s="601" t="s">
        <v>319</v>
      </c>
      <c r="F251" s="601" t="s">
        <v>319</v>
      </c>
      <c r="G251" s="601" t="s">
        <v>449</v>
      </c>
      <c r="H251" s="601" t="s">
        <v>325</v>
      </c>
      <c r="I251" s="601" t="s">
        <v>494</v>
      </c>
      <c r="J251" s="575"/>
      <c r="K251" s="575"/>
      <c r="L251" s="575"/>
      <c r="M251" s="575"/>
      <c r="N251" s="575"/>
      <c r="O251" s="575"/>
    </row>
    <row r="252" spans="1:15" hidden="1" x14ac:dyDescent="0.25">
      <c r="A252" s="601" t="s">
        <v>448</v>
      </c>
      <c r="B252" s="636">
        <v>1</v>
      </c>
      <c r="C252" s="601"/>
      <c r="D252" s="601" t="s">
        <v>319</v>
      </c>
      <c r="E252" s="601" t="s">
        <v>319</v>
      </c>
      <c r="F252" s="601" t="s">
        <v>319</v>
      </c>
      <c r="G252" s="601" t="s">
        <v>449</v>
      </c>
      <c r="H252" s="601" t="s">
        <v>325</v>
      </c>
      <c r="I252" s="601" t="s">
        <v>495</v>
      </c>
      <c r="J252" s="575"/>
      <c r="K252" s="575"/>
      <c r="L252" s="575"/>
      <c r="M252" s="575"/>
      <c r="N252" s="575"/>
      <c r="O252" s="575"/>
    </row>
    <row r="253" spans="1:15" hidden="1" x14ac:dyDescent="0.25">
      <c r="A253" s="601" t="s">
        <v>448</v>
      </c>
      <c r="B253" s="636">
        <v>1</v>
      </c>
      <c r="C253" s="601"/>
      <c r="D253" s="601" t="s">
        <v>319</v>
      </c>
      <c r="E253" s="601" t="s">
        <v>319</v>
      </c>
      <c r="F253" s="601" t="s">
        <v>319</v>
      </c>
      <c r="G253" s="601" t="s">
        <v>449</v>
      </c>
      <c r="H253" s="601" t="s">
        <v>325</v>
      </c>
      <c r="I253" s="601" t="s">
        <v>496</v>
      </c>
      <c r="J253" s="575"/>
      <c r="K253" s="575"/>
      <c r="L253" s="575"/>
      <c r="M253" s="575"/>
      <c r="N253" s="575"/>
      <c r="O253" s="575"/>
    </row>
    <row r="254" spans="1:15" hidden="1" x14ac:dyDescent="0.25">
      <c r="A254" s="601" t="s">
        <v>448</v>
      </c>
      <c r="B254" s="636">
        <v>1</v>
      </c>
      <c r="C254" s="601"/>
      <c r="D254" s="601" t="s">
        <v>319</v>
      </c>
      <c r="E254" s="601" t="s">
        <v>319</v>
      </c>
      <c r="F254" s="601" t="s">
        <v>319</v>
      </c>
      <c r="G254" s="601" t="s">
        <v>449</v>
      </c>
      <c r="H254" s="601" t="s">
        <v>325</v>
      </c>
      <c r="I254" s="601" t="s">
        <v>497</v>
      </c>
      <c r="J254" s="575"/>
      <c r="K254" s="575"/>
      <c r="L254" s="575"/>
      <c r="M254" s="575"/>
      <c r="N254" s="575"/>
      <c r="O254" s="575"/>
    </row>
    <row r="255" spans="1:15" hidden="1" x14ac:dyDescent="0.25">
      <c r="A255" s="601" t="s">
        <v>448</v>
      </c>
      <c r="B255" s="636">
        <v>1</v>
      </c>
      <c r="C255" s="601"/>
      <c r="D255" s="601" t="s">
        <v>319</v>
      </c>
      <c r="E255" s="601" t="s">
        <v>319</v>
      </c>
      <c r="F255" s="601" t="s">
        <v>319</v>
      </c>
      <c r="G255" s="601" t="s">
        <v>449</v>
      </c>
      <c r="H255" s="601" t="s">
        <v>325</v>
      </c>
      <c r="I255" s="601" t="s">
        <v>498</v>
      </c>
      <c r="J255" s="575"/>
      <c r="K255" s="575"/>
      <c r="L255" s="575"/>
      <c r="M255" s="575"/>
      <c r="N255" s="575"/>
      <c r="O255" s="575"/>
    </row>
    <row r="256" spans="1:15" hidden="1" x14ac:dyDescent="0.25">
      <c r="A256" s="601" t="s">
        <v>448</v>
      </c>
      <c r="B256" s="636">
        <v>1</v>
      </c>
      <c r="C256" s="601"/>
      <c r="D256" s="601" t="s">
        <v>319</v>
      </c>
      <c r="E256" s="601" t="s">
        <v>319</v>
      </c>
      <c r="F256" s="601" t="s">
        <v>319</v>
      </c>
      <c r="G256" s="601" t="s">
        <v>449</v>
      </c>
      <c r="H256" s="601" t="s">
        <v>325</v>
      </c>
      <c r="I256" s="601" t="s">
        <v>499</v>
      </c>
      <c r="J256" s="575"/>
      <c r="K256" s="575"/>
      <c r="L256" s="575"/>
      <c r="M256" s="575"/>
      <c r="N256" s="575"/>
      <c r="O256" s="575"/>
    </row>
    <row r="257" spans="1:15" hidden="1" x14ac:dyDescent="0.25">
      <c r="A257" s="601" t="s">
        <v>448</v>
      </c>
      <c r="B257" s="636">
        <v>1</v>
      </c>
      <c r="C257" s="601"/>
      <c r="D257" s="601" t="s">
        <v>319</v>
      </c>
      <c r="E257" s="601" t="s">
        <v>319</v>
      </c>
      <c r="F257" s="601" t="s">
        <v>319</v>
      </c>
      <c r="G257" s="601" t="s">
        <v>449</v>
      </c>
      <c r="H257" s="601" t="s">
        <v>325</v>
      </c>
      <c r="I257" s="601" t="s">
        <v>500</v>
      </c>
      <c r="J257" s="575"/>
      <c r="K257" s="575"/>
      <c r="L257" s="575"/>
      <c r="M257" s="575"/>
      <c r="N257" s="575"/>
      <c r="O257" s="575"/>
    </row>
    <row r="258" spans="1:15" hidden="1" x14ac:dyDescent="0.25">
      <c r="A258" s="601" t="s">
        <v>448</v>
      </c>
      <c r="B258" s="636">
        <v>1</v>
      </c>
      <c r="C258" s="601"/>
      <c r="D258" s="601" t="s">
        <v>319</v>
      </c>
      <c r="E258" s="601" t="s">
        <v>319</v>
      </c>
      <c r="F258" s="601" t="s">
        <v>319</v>
      </c>
      <c r="G258" s="601" t="s">
        <v>449</v>
      </c>
      <c r="H258" s="601" t="s">
        <v>325</v>
      </c>
      <c r="I258" s="601" t="s">
        <v>501</v>
      </c>
      <c r="J258" s="575"/>
      <c r="K258" s="575"/>
      <c r="L258" s="575"/>
      <c r="M258" s="575"/>
      <c r="N258" s="575"/>
      <c r="O258" s="575"/>
    </row>
    <row r="259" spans="1:15" hidden="1" x14ac:dyDescent="0.25">
      <c r="A259" s="601" t="s">
        <v>448</v>
      </c>
      <c r="B259" s="636">
        <v>1</v>
      </c>
      <c r="C259" s="601"/>
      <c r="D259" s="601" t="s">
        <v>319</v>
      </c>
      <c r="E259" s="601" t="s">
        <v>319</v>
      </c>
      <c r="F259" s="601" t="s">
        <v>319</v>
      </c>
      <c r="G259" s="601" t="s">
        <v>449</v>
      </c>
      <c r="H259" s="601" t="s">
        <v>325</v>
      </c>
      <c r="I259" s="601" t="s">
        <v>502</v>
      </c>
      <c r="J259" s="575"/>
      <c r="K259" s="575"/>
      <c r="L259" s="575"/>
      <c r="M259" s="575"/>
      <c r="N259" s="575"/>
      <c r="O259" s="575"/>
    </row>
    <row r="260" spans="1:15" hidden="1" x14ac:dyDescent="0.25">
      <c r="A260" s="601" t="s">
        <v>448</v>
      </c>
      <c r="B260" s="636">
        <v>1</v>
      </c>
      <c r="C260" s="601"/>
      <c r="D260" s="601" t="s">
        <v>319</v>
      </c>
      <c r="E260" s="601" t="s">
        <v>319</v>
      </c>
      <c r="F260" s="601" t="s">
        <v>319</v>
      </c>
      <c r="G260" s="601" t="s">
        <v>449</v>
      </c>
      <c r="H260" s="601" t="s">
        <v>325</v>
      </c>
      <c r="I260" s="601" t="s">
        <v>503</v>
      </c>
      <c r="J260" s="575"/>
      <c r="K260" s="575"/>
      <c r="L260" s="575"/>
      <c r="M260" s="575"/>
      <c r="N260" s="575"/>
      <c r="O260" s="575"/>
    </row>
    <row r="261" spans="1:15" hidden="1" x14ac:dyDescent="0.25">
      <c r="A261" s="601" t="s">
        <v>448</v>
      </c>
      <c r="B261" s="636">
        <v>1</v>
      </c>
      <c r="C261" s="601"/>
      <c r="D261" s="601" t="s">
        <v>319</v>
      </c>
      <c r="E261" s="601" t="s">
        <v>319</v>
      </c>
      <c r="F261" s="601" t="s">
        <v>319</v>
      </c>
      <c r="G261" s="601" t="s">
        <v>449</v>
      </c>
      <c r="H261" s="601" t="s">
        <v>325</v>
      </c>
      <c r="I261" s="601" t="s">
        <v>504</v>
      </c>
      <c r="J261" s="575"/>
      <c r="K261" s="575"/>
      <c r="L261" s="575"/>
      <c r="M261" s="575"/>
      <c r="N261" s="575"/>
      <c r="O261" s="575"/>
    </row>
    <row r="262" spans="1:15" hidden="1" x14ac:dyDescent="0.25">
      <c r="A262" s="601" t="s">
        <v>505</v>
      </c>
      <c r="B262" s="602">
        <v>1</v>
      </c>
      <c r="C262" s="601"/>
      <c r="D262" s="601" t="s">
        <v>319</v>
      </c>
      <c r="E262" s="601" t="s">
        <v>319</v>
      </c>
      <c r="F262" s="601" t="s">
        <v>319</v>
      </c>
      <c r="G262" s="601" t="s">
        <v>505</v>
      </c>
      <c r="H262" s="601" t="s">
        <v>322</v>
      </c>
      <c r="I262" s="601" t="s">
        <v>506</v>
      </c>
      <c r="J262" s="575"/>
      <c r="K262" s="575"/>
      <c r="L262" s="575"/>
      <c r="M262" s="575"/>
      <c r="N262" s="575"/>
      <c r="O262" s="575"/>
    </row>
    <row r="263" spans="1:15" hidden="1" x14ac:dyDescent="0.25">
      <c r="A263" s="601" t="s">
        <v>505</v>
      </c>
      <c r="B263" s="602">
        <v>1</v>
      </c>
      <c r="C263" s="601"/>
      <c r="D263" s="601" t="s">
        <v>319</v>
      </c>
      <c r="E263" s="601" t="s">
        <v>319</v>
      </c>
      <c r="F263" s="601" t="s">
        <v>319</v>
      </c>
      <c r="G263" s="601" t="s">
        <v>505</v>
      </c>
      <c r="H263" s="601" t="s">
        <v>322</v>
      </c>
      <c r="I263" s="601" t="s">
        <v>507</v>
      </c>
      <c r="J263" s="575"/>
      <c r="K263" s="575"/>
      <c r="L263" s="575"/>
      <c r="M263" s="575"/>
      <c r="N263" s="575"/>
      <c r="O263" s="575"/>
    </row>
    <row r="264" spans="1:15" hidden="1" x14ac:dyDescent="0.25">
      <c r="A264" s="601" t="s">
        <v>505</v>
      </c>
      <c r="B264" s="602">
        <v>1</v>
      </c>
      <c r="C264" s="601"/>
      <c r="D264" s="601" t="s">
        <v>319</v>
      </c>
      <c r="E264" s="601" t="s">
        <v>319</v>
      </c>
      <c r="F264" s="601" t="s">
        <v>319</v>
      </c>
      <c r="G264" s="601" t="s">
        <v>505</v>
      </c>
      <c r="H264" s="601" t="s">
        <v>322</v>
      </c>
      <c r="I264" s="601" t="s">
        <v>508</v>
      </c>
      <c r="J264" s="575"/>
      <c r="K264" s="575"/>
      <c r="L264" s="575"/>
      <c r="M264" s="575"/>
      <c r="N264" s="575"/>
      <c r="O264" s="575"/>
    </row>
    <row r="265" spans="1:15" hidden="1" x14ac:dyDescent="0.25">
      <c r="A265" s="601" t="s">
        <v>505</v>
      </c>
      <c r="B265" s="602">
        <v>1.2</v>
      </c>
      <c r="C265" s="601"/>
      <c r="D265" s="601" t="s">
        <v>319</v>
      </c>
      <c r="E265" s="601" t="s">
        <v>319</v>
      </c>
      <c r="F265" s="601" t="s">
        <v>319</v>
      </c>
      <c r="G265" s="601" t="s">
        <v>505</v>
      </c>
      <c r="H265" s="601" t="s">
        <v>322</v>
      </c>
      <c r="I265" s="601" t="s">
        <v>509</v>
      </c>
      <c r="J265" s="575"/>
      <c r="K265" s="575"/>
      <c r="L265" s="575"/>
      <c r="M265" s="575"/>
      <c r="N265" s="575"/>
      <c r="O265" s="575"/>
    </row>
    <row r="266" spans="1:15" hidden="1" x14ac:dyDescent="0.25">
      <c r="A266" s="634" t="s">
        <v>510</v>
      </c>
      <c r="B266" s="635">
        <v>1</v>
      </c>
      <c r="C266" s="634"/>
      <c r="D266" s="634" t="s">
        <v>319</v>
      </c>
      <c r="E266" s="634" t="s">
        <v>319</v>
      </c>
      <c r="F266" s="634" t="s">
        <v>319</v>
      </c>
      <c r="G266" s="634" t="s">
        <v>511</v>
      </c>
      <c r="H266" s="634" t="s">
        <v>322</v>
      </c>
      <c r="I266" s="634" t="s">
        <v>512</v>
      </c>
      <c r="J266" s="576"/>
      <c r="K266" s="576"/>
      <c r="L266" s="576"/>
      <c r="M266" s="576"/>
      <c r="N266" s="576"/>
      <c r="O266" s="576"/>
    </row>
    <row r="267" spans="1:15" hidden="1" x14ac:dyDescent="0.25">
      <c r="A267" s="634" t="s">
        <v>510</v>
      </c>
      <c r="B267" s="635">
        <v>1</v>
      </c>
      <c r="C267" s="634"/>
      <c r="D267" s="634" t="s">
        <v>319</v>
      </c>
      <c r="E267" s="634" t="s">
        <v>319</v>
      </c>
      <c r="F267" s="634" t="s">
        <v>319</v>
      </c>
      <c r="G267" s="634" t="s">
        <v>511</v>
      </c>
      <c r="H267" s="634" t="s">
        <v>322</v>
      </c>
      <c r="I267" s="634" t="s">
        <v>513</v>
      </c>
      <c r="J267" s="576"/>
      <c r="K267" s="576"/>
      <c r="L267" s="576"/>
      <c r="M267" s="576"/>
      <c r="N267" s="576"/>
      <c r="O267" s="576"/>
    </row>
    <row r="268" spans="1:15" hidden="1" x14ac:dyDescent="0.25">
      <c r="A268" s="634" t="s">
        <v>510</v>
      </c>
      <c r="B268" s="635">
        <v>1</v>
      </c>
      <c r="C268" s="634"/>
      <c r="D268" s="634" t="s">
        <v>319</v>
      </c>
      <c r="E268" s="634" t="s">
        <v>319</v>
      </c>
      <c r="F268" s="634" t="s">
        <v>319</v>
      </c>
      <c r="G268" s="634" t="s">
        <v>511</v>
      </c>
      <c r="H268" s="634" t="s">
        <v>322</v>
      </c>
      <c r="I268" s="634" t="s">
        <v>514</v>
      </c>
      <c r="J268" s="576"/>
      <c r="K268" s="576"/>
      <c r="L268" s="576"/>
      <c r="M268" s="576"/>
      <c r="N268" s="576"/>
      <c r="O268" s="576"/>
    </row>
    <row r="269" spans="1:15" hidden="1" x14ac:dyDescent="0.25">
      <c r="A269" s="634" t="s">
        <v>510</v>
      </c>
      <c r="B269" s="635">
        <v>1.1000000000000001</v>
      </c>
      <c r="C269" s="634"/>
      <c r="D269" s="634" t="s">
        <v>319</v>
      </c>
      <c r="E269" s="634" t="s">
        <v>319</v>
      </c>
      <c r="F269" s="634" t="s">
        <v>319</v>
      </c>
      <c r="G269" s="634" t="s">
        <v>511</v>
      </c>
      <c r="H269" s="634" t="s">
        <v>322</v>
      </c>
      <c r="I269" s="634" t="s">
        <v>515</v>
      </c>
      <c r="J269" s="576"/>
      <c r="K269" s="576"/>
      <c r="L269" s="576"/>
      <c r="M269" s="576"/>
      <c r="N269" s="576"/>
      <c r="O269" s="576"/>
    </row>
    <row r="270" spans="1:15" hidden="1" x14ac:dyDescent="0.25">
      <c r="A270" s="634" t="s">
        <v>510</v>
      </c>
      <c r="B270" s="635">
        <v>1.2</v>
      </c>
      <c r="C270" s="634"/>
      <c r="D270" s="634" t="s">
        <v>319</v>
      </c>
      <c r="E270" s="634" t="s">
        <v>319</v>
      </c>
      <c r="F270" s="634" t="s">
        <v>319</v>
      </c>
      <c r="G270" s="634" t="s">
        <v>511</v>
      </c>
      <c r="H270" s="634" t="s">
        <v>322</v>
      </c>
      <c r="I270" s="634" t="s">
        <v>516</v>
      </c>
      <c r="J270" s="576"/>
      <c r="K270" s="576"/>
      <c r="L270" s="576"/>
      <c r="M270" s="576"/>
      <c r="N270" s="576"/>
      <c r="O270" s="576"/>
    </row>
    <row r="271" spans="1:15" hidden="1" x14ac:dyDescent="0.25">
      <c r="A271" s="634" t="s">
        <v>510</v>
      </c>
      <c r="B271" s="635">
        <v>1</v>
      </c>
      <c r="C271" s="634"/>
      <c r="D271" s="634" t="s">
        <v>319</v>
      </c>
      <c r="E271" s="634" t="s">
        <v>319</v>
      </c>
      <c r="F271" s="634" t="s">
        <v>319</v>
      </c>
      <c r="G271" s="634" t="s">
        <v>511</v>
      </c>
      <c r="H271" s="634" t="s">
        <v>322</v>
      </c>
      <c r="I271" s="634" t="s">
        <v>517</v>
      </c>
      <c r="J271" s="576"/>
      <c r="K271" s="576"/>
      <c r="L271" s="576"/>
      <c r="M271" s="576"/>
      <c r="N271" s="576"/>
      <c r="O271" s="576"/>
    </row>
    <row r="272" spans="1:15" x14ac:dyDescent="0.25">
      <c r="A272" s="631" t="s">
        <v>191</v>
      </c>
      <c r="B272" s="632">
        <v>1</v>
      </c>
      <c r="C272" s="633"/>
      <c r="D272" s="631" t="s">
        <v>319</v>
      </c>
      <c r="E272" s="631" t="s">
        <v>319</v>
      </c>
      <c r="F272" s="631" t="s">
        <v>319</v>
      </c>
      <c r="G272" s="631" t="s">
        <v>321</v>
      </c>
      <c r="H272" s="631" t="s">
        <v>322</v>
      </c>
      <c r="I272" s="631" t="s">
        <v>518</v>
      </c>
      <c r="J272" s="577"/>
      <c r="K272" s="577"/>
      <c r="L272" s="577"/>
      <c r="M272" s="577"/>
      <c r="N272" s="577"/>
      <c r="O272" s="577"/>
    </row>
    <row r="273" spans="1:15" x14ac:dyDescent="0.25">
      <c r="A273" s="631" t="s">
        <v>191</v>
      </c>
      <c r="B273" s="632">
        <v>1</v>
      </c>
      <c r="C273" s="633"/>
      <c r="D273" s="631" t="s">
        <v>319</v>
      </c>
      <c r="E273" s="631" t="s">
        <v>319</v>
      </c>
      <c r="F273" s="631" t="s">
        <v>319</v>
      </c>
      <c r="G273" s="631" t="s">
        <v>321</v>
      </c>
      <c r="H273" s="631" t="s">
        <v>322</v>
      </c>
      <c r="I273" s="631" t="s">
        <v>519</v>
      </c>
      <c r="J273" s="577"/>
      <c r="K273" s="577"/>
      <c r="L273" s="577"/>
      <c r="M273" s="577"/>
      <c r="N273" s="577"/>
      <c r="O273" s="577"/>
    </row>
    <row r="274" spans="1:15" x14ac:dyDescent="0.25">
      <c r="A274" s="631" t="s">
        <v>191</v>
      </c>
      <c r="B274" s="632">
        <v>1</v>
      </c>
      <c r="C274" s="633"/>
      <c r="D274" s="631" t="s">
        <v>319</v>
      </c>
      <c r="E274" s="631" t="s">
        <v>319</v>
      </c>
      <c r="F274" s="631" t="s">
        <v>319</v>
      </c>
      <c r="G274" s="631" t="s">
        <v>321</v>
      </c>
      <c r="H274" s="631" t="s">
        <v>322</v>
      </c>
      <c r="I274" s="631" t="s">
        <v>520</v>
      </c>
      <c r="J274" s="577"/>
      <c r="K274" s="577"/>
      <c r="L274" s="577"/>
      <c r="M274" s="577"/>
      <c r="N274" s="577"/>
      <c r="O274" s="577"/>
    </row>
    <row r="275" spans="1:15" s="399" customFormat="1" x14ac:dyDescent="0.25">
      <c r="A275" s="631" t="s">
        <v>191</v>
      </c>
      <c r="B275" s="632">
        <v>1</v>
      </c>
      <c r="C275" s="633"/>
      <c r="D275" s="631" t="s">
        <v>319</v>
      </c>
      <c r="E275" s="631" t="s">
        <v>319</v>
      </c>
      <c r="F275" s="631" t="s">
        <v>319</v>
      </c>
      <c r="G275" s="631" t="s">
        <v>321</v>
      </c>
      <c r="H275" s="631" t="s">
        <v>322</v>
      </c>
      <c r="I275" s="631" t="s">
        <v>521</v>
      </c>
      <c r="J275" s="577"/>
      <c r="K275" s="577"/>
      <c r="L275" s="577"/>
      <c r="M275" s="577"/>
      <c r="N275" s="577"/>
      <c r="O275" s="577"/>
    </row>
    <row r="276" spans="1:15" x14ac:dyDescent="0.25">
      <c r="A276" s="631" t="s">
        <v>191</v>
      </c>
      <c r="B276" s="632">
        <v>1.1499999999999999</v>
      </c>
      <c r="C276" s="633"/>
      <c r="D276" s="631" t="s">
        <v>319</v>
      </c>
      <c r="E276" s="631" t="s">
        <v>319</v>
      </c>
      <c r="F276" s="631" t="s">
        <v>319</v>
      </c>
      <c r="G276" s="631" t="s">
        <v>321</v>
      </c>
      <c r="H276" s="631" t="s">
        <v>322</v>
      </c>
      <c r="I276" s="631" t="s">
        <v>522</v>
      </c>
      <c r="J276" s="577"/>
      <c r="K276" s="577"/>
      <c r="L276" s="577"/>
      <c r="M276" s="577"/>
      <c r="N276" s="577"/>
      <c r="O276" s="577"/>
    </row>
  </sheetData>
  <autoFilter ref="A1:R276" xr:uid="{7E929D66-1B8B-46B7-9BF4-928A3792F20B}">
    <filterColumn colId="0">
      <filters>
        <filter val="Vehicle Type"/>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692DC-E453-4A06-A13B-05ADAAB9B7FF}">
  <sheetPr>
    <tabColor rgb="FFFFFF00"/>
  </sheetPr>
  <dimension ref="A1:O88"/>
  <sheetViews>
    <sheetView workbookViewId="0">
      <pane ySplit="1" topLeftCell="A2" activePane="bottomLeft" state="frozen"/>
      <selection activeCell="G50" sqref="G50"/>
      <selection pane="bottomLeft" activeCell="G50" sqref="G50"/>
    </sheetView>
  </sheetViews>
  <sheetFormatPr defaultColWidth="9.1796875" defaultRowHeight="10.5" x14ac:dyDescent="0.25"/>
  <cols>
    <col min="1" max="1" width="14.26953125" style="570" bestFit="1" customWidth="1"/>
    <col min="2" max="2" width="10.7265625" style="573" bestFit="1" customWidth="1"/>
    <col min="3" max="3" width="3.7265625" style="570" customWidth="1"/>
    <col min="4" max="4" width="5.7265625" style="570" customWidth="1"/>
    <col min="5" max="5" width="6.26953125" style="570" customWidth="1"/>
    <col min="6" max="6" width="6.4531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x14ac:dyDescent="0.25">
      <c r="A25" s="186" t="s">
        <v>318</v>
      </c>
      <c r="B25" s="400"/>
      <c r="C25" s="186"/>
      <c r="D25" s="186" t="s">
        <v>319</v>
      </c>
      <c r="E25" s="186" t="s">
        <v>319</v>
      </c>
      <c r="F25" s="186" t="s">
        <v>319</v>
      </c>
      <c r="G25" s="186" t="s">
        <v>321</v>
      </c>
      <c r="H25" s="186" t="s">
        <v>322</v>
      </c>
      <c r="I25" s="186" t="s">
        <v>237</v>
      </c>
      <c r="J25" s="186" t="s">
        <v>323</v>
      </c>
      <c r="K25" s="186" t="s">
        <v>322</v>
      </c>
      <c r="L25" s="186" t="s">
        <v>523</v>
      </c>
      <c r="M25" s="574" t="s">
        <v>324</v>
      </c>
      <c r="N25" s="574" t="s">
        <v>325</v>
      </c>
      <c r="O25" s="574" t="s">
        <v>326</v>
      </c>
    </row>
    <row r="26" spans="1:15" x14ac:dyDescent="0.25">
      <c r="A26" s="601" t="s">
        <v>327</v>
      </c>
      <c r="B26" s="602">
        <v>0.55000000000000004</v>
      </c>
      <c r="C26" s="601"/>
      <c r="D26" s="601" t="s">
        <v>319</v>
      </c>
      <c r="E26" s="601" t="s">
        <v>319</v>
      </c>
      <c r="F26" s="601" t="s">
        <v>319</v>
      </c>
      <c r="G26" s="601" t="s">
        <v>327</v>
      </c>
      <c r="H26" s="601" t="s">
        <v>322</v>
      </c>
      <c r="I26" s="603" t="s">
        <v>328</v>
      </c>
      <c r="J26" s="577"/>
      <c r="K26" s="577"/>
      <c r="L26" s="577"/>
      <c r="M26" s="577"/>
      <c r="N26" s="577"/>
      <c r="O26" s="577"/>
    </row>
    <row r="27" spans="1:15" x14ac:dyDescent="0.25">
      <c r="A27" s="601" t="s">
        <v>327</v>
      </c>
      <c r="B27" s="602">
        <v>0.6</v>
      </c>
      <c r="C27" s="601"/>
      <c r="D27" s="601" t="s">
        <v>319</v>
      </c>
      <c r="E27" s="601" t="s">
        <v>319</v>
      </c>
      <c r="F27" s="601" t="s">
        <v>319</v>
      </c>
      <c r="G27" s="601" t="s">
        <v>327</v>
      </c>
      <c r="H27" s="601" t="s">
        <v>322</v>
      </c>
      <c r="I27" s="603" t="s">
        <v>329</v>
      </c>
      <c r="J27" s="577"/>
      <c r="K27" s="577"/>
      <c r="L27" s="577"/>
      <c r="M27" s="577"/>
      <c r="N27" s="577"/>
      <c r="O27" s="577"/>
    </row>
    <row r="28" spans="1:15" x14ac:dyDescent="0.25">
      <c r="A28" s="601" t="s">
        <v>327</v>
      </c>
      <c r="B28" s="602">
        <v>0.72499999999999998</v>
      </c>
      <c r="C28" s="601"/>
      <c r="D28" s="601" t="s">
        <v>319</v>
      </c>
      <c r="E28" s="601" t="s">
        <v>319</v>
      </c>
      <c r="F28" s="601" t="s">
        <v>319</v>
      </c>
      <c r="G28" s="601" t="s">
        <v>327</v>
      </c>
      <c r="H28" s="601" t="s">
        <v>322</v>
      </c>
      <c r="I28" s="603" t="s">
        <v>330</v>
      </c>
      <c r="J28" s="577"/>
      <c r="K28" s="577"/>
      <c r="L28" s="577"/>
      <c r="M28" s="577"/>
      <c r="N28" s="577"/>
      <c r="O28" s="577"/>
    </row>
    <row r="29" spans="1:15" x14ac:dyDescent="0.25">
      <c r="A29" s="601" t="s">
        <v>327</v>
      </c>
      <c r="B29" s="602">
        <v>1</v>
      </c>
      <c r="C29" s="601"/>
      <c r="D29" s="601" t="s">
        <v>319</v>
      </c>
      <c r="E29" s="601" t="s">
        <v>319</v>
      </c>
      <c r="F29" s="601" t="s">
        <v>319</v>
      </c>
      <c r="G29" s="601" t="s">
        <v>327</v>
      </c>
      <c r="H29" s="601" t="s">
        <v>322</v>
      </c>
      <c r="I29" s="603" t="s">
        <v>331</v>
      </c>
      <c r="J29" s="577"/>
      <c r="K29" s="577"/>
      <c r="L29" s="577"/>
      <c r="M29" s="577"/>
      <c r="N29" s="577"/>
      <c r="O29" s="577"/>
    </row>
    <row r="30" spans="1:15" x14ac:dyDescent="0.25">
      <c r="A30" s="601" t="s">
        <v>327</v>
      </c>
      <c r="B30" s="602">
        <v>1.45</v>
      </c>
      <c r="C30" s="601"/>
      <c r="D30" s="601" t="s">
        <v>319</v>
      </c>
      <c r="E30" s="601" t="s">
        <v>319</v>
      </c>
      <c r="F30" s="601" t="s">
        <v>319</v>
      </c>
      <c r="G30" s="601" t="s">
        <v>327</v>
      </c>
      <c r="H30" s="601" t="s">
        <v>322</v>
      </c>
      <c r="I30" s="603" t="s">
        <v>332</v>
      </c>
      <c r="J30" s="577"/>
      <c r="K30" s="577"/>
      <c r="L30" s="577"/>
      <c r="M30" s="577"/>
      <c r="N30" s="577"/>
      <c r="O30" s="577"/>
    </row>
    <row r="31" spans="1:15" x14ac:dyDescent="0.25">
      <c r="A31" s="601" t="s">
        <v>327</v>
      </c>
      <c r="B31" s="602">
        <v>1.5</v>
      </c>
      <c r="C31" s="601"/>
      <c r="D31" s="601" t="s">
        <v>319</v>
      </c>
      <c r="E31" s="601" t="s">
        <v>319</v>
      </c>
      <c r="F31" s="601" t="s">
        <v>319</v>
      </c>
      <c r="G31" s="601" t="s">
        <v>327</v>
      </c>
      <c r="H31" s="601" t="s">
        <v>322</v>
      </c>
      <c r="I31" s="603" t="s">
        <v>333</v>
      </c>
      <c r="J31" s="577"/>
      <c r="K31" s="577"/>
      <c r="L31" s="577"/>
      <c r="M31" s="577"/>
      <c r="N31" s="577"/>
      <c r="O31" s="577"/>
    </row>
    <row r="32" spans="1:15" x14ac:dyDescent="0.25">
      <c r="A32" s="601" t="s">
        <v>327</v>
      </c>
      <c r="B32" s="602">
        <v>3.5261999999999998</v>
      </c>
      <c r="C32" s="601"/>
      <c r="D32" s="601" t="s">
        <v>319</v>
      </c>
      <c r="E32" s="601" t="s">
        <v>319</v>
      </c>
      <c r="F32" s="601" t="s">
        <v>319</v>
      </c>
      <c r="G32" s="601" t="s">
        <v>327</v>
      </c>
      <c r="H32" s="601" t="s">
        <v>322</v>
      </c>
      <c r="I32" s="603" t="s">
        <v>334</v>
      </c>
      <c r="J32" s="577"/>
      <c r="K32" s="577"/>
      <c r="L32" s="577"/>
      <c r="M32" s="577"/>
      <c r="N32" s="577"/>
      <c r="O32" s="577"/>
    </row>
    <row r="33" spans="1:15" x14ac:dyDescent="0.25">
      <c r="A33" s="601" t="s">
        <v>327</v>
      </c>
      <c r="B33" s="602">
        <v>4.2313999999999998</v>
      </c>
      <c r="C33" s="601"/>
      <c r="D33" s="601" t="s">
        <v>319</v>
      </c>
      <c r="E33" s="601" t="s">
        <v>319</v>
      </c>
      <c r="F33" s="601" t="s">
        <v>319</v>
      </c>
      <c r="G33" s="601" t="s">
        <v>327</v>
      </c>
      <c r="H33" s="601" t="s">
        <v>322</v>
      </c>
      <c r="I33" s="603" t="s">
        <v>335</v>
      </c>
      <c r="J33" s="577"/>
      <c r="K33" s="577"/>
      <c r="L33" s="577"/>
      <c r="M33" s="577"/>
      <c r="N33" s="577"/>
      <c r="O33" s="577"/>
    </row>
    <row r="34" spans="1:15" x14ac:dyDescent="0.25">
      <c r="A34" s="601" t="s">
        <v>448</v>
      </c>
      <c r="B34" s="636">
        <v>3.4910000000000001</v>
      </c>
      <c r="C34" s="601"/>
      <c r="D34" s="601" t="s">
        <v>319</v>
      </c>
      <c r="E34" s="601" t="s">
        <v>319</v>
      </c>
      <c r="F34" s="601" t="s">
        <v>319</v>
      </c>
      <c r="G34" s="601" t="s">
        <v>449</v>
      </c>
      <c r="H34" s="601" t="s">
        <v>325</v>
      </c>
      <c r="I34" s="601" t="s">
        <v>450</v>
      </c>
      <c r="J34" s="575"/>
      <c r="K34" s="575"/>
      <c r="L34" s="575"/>
      <c r="M34" s="575"/>
      <c r="N34" s="575"/>
      <c r="O34" s="575"/>
    </row>
    <row r="35" spans="1:15" x14ac:dyDescent="0.25">
      <c r="A35" s="601" t="s">
        <v>448</v>
      </c>
      <c r="B35" s="636">
        <v>3.222</v>
      </c>
      <c r="C35" s="601"/>
      <c r="D35" s="601" t="s">
        <v>319</v>
      </c>
      <c r="E35" s="601" t="s">
        <v>319</v>
      </c>
      <c r="F35" s="601" t="s">
        <v>319</v>
      </c>
      <c r="G35" s="601" t="s">
        <v>449</v>
      </c>
      <c r="H35" s="601" t="s">
        <v>325</v>
      </c>
      <c r="I35" s="601" t="s">
        <v>451</v>
      </c>
      <c r="J35" s="575"/>
      <c r="K35" s="575"/>
      <c r="L35" s="575"/>
      <c r="M35" s="575"/>
      <c r="N35" s="575"/>
      <c r="O35" s="575"/>
    </row>
    <row r="36" spans="1:15" x14ac:dyDescent="0.25">
      <c r="A36" s="601" t="s">
        <v>448</v>
      </c>
      <c r="B36" s="636">
        <v>3.004</v>
      </c>
      <c r="C36" s="601"/>
      <c r="D36" s="601" t="s">
        <v>319</v>
      </c>
      <c r="E36" s="601" t="s">
        <v>319</v>
      </c>
      <c r="F36" s="601" t="s">
        <v>319</v>
      </c>
      <c r="G36" s="601" t="s">
        <v>449</v>
      </c>
      <c r="H36" s="601" t="s">
        <v>325</v>
      </c>
      <c r="I36" s="601" t="s">
        <v>452</v>
      </c>
      <c r="J36" s="575"/>
      <c r="K36" s="575"/>
      <c r="L36" s="575"/>
      <c r="M36" s="575"/>
      <c r="N36" s="575"/>
      <c r="O36" s="575"/>
    </row>
    <row r="37" spans="1:15" x14ac:dyDescent="0.25">
      <c r="A37" s="601" t="s">
        <v>448</v>
      </c>
      <c r="B37" s="636">
        <v>2.8460000000000001</v>
      </c>
      <c r="C37" s="601"/>
      <c r="D37" s="601" t="s">
        <v>319</v>
      </c>
      <c r="E37" s="601" t="s">
        <v>319</v>
      </c>
      <c r="F37" s="601" t="s">
        <v>319</v>
      </c>
      <c r="G37" s="601" t="s">
        <v>449</v>
      </c>
      <c r="H37" s="601" t="s">
        <v>325</v>
      </c>
      <c r="I37" s="601" t="s">
        <v>453</v>
      </c>
      <c r="J37" s="575"/>
      <c r="K37" s="575"/>
      <c r="L37" s="575"/>
      <c r="M37" s="575"/>
      <c r="N37" s="575"/>
      <c r="O37" s="575"/>
    </row>
    <row r="38" spans="1:15" x14ac:dyDescent="0.25">
      <c r="A38" s="601" t="s">
        <v>448</v>
      </c>
      <c r="B38" s="636">
        <v>2.7010000000000001</v>
      </c>
      <c r="C38" s="601"/>
      <c r="D38" s="601" t="s">
        <v>319</v>
      </c>
      <c r="E38" s="601" t="s">
        <v>319</v>
      </c>
      <c r="F38" s="601" t="s">
        <v>319</v>
      </c>
      <c r="G38" s="601" t="s">
        <v>449</v>
      </c>
      <c r="H38" s="601" t="s">
        <v>325</v>
      </c>
      <c r="I38" s="601" t="s">
        <v>454</v>
      </c>
      <c r="J38" s="575"/>
      <c r="K38" s="575"/>
      <c r="L38" s="575"/>
      <c r="M38" s="575"/>
      <c r="N38" s="575"/>
      <c r="O38" s="575"/>
    </row>
    <row r="39" spans="1:15" x14ac:dyDescent="0.25">
      <c r="A39" s="601" t="s">
        <v>448</v>
      </c>
      <c r="B39" s="636">
        <v>2.5670000000000002</v>
      </c>
      <c r="C39" s="601"/>
      <c r="D39" s="601" t="s">
        <v>319</v>
      </c>
      <c r="E39" s="601" t="s">
        <v>319</v>
      </c>
      <c r="F39" s="601" t="s">
        <v>319</v>
      </c>
      <c r="G39" s="601" t="s">
        <v>449</v>
      </c>
      <c r="H39" s="601" t="s">
        <v>325</v>
      </c>
      <c r="I39" s="601" t="s">
        <v>455</v>
      </c>
      <c r="J39" s="575"/>
      <c r="K39" s="575"/>
      <c r="L39" s="575"/>
      <c r="M39" s="575"/>
      <c r="N39" s="575"/>
      <c r="O39" s="575"/>
    </row>
    <row r="40" spans="1:15" x14ac:dyDescent="0.25">
      <c r="A40" s="601" t="s">
        <v>448</v>
      </c>
      <c r="B40" s="636">
        <v>2.4470000000000001</v>
      </c>
      <c r="C40" s="601"/>
      <c r="D40" s="601" t="s">
        <v>319</v>
      </c>
      <c r="E40" s="601" t="s">
        <v>319</v>
      </c>
      <c r="F40" s="601" t="s">
        <v>319</v>
      </c>
      <c r="G40" s="601" t="s">
        <v>449</v>
      </c>
      <c r="H40" s="601" t="s">
        <v>325</v>
      </c>
      <c r="I40" s="601" t="s">
        <v>456</v>
      </c>
      <c r="J40" s="575"/>
      <c r="K40" s="575"/>
      <c r="L40" s="575"/>
      <c r="M40" s="575"/>
      <c r="N40" s="575"/>
      <c r="O40" s="575"/>
    </row>
    <row r="41" spans="1:15" x14ac:dyDescent="0.25">
      <c r="A41" s="601" t="s">
        <v>448</v>
      </c>
      <c r="B41" s="636">
        <v>2.3420000000000001</v>
      </c>
      <c r="C41" s="601"/>
      <c r="D41" s="601" t="s">
        <v>319</v>
      </c>
      <c r="E41" s="601" t="s">
        <v>319</v>
      </c>
      <c r="F41" s="601" t="s">
        <v>319</v>
      </c>
      <c r="G41" s="601" t="s">
        <v>449</v>
      </c>
      <c r="H41" s="601" t="s">
        <v>325</v>
      </c>
      <c r="I41" s="601" t="s">
        <v>457</v>
      </c>
      <c r="J41" s="575"/>
      <c r="K41" s="575"/>
      <c r="L41" s="575"/>
      <c r="M41" s="575"/>
      <c r="N41" s="575"/>
      <c r="O41" s="575"/>
    </row>
    <row r="42" spans="1:15" x14ac:dyDescent="0.25">
      <c r="A42" s="601" t="s">
        <v>448</v>
      </c>
      <c r="B42" s="636">
        <v>2.25</v>
      </c>
      <c r="C42" s="601"/>
      <c r="D42" s="601" t="s">
        <v>319</v>
      </c>
      <c r="E42" s="601" t="s">
        <v>319</v>
      </c>
      <c r="F42" s="601" t="s">
        <v>319</v>
      </c>
      <c r="G42" s="601" t="s">
        <v>449</v>
      </c>
      <c r="H42" s="601" t="s">
        <v>325</v>
      </c>
      <c r="I42" s="601" t="s">
        <v>458</v>
      </c>
      <c r="J42" s="575"/>
      <c r="K42" s="575"/>
      <c r="L42" s="575"/>
      <c r="M42" s="575"/>
      <c r="N42" s="575"/>
      <c r="O42" s="575"/>
    </row>
    <row r="43" spans="1:15" x14ac:dyDescent="0.25">
      <c r="A43" s="601" t="s">
        <v>448</v>
      </c>
      <c r="B43" s="636">
        <v>2.105</v>
      </c>
      <c r="C43" s="601"/>
      <c r="D43" s="601" t="s">
        <v>319</v>
      </c>
      <c r="E43" s="601" t="s">
        <v>319</v>
      </c>
      <c r="F43" s="601" t="s">
        <v>319</v>
      </c>
      <c r="G43" s="601" t="s">
        <v>449</v>
      </c>
      <c r="H43" s="601" t="s">
        <v>325</v>
      </c>
      <c r="I43" s="601" t="s">
        <v>459</v>
      </c>
      <c r="J43" s="575"/>
      <c r="K43" s="575"/>
      <c r="L43" s="575"/>
      <c r="M43" s="575"/>
      <c r="N43" s="575"/>
      <c r="O43" s="575"/>
    </row>
    <row r="44" spans="1:15" x14ac:dyDescent="0.25">
      <c r="A44" s="601" t="s">
        <v>448</v>
      </c>
      <c r="B44" s="636">
        <v>1.889</v>
      </c>
      <c r="C44" s="601"/>
      <c r="D44" s="601" t="s">
        <v>319</v>
      </c>
      <c r="E44" s="601" t="s">
        <v>319</v>
      </c>
      <c r="F44" s="601" t="s">
        <v>319</v>
      </c>
      <c r="G44" s="601" t="s">
        <v>449</v>
      </c>
      <c r="H44" s="601" t="s">
        <v>325</v>
      </c>
      <c r="I44" s="601" t="s">
        <v>460</v>
      </c>
      <c r="J44" s="575"/>
      <c r="K44" s="575"/>
      <c r="L44" s="575"/>
      <c r="M44" s="575"/>
      <c r="N44" s="575"/>
      <c r="O44" s="575"/>
    </row>
    <row r="45" spans="1:15" x14ac:dyDescent="0.25">
      <c r="A45" s="601" t="s">
        <v>448</v>
      </c>
      <c r="B45" s="636">
        <v>1.6020000000000001</v>
      </c>
      <c r="C45" s="601"/>
      <c r="D45" s="601" t="s">
        <v>319</v>
      </c>
      <c r="E45" s="601" t="s">
        <v>319</v>
      </c>
      <c r="F45" s="601" t="s">
        <v>319</v>
      </c>
      <c r="G45" s="601" t="s">
        <v>449</v>
      </c>
      <c r="H45" s="601" t="s">
        <v>325</v>
      </c>
      <c r="I45" s="601" t="s">
        <v>461</v>
      </c>
      <c r="J45" s="575"/>
      <c r="K45" s="575"/>
      <c r="L45" s="575"/>
      <c r="M45" s="575"/>
      <c r="N45" s="575"/>
      <c r="O45" s="575"/>
    </row>
    <row r="46" spans="1:15" x14ac:dyDescent="0.25">
      <c r="A46" s="601" t="s">
        <v>448</v>
      </c>
      <c r="B46" s="636">
        <v>1.25</v>
      </c>
      <c r="C46" s="601"/>
      <c r="D46" s="601" t="s">
        <v>319</v>
      </c>
      <c r="E46" s="601" t="s">
        <v>319</v>
      </c>
      <c r="F46" s="601" t="s">
        <v>319</v>
      </c>
      <c r="G46" s="601" t="s">
        <v>449</v>
      </c>
      <c r="H46" s="601" t="s">
        <v>325</v>
      </c>
      <c r="I46" s="601" t="s">
        <v>462</v>
      </c>
      <c r="J46" s="575"/>
      <c r="K46" s="575"/>
      <c r="L46" s="575"/>
      <c r="M46" s="575"/>
      <c r="N46" s="575"/>
      <c r="O46" s="575"/>
    </row>
    <row r="47" spans="1:15" x14ac:dyDescent="0.25">
      <c r="A47" s="601" t="s">
        <v>448</v>
      </c>
      <c r="B47" s="636">
        <v>1.25</v>
      </c>
      <c r="C47" s="601"/>
      <c r="D47" s="601" t="s">
        <v>319</v>
      </c>
      <c r="E47" s="601" t="s">
        <v>319</v>
      </c>
      <c r="F47" s="601" t="s">
        <v>319</v>
      </c>
      <c r="G47" s="601" t="s">
        <v>449</v>
      </c>
      <c r="H47" s="601" t="s">
        <v>325</v>
      </c>
      <c r="I47" s="601" t="s">
        <v>463</v>
      </c>
      <c r="J47" s="575"/>
      <c r="K47" s="575"/>
      <c r="L47" s="575"/>
      <c r="M47" s="575"/>
      <c r="N47" s="575"/>
      <c r="O47" s="575"/>
    </row>
    <row r="48" spans="1:15" x14ac:dyDescent="0.25">
      <c r="A48" s="601" t="s">
        <v>448</v>
      </c>
      <c r="B48" s="636">
        <v>1.25</v>
      </c>
      <c r="C48" s="601"/>
      <c r="D48" s="601" t="s">
        <v>319</v>
      </c>
      <c r="E48" s="601" t="s">
        <v>319</v>
      </c>
      <c r="F48" s="601" t="s">
        <v>319</v>
      </c>
      <c r="G48" s="601" t="s">
        <v>449</v>
      </c>
      <c r="H48" s="601" t="s">
        <v>325</v>
      </c>
      <c r="I48" s="601" t="s">
        <v>464</v>
      </c>
      <c r="J48" s="575"/>
      <c r="K48" s="575"/>
      <c r="L48" s="575"/>
      <c r="M48" s="575"/>
      <c r="N48" s="575"/>
      <c r="O48" s="575"/>
    </row>
    <row r="49" spans="1:15" x14ac:dyDescent="0.25">
      <c r="A49" s="601" t="s">
        <v>448</v>
      </c>
      <c r="B49" s="636">
        <v>1.25</v>
      </c>
      <c r="C49" s="601"/>
      <c r="D49" s="601" t="s">
        <v>319</v>
      </c>
      <c r="E49" s="601" t="s">
        <v>319</v>
      </c>
      <c r="F49" s="601" t="s">
        <v>319</v>
      </c>
      <c r="G49" s="601" t="s">
        <v>449</v>
      </c>
      <c r="H49" s="601" t="s">
        <v>325</v>
      </c>
      <c r="I49" s="601" t="s">
        <v>465</v>
      </c>
      <c r="J49" s="575"/>
      <c r="K49" s="575"/>
      <c r="L49" s="575"/>
      <c r="M49" s="575"/>
      <c r="N49" s="575"/>
      <c r="O49" s="575"/>
    </row>
    <row r="50" spans="1:15" x14ac:dyDescent="0.25">
      <c r="A50" s="601" t="s">
        <v>448</v>
      </c>
      <c r="B50" s="636">
        <v>1.25</v>
      </c>
      <c r="C50" s="601"/>
      <c r="D50" s="601" t="s">
        <v>319</v>
      </c>
      <c r="E50" s="601" t="s">
        <v>319</v>
      </c>
      <c r="F50" s="601" t="s">
        <v>319</v>
      </c>
      <c r="G50" s="601" t="s">
        <v>449</v>
      </c>
      <c r="H50" s="601" t="s">
        <v>325</v>
      </c>
      <c r="I50" s="601" t="s">
        <v>466</v>
      </c>
      <c r="J50" s="575"/>
      <c r="K50" s="575"/>
      <c r="L50" s="575"/>
      <c r="M50" s="575"/>
      <c r="N50" s="575"/>
      <c r="O50" s="575"/>
    </row>
    <row r="51" spans="1:15" x14ac:dyDescent="0.25">
      <c r="A51" s="601" t="s">
        <v>448</v>
      </c>
      <c r="B51" s="636">
        <v>1.1499999999999999</v>
      </c>
      <c r="C51" s="601"/>
      <c r="D51" s="601" t="s">
        <v>319</v>
      </c>
      <c r="E51" s="601" t="s">
        <v>319</v>
      </c>
      <c r="F51" s="601" t="s">
        <v>319</v>
      </c>
      <c r="G51" s="601" t="s">
        <v>449</v>
      </c>
      <c r="H51" s="601" t="s">
        <v>325</v>
      </c>
      <c r="I51" s="601" t="s">
        <v>467</v>
      </c>
      <c r="J51" s="575"/>
      <c r="K51" s="575"/>
      <c r="L51" s="575"/>
      <c r="M51" s="575"/>
      <c r="N51" s="575"/>
      <c r="O51" s="575"/>
    </row>
    <row r="52" spans="1:15" x14ac:dyDescent="0.25">
      <c r="A52" s="601" t="s">
        <v>448</v>
      </c>
      <c r="B52" s="636">
        <v>1.1499999999999999</v>
      </c>
      <c r="C52" s="601"/>
      <c r="D52" s="601" t="s">
        <v>319</v>
      </c>
      <c r="E52" s="601" t="s">
        <v>319</v>
      </c>
      <c r="F52" s="601" t="s">
        <v>319</v>
      </c>
      <c r="G52" s="601" t="s">
        <v>449</v>
      </c>
      <c r="H52" s="601" t="s">
        <v>325</v>
      </c>
      <c r="I52" s="601" t="s">
        <v>468</v>
      </c>
      <c r="J52" s="575"/>
      <c r="K52" s="575"/>
      <c r="L52" s="575"/>
      <c r="M52" s="575"/>
      <c r="N52" s="575"/>
      <c r="O52" s="575"/>
    </row>
    <row r="53" spans="1:15" x14ac:dyDescent="0.25">
      <c r="A53" s="601" t="s">
        <v>448</v>
      </c>
      <c r="B53" s="636">
        <v>1.1499999999999999</v>
      </c>
      <c r="C53" s="601"/>
      <c r="D53" s="601" t="s">
        <v>319</v>
      </c>
      <c r="E53" s="601" t="s">
        <v>319</v>
      </c>
      <c r="F53" s="601" t="s">
        <v>319</v>
      </c>
      <c r="G53" s="601" t="s">
        <v>449</v>
      </c>
      <c r="H53" s="601" t="s">
        <v>325</v>
      </c>
      <c r="I53" s="601" t="s">
        <v>469</v>
      </c>
      <c r="J53" s="575"/>
      <c r="K53" s="575"/>
      <c r="L53" s="575"/>
      <c r="M53" s="575"/>
      <c r="N53" s="575"/>
      <c r="O53" s="575"/>
    </row>
    <row r="54" spans="1:15" x14ac:dyDescent="0.25">
      <c r="A54" s="601" t="s">
        <v>448</v>
      </c>
      <c r="B54" s="636">
        <v>1.1499999999999999</v>
      </c>
      <c r="C54" s="601"/>
      <c r="D54" s="601" t="s">
        <v>319</v>
      </c>
      <c r="E54" s="601" t="s">
        <v>319</v>
      </c>
      <c r="F54" s="601" t="s">
        <v>319</v>
      </c>
      <c r="G54" s="601" t="s">
        <v>449</v>
      </c>
      <c r="H54" s="601" t="s">
        <v>325</v>
      </c>
      <c r="I54" s="601" t="s">
        <v>470</v>
      </c>
      <c r="J54" s="575"/>
      <c r="K54" s="575"/>
      <c r="L54" s="575"/>
      <c r="M54" s="575"/>
      <c r="N54" s="575"/>
      <c r="O54" s="575"/>
    </row>
    <row r="55" spans="1:15" x14ac:dyDescent="0.25">
      <c r="A55" s="601" t="s">
        <v>448</v>
      </c>
      <c r="B55" s="636">
        <v>1.1499999999999999</v>
      </c>
      <c r="C55" s="601"/>
      <c r="D55" s="601" t="s">
        <v>319</v>
      </c>
      <c r="E55" s="601" t="s">
        <v>319</v>
      </c>
      <c r="F55" s="601" t="s">
        <v>319</v>
      </c>
      <c r="G55" s="601" t="s">
        <v>449</v>
      </c>
      <c r="H55" s="601" t="s">
        <v>325</v>
      </c>
      <c r="I55" s="601" t="s">
        <v>471</v>
      </c>
      <c r="J55" s="575"/>
      <c r="K55" s="575"/>
      <c r="L55" s="575"/>
      <c r="M55" s="575"/>
      <c r="N55" s="575"/>
      <c r="O55" s="575"/>
    </row>
    <row r="56" spans="1:15" x14ac:dyDescent="0.25">
      <c r="A56" s="601" t="s">
        <v>448</v>
      </c>
      <c r="B56" s="636">
        <v>1.05</v>
      </c>
      <c r="C56" s="601"/>
      <c r="D56" s="601" t="s">
        <v>319</v>
      </c>
      <c r="E56" s="601" t="s">
        <v>319</v>
      </c>
      <c r="F56" s="601" t="s">
        <v>319</v>
      </c>
      <c r="G56" s="601" t="s">
        <v>449</v>
      </c>
      <c r="H56" s="601" t="s">
        <v>325</v>
      </c>
      <c r="I56" s="601" t="s">
        <v>472</v>
      </c>
      <c r="J56" s="575"/>
      <c r="K56" s="575"/>
      <c r="L56" s="575"/>
      <c r="M56" s="575"/>
      <c r="N56" s="575"/>
      <c r="O56" s="575"/>
    </row>
    <row r="57" spans="1:15" x14ac:dyDescent="0.25">
      <c r="A57" s="601" t="s">
        <v>448</v>
      </c>
      <c r="B57" s="636">
        <v>1.05</v>
      </c>
      <c r="C57" s="601"/>
      <c r="D57" s="601" t="s">
        <v>319</v>
      </c>
      <c r="E57" s="601" t="s">
        <v>319</v>
      </c>
      <c r="F57" s="601" t="s">
        <v>319</v>
      </c>
      <c r="G57" s="601" t="s">
        <v>449</v>
      </c>
      <c r="H57" s="601" t="s">
        <v>325</v>
      </c>
      <c r="I57" s="601" t="s">
        <v>473</v>
      </c>
      <c r="J57" s="575"/>
      <c r="K57" s="575"/>
      <c r="L57" s="575"/>
      <c r="M57" s="575"/>
      <c r="N57" s="575"/>
      <c r="O57" s="575"/>
    </row>
    <row r="58" spans="1:15" x14ac:dyDescent="0.25">
      <c r="A58" s="601" t="s">
        <v>448</v>
      </c>
      <c r="B58" s="636">
        <v>1.05</v>
      </c>
      <c r="C58" s="601"/>
      <c r="D58" s="601" t="s">
        <v>319</v>
      </c>
      <c r="E58" s="601" t="s">
        <v>319</v>
      </c>
      <c r="F58" s="601" t="s">
        <v>319</v>
      </c>
      <c r="G58" s="601" t="s">
        <v>449</v>
      </c>
      <c r="H58" s="601" t="s">
        <v>325</v>
      </c>
      <c r="I58" s="601" t="s">
        <v>474</v>
      </c>
      <c r="J58" s="575"/>
      <c r="K58" s="575"/>
      <c r="L58" s="575"/>
      <c r="M58" s="575"/>
      <c r="N58" s="575"/>
      <c r="O58" s="575"/>
    </row>
    <row r="59" spans="1:15" x14ac:dyDescent="0.25">
      <c r="A59" s="601" t="s">
        <v>448</v>
      </c>
      <c r="B59" s="636">
        <v>1.05</v>
      </c>
      <c r="C59" s="601"/>
      <c r="D59" s="601" t="s">
        <v>319</v>
      </c>
      <c r="E59" s="601" t="s">
        <v>319</v>
      </c>
      <c r="F59" s="601" t="s">
        <v>319</v>
      </c>
      <c r="G59" s="601" t="s">
        <v>449</v>
      </c>
      <c r="H59" s="601" t="s">
        <v>325</v>
      </c>
      <c r="I59" s="601" t="s">
        <v>475</v>
      </c>
      <c r="J59" s="575"/>
      <c r="K59" s="575"/>
      <c r="L59" s="575"/>
      <c r="M59" s="575"/>
      <c r="N59" s="575"/>
      <c r="O59" s="575"/>
    </row>
    <row r="60" spans="1:15" x14ac:dyDescent="0.25">
      <c r="A60" s="601" t="s">
        <v>448</v>
      </c>
      <c r="B60" s="636">
        <v>1.05</v>
      </c>
      <c r="C60" s="601"/>
      <c r="D60" s="601" t="s">
        <v>319</v>
      </c>
      <c r="E60" s="601" t="s">
        <v>319</v>
      </c>
      <c r="F60" s="601" t="s">
        <v>319</v>
      </c>
      <c r="G60" s="601" t="s">
        <v>449</v>
      </c>
      <c r="H60" s="601" t="s">
        <v>325</v>
      </c>
      <c r="I60" s="601" t="s">
        <v>476</v>
      </c>
      <c r="J60" s="575"/>
      <c r="K60" s="575"/>
      <c r="L60" s="575"/>
      <c r="M60" s="575"/>
      <c r="N60" s="575"/>
      <c r="O60" s="575"/>
    </row>
    <row r="61" spans="1:15" x14ac:dyDescent="0.25">
      <c r="A61" s="601" t="s">
        <v>448</v>
      </c>
      <c r="B61" s="636">
        <v>1.0249999999999999</v>
      </c>
      <c r="C61" s="601"/>
      <c r="D61" s="601" t="s">
        <v>319</v>
      </c>
      <c r="E61" s="601" t="s">
        <v>319</v>
      </c>
      <c r="F61" s="601" t="s">
        <v>319</v>
      </c>
      <c r="G61" s="601" t="s">
        <v>449</v>
      </c>
      <c r="H61" s="601" t="s">
        <v>325</v>
      </c>
      <c r="I61" s="601" t="s">
        <v>477</v>
      </c>
      <c r="J61" s="575"/>
      <c r="K61" s="575"/>
      <c r="L61" s="575"/>
      <c r="M61" s="575"/>
      <c r="N61" s="575"/>
      <c r="O61" s="575"/>
    </row>
    <row r="62" spans="1:15" x14ac:dyDescent="0.25">
      <c r="A62" s="601" t="s">
        <v>448</v>
      </c>
      <c r="B62" s="636">
        <v>1.0249999999999999</v>
      </c>
      <c r="C62" s="601"/>
      <c r="D62" s="601" t="s">
        <v>319</v>
      </c>
      <c r="E62" s="601" t="s">
        <v>319</v>
      </c>
      <c r="F62" s="601" t="s">
        <v>319</v>
      </c>
      <c r="G62" s="601" t="s">
        <v>449</v>
      </c>
      <c r="H62" s="601" t="s">
        <v>325</v>
      </c>
      <c r="I62" s="601" t="s">
        <v>478</v>
      </c>
      <c r="J62" s="575"/>
      <c r="K62" s="575"/>
      <c r="L62" s="575"/>
      <c r="M62" s="575"/>
      <c r="N62" s="575"/>
      <c r="O62" s="575"/>
    </row>
    <row r="63" spans="1:15" x14ac:dyDescent="0.25">
      <c r="A63" s="601" t="s">
        <v>448</v>
      </c>
      <c r="B63" s="636">
        <v>1.0249999999999999</v>
      </c>
      <c r="C63" s="601"/>
      <c r="D63" s="601" t="s">
        <v>319</v>
      </c>
      <c r="E63" s="601" t="s">
        <v>319</v>
      </c>
      <c r="F63" s="601" t="s">
        <v>319</v>
      </c>
      <c r="G63" s="601" t="s">
        <v>449</v>
      </c>
      <c r="H63" s="601" t="s">
        <v>325</v>
      </c>
      <c r="I63" s="601" t="s">
        <v>479</v>
      </c>
      <c r="J63" s="575"/>
      <c r="K63" s="575"/>
      <c r="L63" s="575"/>
      <c r="M63" s="575"/>
      <c r="N63" s="575"/>
      <c r="O63" s="575"/>
    </row>
    <row r="64" spans="1:15" x14ac:dyDescent="0.25">
      <c r="A64" s="601" t="s">
        <v>448</v>
      </c>
      <c r="B64" s="636">
        <v>1.0249999999999999</v>
      </c>
      <c r="C64" s="601"/>
      <c r="D64" s="601" t="s">
        <v>319</v>
      </c>
      <c r="E64" s="601" t="s">
        <v>319</v>
      </c>
      <c r="F64" s="601" t="s">
        <v>319</v>
      </c>
      <c r="G64" s="601" t="s">
        <v>449</v>
      </c>
      <c r="H64" s="601" t="s">
        <v>325</v>
      </c>
      <c r="I64" s="601" t="s">
        <v>480</v>
      </c>
      <c r="J64" s="575"/>
      <c r="K64" s="575"/>
      <c r="L64" s="575"/>
      <c r="M64" s="575"/>
      <c r="N64" s="575"/>
      <c r="O64" s="575"/>
    </row>
    <row r="65" spans="1:15" x14ac:dyDescent="0.25">
      <c r="A65" s="601" t="s">
        <v>448</v>
      </c>
      <c r="B65" s="636">
        <v>1.0249999999999999</v>
      </c>
      <c r="C65" s="601"/>
      <c r="D65" s="601" t="s">
        <v>319</v>
      </c>
      <c r="E65" s="601" t="s">
        <v>319</v>
      </c>
      <c r="F65" s="601" t="s">
        <v>319</v>
      </c>
      <c r="G65" s="601" t="s">
        <v>449</v>
      </c>
      <c r="H65" s="601" t="s">
        <v>325</v>
      </c>
      <c r="I65" s="601" t="s">
        <v>481</v>
      </c>
      <c r="J65" s="575"/>
      <c r="K65" s="575"/>
      <c r="L65" s="575"/>
      <c r="M65" s="575"/>
      <c r="N65" s="575"/>
      <c r="O65" s="575"/>
    </row>
    <row r="66" spans="1:15" x14ac:dyDescent="0.25">
      <c r="A66" s="601" t="s">
        <v>448</v>
      </c>
      <c r="B66" s="636">
        <v>1</v>
      </c>
      <c r="C66" s="601"/>
      <c r="D66" s="601" t="s">
        <v>319</v>
      </c>
      <c r="E66" s="601" t="s">
        <v>319</v>
      </c>
      <c r="F66" s="601" t="s">
        <v>319</v>
      </c>
      <c r="G66" s="601" t="s">
        <v>449</v>
      </c>
      <c r="H66" s="601" t="s">
        <v>325</v>
      </c>
      <c r="I66" s="601" t="s">
        <v>482</v>
      </c>
      <c r="J66" s="575"/>
      <c r="K66" s="575"/>
      <c r="L66" s="575"/>
      <c r="M66" s="575"/>
      <c r="N66" s="575"/>
      <c r="O66" s="575"/>
    </row>
    <row r="67" spans="1:15" x14ac:dyDescent="0.25">
      <c r="A67" s="601" t="s">
        <v>448</v>
      </c>
      <c r="B67" s="636">
        <v>1</v>
      </c>
      <c r="C67" s="601"/>
      <c r="D67" s="601" t="s">
        <v>319</v>
      </c>
      <c r="E67" s="601" t="s">
        <v>319</v>
      </c>
      <c r="F67" s="601" t="s">
        <v>319</v>
      </c>
      <c r="G67" s="601" t="s">
        <v>449</v>
      </c>
      <c r="H67" s="601" t="s">
        <v>325</v>
      </c>
      <c r="I67" s="601" t="s">
        <v>483</v>
      </c>
      <c r="J67" s="575"/>
      <c r="K67" s="575"/>
      <c r="L67" s="575"/>
      <c r="M67" s="575"/>
      <c r="N67" s="575"/>
      <c r="O67" s="575"/>
    </row>
    <row r="68" spans="1:15" x14ac:dyDescent="0.25">
      <c r="A68" s="601" t="s">
        <v>448</v>
      </c>
      <c r="B68" s="636">
        <v>1</v>
      </c>
      <c r="C68" s="601"/>
      <c r="D68" s="601" t="s">
        <v>319</v>
      </c>
      <c r="E68" s="601" t="s">
        <v>319</v>
      </c>
      <c r="F68" s="601" t="s">
        <v>319</v>
      </c>
      <c r="G68" s="601" t="s">
        <v>449</v>
      </c>
      <c r="H68" s="601" t="s">
        <v>325</v>
      </c>
      <c r="I68" s="601" t="s">
        <v>484</v>
      </c>
      <c r="J68" s="575"/>
      <c r="K68" s="575"/>
      <c r="L68" s="575"/>
      <c r="M68" s="575"/>
      <c r="N68" s="575"/>
      <c r="O68" s="575"/>
    </row>
    <row r="69" spans="1:15" x14ac:dyDescent="0.25">
      <c r="A69" s="601" t="s">
        <v>448</v>
      </c>
      <c r="B69" s="636">
        <v>1</v>
      </c>
      <c r="C69" s="601"/>
      <c r="D69" s="601" t="s">
        <v>319</v>
      </c>
      <c r="E69" s="601" t="s">
        <v>319</v>
      </c>
      <c r="F69" s="601" t="s">
        <v>319</v>
      </c>
      <c r="G69" s="601" t="s">
        <v>449</v>
      </c>
      <c r="H69" s="601" t="s">
        <v>325</v>
      </c>
      <c r="I69" s="601" t="s">
        <v>485</v>
      </c>
      <c r="J69" s="575"/>
      <c r="K69" s="575"/>
      <c r="L69" s="575"/>
      <c r="M69" s="575"/>
      <c r="N69" s="575"/>
      <c r="O69" s="575"/>
    </row>
    <row r="70" spans="1:15" x14ac:dyDescent="0.25">
      <c r="A70" s="601" t="s">
        <v>448</v>
      </c>
      <c r="B70" s="636">
        <v>1</v>
      </c>
      <c r="C70" s="601"/>
      <c r="D70" s="601" t="s">
        <v>319</v>
      </c>
      <c r="E70" s="601" t="s">
        <v>319</v>
      </c>
      <c r="F70" s="601" t="s">
        <v>319</v>
      </c>
      <c r="G70" s="601" t="s">
        <v>449</v>
      </c>
      <c r="H70" s="601" t="s">
        <v>325</v>
      </c>
      <c r="I70" s="601" t="s">
        <v>486</v>
      </c>
      <c r="J70" s="575"/>
      <c r="K70" s="575"/>
      <c r="L70" s="575"/>
      <c r="M70" s="575"/>
      <c r="N70" s="575"/>
      <c r="O70" s="575"/>
    </row>
    <row r="71" spans="1:15" x14ac:dyDescent="0.25">
      <c r="A71" s="601" t="s">
        <v>448</v>
      </c>
      <c r="B71" s="636">
        <v>1</v>
      </c>
      <c r="C71" s="601"/>
      <c r="D71" s="601" t="s">
        <v>319</v>
      </c>
      <c r="E71" s="601" t="s">
        <v>319</v>
      </c>
      <c r="F71" s="601" t="s">
        <v>319</v>
      </c>
      <c r="G71" s="601" t="s">
        <v>449</v>
      </c>
      <c r="H71" s="601" t="s">
        <v>325</v>
      </c>
      <c r="I71" s="601" t="s">
        <v>487</v>
      </c>
      <c r="J71" s="575"/>
      <c r="K71" s="575"/>
      <c r="L71" s="575"/>
      <c r="M71" s="575"/>
      <c r="N71" s="575"/>
      <c r="O71" s="575"/>
    </row>
    <row r="72" spans="1:15" x14ac:dyDescent="0.25">
      <c r="A72" s="601" t="s">
        <v>448</v>
      </c>
      <c r="B72" s="636">
        <v>1</v>
      </c>
      <c r="C72" s="601"/>
      <c r="D72" s="601" t="s">
        <v>319</v>
      </c>
      <c r="E72" s="601" t="s">
        <v>319</v>
      </c>
      <c r="F72" s="601" t="s">
        <v>319</v>
      </c>
      <c r="G72" s="601" t="s">
        <v>449</v>
      </c>
      <c r="H72" s="601" t="s">
        <v>325</v>
      </c>
      <c r="I72" s="601" t="s">
        <v>488</v>
      </c>
      <c r="J72" s="575"/>
      <c r="K72" s="575"/>
      <c r="L72" s="575"/>
      <c r="M72" s="575"/>
      <c r="N72" s="575"/>
      <c r="O72" s="575"/>
    </row>
    <row r="73" spans="1:15" x14ac:dyDescent="0.25">
      <c r="A73" s="601" t="s">
        <v>448</v>
      </c>
      <c r="B73" s="636">
        <v>1</v>
      </c>
      <c r="C73" s="601"/>
      <c r="D73" s="601" t="s">
        <v>319</v>
      </c>
      <c r="E73" s="601" t="s">
        <v>319</v>
      </c>
      <c r="F73" s="601" t="s">
        <v>319</v>
      </c>
      <c r="G73" s="601" t="s">
        <v>449</v>
      </c>
      <c r="H73" s="601" t="s">
        <v>325</v>
      </c>
      <c r="I73" s="601" t="s">
        <v>489</v>
      </c>
      <c r="J73" s="575"/>
      <c r="K73" s="575"/>
      <c r="L73" s="575"/>
      <c r="M73" s="575"/>
      <c r="N73" s="575"/>
      <c r="O73" s="575"/>
    </row>
    <row r="74" spans="1:15" x14ac:dyDescent="0.25">
      <c r="A74" s="601" t="s">
        <v>448</v>
      </c>
      <c r="B74" s="636">
        <v>1</v>
      </c>
      <c r="C74" s="601"/>
      <c r="D74" s="601" t="s">
        <v>319</v>
      </c>
      <c r="E74" s="601" t="s">
        <v>319</v>
      </c>
      <c r="F74" s="601" t="s">
        <v>319</v>
      </c>
      <c r="G74" s="601" t="s">
        <v>449</v>
      </c>
      <c r="H74" s="601" t="s">
        <v>325</v>
      </c>
      <c r="I74" s="601" t="s">
        <v>490</v>
      </c>
      <c r="J74" s="575"/>
      <c r="K74" s="575"/>
      <c r="L74" s="575"/>
      <c r="M74" s="575"/>
      <c r="N74" s="575"/>
      <c r="O74" s="575"/>
    </row>
    <row r="75" spans="1:15" x14ac:dyDescent="0.25">
      <c r="A75" s="601" t="s">
        <v>448</v>
      </c>
      <c r="B75" s="636">
        <v>1</v>
      </c>
      <c r="C75" s="601"/>
      <c r="D75" s="601" t="s">
        <v>319</v>
      </c>
      <c r="E75" s="601" t="s">
        <v>319</v>
      </c>
      <c r="F75" s="601" t="s">
        <v>319</v>
      </c>
      <c r="G75" s="601" t="s">
        <v>449</v>
      </c>
      <c r="H75" s="601" t="s">
        <v>325</v>
      </c>
      <c r="I75" s="601" t="s">
        <v>491</v>
      </c>
      <c r="J75" s="575"/>
      <c r="K75" s="575"/>
      <c r="L75" s="575"/>
      <c r="M75" s="575"/>
      <c r="N75" s="575"/>
      <c r="O75" s="575"/>
    </row>
    <row r="76" spans="1:15" x14ac:dyDescent="0.25">
      <c r="A76" s="601" t="s">
        <v>448</v>
      </c>
      <c r="B76" s="636">
        <v>1</v>
      </c>
      <c r="C76" s="601"/>
      <c r="D76" s="601" t="s">
        <v>319</v>
      </c>
      <c r="E76" s="601" t="s">
        <v>319</v>
      </c>
      <c r="F76" s="601" t="s">
        <v>319</v>
      </c>
      <c r="G76" s="601" t="s">
        <v>449</v>
      </c>
      <c r="H76" s="601" t="s">
        <v>325</v>
      </c>
      <c r="I76" s="601" t="s">
        <v>492</v>
      </c>
      <c r="J76" s="575"/>
      <c r="K76" s="575"/>
      <c r="L76" s="575"/>
      <c r="M76" s="575"/>
      <c r="N76" s="575"/>
      <c r="O76" s="575"/>
    </row>
    <row r="77" spans="1:15" x14ac:dyDescent="0.25">
      <c r="A77" s="601" t="s">
        <v>448</v>
      </c>
      <c r="B77" s="636">
        <v>1</v>
      </c>
      <c r="C77" s="601"/>
      <c r="D77" s="601" t="s">
        <v>319</v>
      </c>
      <c r="E77" s="601" t="s">
        <v>319</v>
      </c>
      <c r="F77" s="601" t="s">
        <v>319</v>
      </c>
      <c r="G77" s="601" t="s">
        <v>449</v>
      </c>
      <c r="H77" s="601" t="s">
        <v>325</v>
      </c>
      <c r="I77" s="601" t="s">
        <v>493</v>
      </c>
      <c r="J77" s="575"/>
      <c r="K77" s="575"/>
      <c r="L77" s="575"/>
      <c r="M77" s="575"/>
      <c r="N77" s="575"/>
      <c r="O77" s="575"/>
    </row>
    <row r="78" spans="1:15" x14ac:dyDescent="0.25">
      <c r="A78" s="601" t="s">
        <v>448</v>
      </c>
      <c r="B78" s="636">
        <v>1</v>
      </c>
      <c r="C78" s="601"/>
      <c r="D78" s="601" t="s">
        <v>319</v>
      </c>
      <c r="E78" s="601" t="s">
        <v>319</v>
      </c>
      <c r="F78" s="601" t="s">
        <v>319</v>
      </c>
      <c r="G78" s="601" t="s">
        <v>449</v>
      </c>
      <c r="H78" s="601" t="s">
        <v>325</v>
      </c>
      <c r="I78" s="601" t="s">
        <v>494</v>
      </c>
      <c r="J78" s="575"/>
      <c r="K78" s="575"/>
      <c r="L78" s="575"/>
      <c r="M78" s="575"/>
      <c r="N78" s="575"/>
      <c r="O78" s="575"/>
    </row>
    <row r="79" spans="1:15" x14ac:dyDescent="0.25">
      <c r="A79" s="601" t="s">
        <v>448</v>
      </c>
      <c r="B79" s="636">
        <v>1</v>
      </c>
      <c r="C79" s="601"/>
      <c r="D79" s="601" t="s">
        <v>319</v>
      </c>
      <c r="E79" s="601" t="s">
        <v>319</v>
      </c>
      <c r="F79" s="601" t="s">
        <v>319</v>
      </c>
      <c r="G79" s="601" t="s">
        <v>449</v>
      </c>
      <c r="H79" s="601" t="s">
        <v>325</v>
      </c>
      <c r="I79" s="601" t="s">
        <v>495</v>
      </c>
      <c r="J79" s="575"/>
      <c r="K79" s="575"/>
      <c r="L79" s="575"/>
      <c r="M79" s="575"/>
      <c r="N79" s="575"/>
      <c r="O79" s="575"/>
    </row>
    <row r="80" spans="1:15" x14ac:dyDescent="0.25">
      <c r="A80" s="601" t="s">
        <v>448</v>
      </c>
      <c r="B80" s="636">
        <v>1</v>
      </c>
      <c r="C80" s="601"/>
      <c r="D80" s="601" t="s">
        <v>319</v>
      </c>
      <c r="E80" s="601" t="s">
        <v>319</v>
      </c>
      <c r="F80" s="601" t="s">
        <v>319</v>
      </c>
      <c r="G80" s="601" t="s">
        <v>449</v>
      </c>
      <c r="H80" s="601" t="s">
        <v>325</v>
      </c>
      <c r="I80" s="601" t="s">
        <v>496</v>
      </c>
      <c r="J80" s="575"/>
      <c r="K80" s="575"/>
      <c r="L80" s="575"/>
      <c r="M80" s="575"/>
      <c r="N80" s="575"/>
      <c r="O80" s="575"/>
    </row>
    <row r="81" spans="1:15" x14ac:dyDescent="0.25">
      <c r="A81" s="601" t="s">
        <v>448</v>
      </c>
      <c r="B81" s="636">
        <v>1</v>
      </c>
      <c r="C81" s="601"/>
      <c r="D81" s="601" t="s">
        <v>319</v>
      </c>
      <c r="E81" s="601" t="s">
        <v>319</v>
      </c>
      <c r="F81" s="601" t="s">
        <v>319</v>
      </c>
      <c r="G81" s="601" t="s">
        <v>449</v>
      </c>
      <c r="H81" s="601" t="s">
        <v>325</v>
      </c>
      <c r="I81" s="601" t="s">
        <v>497</v>
      </c>
      <c r="J81" s="575"/>
      <c r="K81" s="575"/>
      <c r="L81" s="575"/>
      <c r="M81" s="575"/>
      <c r="N81" s="575"/>
      <c r="O81" s="575"/>
    </row>
    <row r="82" spans="1:15" x14ac:dyDescent="0.25">
      <c r="A82" s="601" t="s">
        <v>448</v>
      </c>
      <c r="B82" s="636">
        <v>1</v>
      </c>
      <c r="C82" s="601"/>
      <c r="D82" s="601" t="s">
        <v>319</v>
      </c>
      <c r="E82" s="601" t="s">
        <v>319</v>
      </c>
      <c r="F82" s="601" t="s">
        <v>319</v>
      </c>
      <c r="G82" s="601" t="s">
        <v>449</v>
      </c>
      <c r="H82" s="601" t="s">
        <v>325</v>
      </c>
      <c r="I82" s="601" t="s">
        <v>498</v>
      </c>
      <c r="J82" s="575"/>
      <c r="K82" s="575"/>
      <c r="L82" s="575"/>
      <c r="M82" s="575"/>
      <c r="N82" s="575"/>
      <c r="O82" s="575"/>
    </row>
    <row r="83" spans="1:15" x14ac:dyDescent="0.25">
      <c r="A83" s="601" t="s">
        <v>448</v>
      </c>
      <c r="B83" s="636">
        <v>1</v>
      </c>
      <c r="C83" s="601"/>
      <c r="D83" s="601" t="s">
        <v>319</v>
      </c>
      <c r="E83" s="601" t="s">
        <v>319</v>
      </c>
      <c r="F83" s="601" t="s">
        <v>319</v>
      </c>
      <c r="G83" s="601" t="s">
        <v>449</v>
      </c>
      <c r="H83" s="601" t="s">
        <v>325</v>
      </c>
      <c r="I83" s="601" t="s">
        <v>499</v>
      </c>
      <c r="J83" s="575"/>
      <c r="K83" s="575"/>
      <c r="L83" s="575"/>
      <c r="M83" s="575"/>
      <c r="N83" s="575"/>
      <c r="O83" s="575"/>
    </row>
    <row r="84" spans="1:15" x14ac:dyDescent="0.25">
      <c r="A84" s="601" t="s">
        <v>448</v>
      </c>
      <c r="B84" s="636">
        <v>1</v>
      </c>
      <c r="C84" s="601"/>
      <c r="D84" s="601" t="s">
        <v>319</v>
      </c>
      <c r="E84" s="601" t="s">
        <v>319</v>
      </c>
      <c r="F84" s="601" t="s">
        <v>319</v>
      </c>
      <c r="G84" s="601" t="s">
        <v>449</v>
      </c>
      <c r="H84" s="601" t="s">
        <v>325</v>
      </c>
      <c r="I84" s="601" t="s">
        <v>500</v>
      </c>
      <c r="J84" s="575"/>
      <c r="K84" s="575"/>
      <c r="L84" s="575"/>
      <c r="M84" s="575"/>
      <c r="N84" s="575"/>
      <c r="O84" s="575"/>
    </row>
    <row r="85" spans="1:15" x14ac:dyDescent="0.25">
      <c r="A85" s="601" t="s">
        <v>448</v>
      </c>
      <c r="B85" s="636">
        <v>1</v>
      </c>
      <c r="C85" s="601"/>
      <c r="D85" s="601" t="s">
        <v>319</v>
      </c>
      <c r="E85" s="601" t="s">
        <v>319</v>
      </c>
      <c r="F85" s="601" t="s">
        <v>319</v>
      </c>
      <c r="G85" s="601" t="s">
        <v>449</v>
      </c>
      <c r="H85" s="601" t="s">
        <v>325</v>
      </c>
      <c r="I85" s="601" t="s">
        <v>501</v>
      </c>
      <c r="J85" s="575"/>
      <c r="K85" s="575"/>
      <c r="L85" s="575"/>
      <c r="M85" s="575"/>
      <c r="N85" s="575"/>
      <c r="O85" s="575"/>
    </row>
    <row r="86" spans="1:15" x14ac:dyDescent="0.25">
      <c r="A86" s="601" t="s">
        <v>448</v>
      </c>
      <c r="B86" s="636">
        <v>1</v>
      </c>
      <c r="C86" s="601"/>
      <c r="D86" s="601" t="s">
        <v>319</v>
      </c>
      <c r="E86" s="601" t="s">
        <v>319</v>
      </c>
      <c r="F86" s="601" t="s">
        <v>319</v>
      </c>
      <c r="G86" s="601" t="s">
        <v>449</v>
      </c>
      <c r="H86" s="601" t="s">
        <v>325</v>
      </c>
      <c r="I86" s="601" t="s">
        <v>502</v>
      </c>
      <c r="J86" s="575"/>
      <c r="K86" s="575"/>
      <c r="L86" s="575"/>
      <c r="M86" s="575"/>
      <c r="N86" s="575"/>
      <c r="O86" s="575"/>
    </row>
    <row r="87" spans="1:15" x14ac:dyDescent="0.25">
      <c r="A87" s="601" t="s">
        <v>448</v>
      </c>
      <c r="B87" s="636">
        <v>1</v>
      </c>
      <c r="C87" s="601"/>
      <c r="D87" s="601" t="s">
        <v>319</v>
      </c>
      <c r="E87" s="601" t="s">
        <v>319</v>
      </c>
      <c r="F87" s="601" t="s">
        <v>319</v>
      </c>
      <c r="G87" s="601" t="s">
        <v>449</v>
      </c>
      <c r="H87" s="601" t="s">
        <v>325</v>
      </c>
      <c r="I87" s="601" t="s">
        <v>503</v>
      </c>
      <c r="J87" s="575"/>
      <c r="K87" s="575"/>
      <c r="L87" s="575"/>
      <c r="M87" s="575"/>
      <c r="N87" s="575"/>
      <c r="O87" s="575"/>
    </row>
    <row r="88" spans="1:15" x14ac:dyDescent="0.25">
      <c r="A88" s="601" t="s">
        <v>448</v>
      </c>
      <c r="B88" s="636">
        <v>1</v>
      </c>
      <c r="C88" s="601"/>
      <c r="D88" s="601" t="s">
        <v>319</v>
      </c>
      <c r="E88" s="601" t="s">
        <v>319</v>
      </c>
      <c r="F88" s="601" t="s">
        <v>319</v>
      </c>
      <c r="G88" s="601" t="s">
        <v>449</v>
      </c>
      <c r="H88" s="601" t="s">
        <v>325</v>
      </c>
      <c r="I88" s="601" t="s">
        <v>504</v>
      </c>
      <c r="J88" s="575"/>
      <c r="K88" s="575"/>
      <c r="L88" s="575"/>
      <c r="M88" s="575"/>
      <c r="N88" s="575"/>
      <c r="O88" s="575"/>
    </row>
  </sheetData>
  <autoFilter ref="A1:R1" xr:uid="{819F6FA5-532E-41D1-AB3B-DE602BD6525D}"/>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1CA0E-B92A-4909-957B-D1A674D491C7}">
  <sheetPr>
    <tabColor rgb="FFFFFF00"/>
  </sheetPr>
  <dimension ref="A1:O86"/>
  <sheetViews>
    <sheetView workbookViewId="0">
      <pane ySplit="1" topLeftCell="A2" activePane="bottomLeft" state="frozen"/>
      <selection activeCell="G50" sqref="G50"/>
      <selection pane="bottomLeft" activeCell="G50" sqref="G50"/>
    </sheetView>
  </sheetViews>
  <sheetFormatPr defaultColWidth="9.1796875" defaultRowHeight="10.5" x14ac:dyDescent="0.25"/>
  <cols>
    <col min="1" max="1" width="14.26953125" style="570" bestFit="1" customWidth="1"/>
    <col min="2" max="2" width="10.7265625" style="573" bestFit="1" customWidth="1"/>
    <col min="3" max="3" width="4.7265625" style="570" customWidth="1"/>
    <col min="4" max="4" width="5.7265625" style="570" customWidth="1"/>
    <col min="5" max="5" width="5" style="570" customWidth="1"/>
    <col min="6" max="6" width="6.4531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x14ac:dyDescent="0.25">
      <c r="A25" s="186" t="s">
        <v>318</v>
      </c>
      <c r="B25" s="400"/>
      <c r="C25" s="186"/>
      <c r="D25" s="186" t="s">
        <v>319</v>
      </c>
      <c r="E25" s="186" t="s">
        <v>319</v>
      </c>
      <c r="F25" s="186" t="s">
        <v>319</v>
      </c>
      <c r="G25" s="186" t="s">
        <v>321</v>
      </c>
      <c r="H25" s="186" t="s">
        <v>322</v>
      </c>
      <c r="I25" s="186" t="s">
        <v>237</v>
      </c>
      <c r="J25" s="186" t="s">
        <v>323</v>
      </c>
      <c r="K25" s="186" t="s">
        <v>322</v>
      </c>
      <c r="L25" s="186" t="s">
        <v>523</v>
      </c>
      <c r="M25" s="574" t="s">
        <v>324</v>
      </c>
      <c r="N25" s="574" t="s">
        <v>325</v>
      </c>
      <c r="O25" s="574" t="s">
        <v>326</v>
      </c>
    </row>
    <row r="26" spans="1:15" x14ac:dyDescent="0.25">
      <c r="A26" s="601" t="s">
        <v>327</v>
      </c>
      <c r="B26" s="602">
        <v>0.64500000000000002</v>
      </c>
      <c r="C26" s="601"/>
      <c r="D26" s="601" t="s">
        <v>319</v>
      </c>
      <c r="E26" s="601" t="s">
        <v>319</v>
      </c>
      <c r="F26" s="601" t="s">
        <v>319</v>
      </c>
      <c r="G26" s="601" t="s">
        <v>327</v>
      </c>
      <c r="H26" s="601" t="s">
        <v>322</v>
      </c>
      <c r="I26" s="603">
        <v>65000</v>
      </c>
      <c r="J26" s="577"/>
      <c r="K26" s="577"/>
      <c r="L26" s="577"/>
      <c r="M26" s="577"/>
      <c r="N26" s="577"/>
      <c r="O26" s="577"/>
    </row>
    <row r="27" spans="1:15" x14ac:dyDescent="0.25">
      <c r="A27" s="601" t="s">
        <v>327</v>
      </c>
      <c r="B27" s="602">
        <v>0.7</v>
      </c>
      <c r="C27" s="601"/>
      <c r="D27" s="601" t="s">
        <v>319</v>
      </c>
      <c r="E27" s="601" t="s">
        <v>319</v>
      </c>
      <c r="F27" s="601" t="s">
        <v>319</v>
      </c>
      <c r="G27" s="601" t="s">
        <v>327</v>
      </c>
      <c r="H27" s="601" t="s">
        <v>322</v>
      </c>
      <c r="I27" s="603">
        <v>75000</v>
      </c>
      <c r="J27" s="577"/>
      <c r="K27" s="577"/>
      <c r="L27" s="577"/>
      <c r="M27" s="577"/>
      <c r="N27" s="577"/>
      <c r="O27" s="577"/>
    </row>
    <row r="28" spans="1:15" x14ac:dyDescent="0.25">
      <c r="A28" s="601" t="s">
        <v>327</v>
      </c>
      <c r="B28" s="602">
        <v>0.97370000000000001</v>
      </c>
      <c r="C28" s="601"/>
      <c r="D28" s="601" t="s">
        <v>319</v>
      </c>
      <c r="E28" s="601" t="s">
        <v>319</v>
      </c>
      <c r="F28" s="601" t="s">
        <v>319</v>
      </c>
      <c r="G28" s="601" t="s">
        <v>327</v>
      </c>
      <c r="H28" s="601" t="s">
        <v>322</v>
      </c>
      <c r="I28" s="603">
        <v>100000</v>
      </c>
      <c r="J28" s="577"/>
      <c r="K28" s="577"/>
      <c r="L28" s="577"/>
      <c r="M28" s="577"/>
      <c r="N28" s="577"/>
      <c r="O28" s="577"/>
    </row>
    <row r="29" spans="1:15" x14ac:dyDescent="0.25">
      <c r="A29" s="601" t="s">
        <v>327</v>
      </c>
      <c r="B29" s="602">
        <v>1.5</v>
      </c>
      <c r="C29" s="601"/>
      <c r="D29" s="601" t="s">
        <v>319</v>
      </c>
      <c r="E29" s="601" t="s">
        <v>319</v>
      </c>
      <c r="F29" s="601" t="s">
        <v>319</v>
      </c>
      <c r="G29" s="601" t="s">
        <v>327</v>
      </c>
      <c r="H29" s="601" t="s">
        <v>322</v>
      </c>
      <c r="I29" s="603">
        <v>300000</v>
      </c>
      <c r="J29" s="577"/>
      <c r="K29" s="577"/>
      <c r="L29" s="577"/>
      <c r="M29" s="577"/>
      <c r="N29" s="577"/>
      <c r="O29" s="577"/>
    </row>
    <row r="30" spans="1:15" x14ac:dyDescent="0.25">
      <c r="A30" s="601" t="s">
        <v>327</v>
      </c>
      <c r="B30" s="602">
        <v>3.5261999999999998</v>
      </c>
      <c r="C30" s="601"/>
      <c r="D30" s="601" t="s">
        <v>319</v>
      </c>
      <c r="E30" s="601" t="s">
        <v>319</v>
      </c>
      <c r="F30" s="601" t="s">
        <v>319</v>
      </c>
      <c r="G30" s="601" t="s">
        <v>327</v>
      </c>
      <c r="H30" s="601" t="s">
        <v>322</v>
      </c>
      <c r="I30" s="603">
        <v>500000</v>
      </c>
      <c r="J30" s="577"/>
      <c r="K30" s="577"/>
      <c r="L30" s="577"/>
      <c r="M30" s="577"/>
      <c r="N30" s="577"/>
      <c r="O30" s="577"/>
    </row>
    <row r="31" spans="1:15" x14ac:dyDescent="0.25">
      <c r="A31" s="601" t="s">
        <v>327</v>
      </c>
      <c r="B31" s="602">
        <v>4.9366000000000003</v>
      </c>
      <c r="C31" s="601"/>
      <c r="D31" s="601" t="s">
        <v>319</v>
      </c>
      <c r="E31" s="601" t="s">
        <v>319</v>
      </c>
      <c r="F31" s="601" t="s">
        <v>319</v>
      </c>
      <c r="G31" s="601" t="s">
        <v>327</v>
      </c>
      <c r="H31" s="601" t="s">
        <v>322</v>
      </c>
      <c r="I31" s="603">
        <v>1000000</v>
      </c>
      <c r="J31" s="577"/>
      <c r="K31" s="577"/>
      <c r="L31" s="577"/>
      <c r="M31" s="577"/>
      <c r="N31" s="577"/>
      <c r="O31" s="577"/>
    </row>
    <row r="32" spans="1:15" x14ac:dyDescent="0.25">
      <c r="A32" s="601" t="s">
        <v>448</v>
      </c>
      <c r="B32" s="636">
        <v>3.4910000000000001</v>
      </c>
      <c r="C32" s="601"/>
      <c r="D32" s="601" t="s">
        <v>319</v>
      </c>
      <c r="E32" s="601" t="s">
        <v>319</v>
      </c>
      <c r="F32" s="601" t="s">
        <v>319</v>
      </c>
      <c r="G32" s="601" t="s">
        <v>449</v>
      </c>
      <c r="H32" s="601" t="s">
        <v>325</v>
      </c>
      <c r="I32" s="601" t="s">
        <v>450</v>
      </c>
      <c r="J32" s="575"/>
      <c r="K32" s="575"/>
      <c r="L32" s="575"/>
      <c r="M32" s="575"/>
      <c r="N32" s="575"/>
      <c r="O32" s="575"/>
    </row>
    <row r="33" spans="1:15" x14ac:dyDescent="0.25">
      <c r="A33" s="601" t="s">
        <v>448</v>
      </c>
      <c r="B33" s="636">
        <v>3.222</v>
      </c>
      <c r="C33" s="601"/>
      <c r="D33" s="601" t="s">
        <v>319</v>
      </c>
      <c r="E33" s="601" t="s">
        <v>319</v>
      </c>
      <c r="F33" s="601" t="s">
        <v>319</v>
      </c>
      <c r="G33" s="601" t="s">
        <v>449</v>
      </c>
      <c r="H33" s="601" t="s">
        <v>325</v>
      </c>
      <c r="I33" s="601" t="s">
        <v>451</v>
      </c>
      <c r="J33" s="575"/>
      <c r="K33" s="575"/>
      <c r="L33" s="575"/>
      <c r="M33" s="575"/>
      <c r="N33" s="575"/>
      <c r="O33" s="575"/>
    </row>
    <row r="34" spans="1:15" x14ac:dyDescent="0.25">
      <c r="A34" s="601" t="s">
        <v>448</v>
      </c>
      <c r="B34" s="636">
        <v>3.004</v>
      </c>
      <c r="C34" s="601"/>
      <c r="D34" s="601" t="s">
        <v>319</v>
      </c>
      <c r="E34" s="601" t="s">
        <v>319</v>
      </c>
      <c r="F34" s="601" t="s">
        <v>319</v>
      </c>
      <c r="G34" s="601" t="s">
        <v>449</v>
      </c>
      <c r="H34" s="601" t="s">
        <v>325</v>
      </c>
      <c r="I34" s="601" t="s">
        <v>452</v>
      </c>
      <c r="J34" s="575"/>
      <c r="K34" s="575"/>
      <c r="L34" s="575"/>
      <c r="M34" s="575"/>
      <c r="N34" s="575"/>
      <c r="O34" s="575"/>
    </row>
    <row r="35" spans="1:15" x14ac:dyDescent="0.25">
      <c r="A35" s="601" t="s">
        <v>448</v>
      </c>
      <c r="B35" s="636">
        <v>2.8460000000000001</v>
      </c>
      <c r="C35" s="601"/>
      <c r="D35" s="601" t="s">
        <v>319</v>
      </c>
      <c r="E35" s="601" t="s">
        <v>319</v>
      </c>
      <c r="F35" s="601" t="s">
        <v>319</v>
      </c>
      <c r="G35" s="601" t="s">
        <v>449</v>
      </c>
      <c r="H35" s="601" t="s">
        <v>325</v>
      </c>
      <c r="I35" s="601" t="s">
        <v>453</v>
      </c>
      <c r="J35" s="575"/>
      <c r="K35" s="575"/>
      <c r="L35" s="575"/>
      <c r="M35" s="575"/>
      <c r="N35" s="575"/>
      <c r="O35" s="575"/>
    </row>
    <row r="36" spans="1:15" x14ac:dyDescent="0.25">
      <c r="A36" s="601" t="s">
        <v>448</v>
      </c>
      <c r="B36" s="636">
        <v>2.7010000000000001</v>
      </c>
      <c r="C36" s="601"/>
      <c r="D36" s="601" t="s">
        <v>319</v>
      </c>
      <c r="E36" s="601" t="s">
        <v>319</v>
      </c>
      <c r="F36" s="601" t="s">
        <v>319</v>
      </c>
      <c r="G36" s="601" t="s">
        <v>449</v>
      </c>
      <c r="H36" s="601" t="s">
        <v>325</v>
      </c>
      <c r="I36" s="601" t="s">
        <v>454</v>
      </c>
      <c r="J36" s="575"/>
      <c r="K36" s="575"/>
      <c r="L36" s="575"/>
      <c r="M36" s="575"/>
      <c r="N36" s="575"/>
      <c r="O36" s="575"/>
    </row>
    <row r="37" spans="1:15" x14ac:dyDescent="0.25">
      <c r="A37" s="601" t="s">
        <v>448</v>
      </c>
      <c r="B37" s="636">
        <v>2.5670000000000002</v>
      </c>
      <c r="C37" s="601"/>
      <c r="D37" s="601" t="s">
        <v>319</v>
      </c>
      <c r="E37" s="601" t="s">
        <v>319</v>
      </c>
      <c r="F37" s="601" t="s">
        <v>319</v>
      </c>
      <c r="G37" s="601" t="s">
        <v>449</v>
      </c>
      <c r="H37" s="601" t="s">
        <v>325</v>
      </c>
      <c r="I37" s="601" t="s">
        <v>455</v>
      </c>
      <c r="J37" s="575"/>
      <c r="K37" s="575"/>
      <c r="L37" s="575"/>
      <c r="M37" s="575"/>
      <c r="N37" s="575"/>
      <c r="O37" s="575"/>
    </row>
    <row r="38" spans="1:15" x14ac:dyDescent="0.25">
      <c r="A38" s="601" t="s">
        <v>448</v>
      </c>
      <c r="B38" s="636">
        <v>2.4470000000000001</v>
      </c>
      <c r="C38" s="601"/>
      <c r="D38" s="601" t="s">
        <v>319</v>
      </c>
      <c r="E38" s="601" t="s">
        <v>319</v>
      </c>
      <c r="F38" s="601" t="s">
        <v>319</v>
      </c>
      <c r="G38" s="601" t="s">
        <v>449</v>
      </c>
      <c r="H38" s="601" t="s">
        <v>325</v>
      </c>
      <c r="I38" s="601" t="s">
        <v>456</v>
      </c>
      <c r="J38" s="575"/>
      <c r="K38" s="575"/>
      <c r="L38" s="575"/>
      <c r="M38" s="575"/>
      <c r="N38" s="575"/>
      <c r="O38" s="575"/>
    </row>
    <row r="39" spans="1:15" x14ac:dyDescent="0.25">
      <c r="A39" s="601" t="s">
        <v>448</v>
      </c>
      <c r="B39" s="636">
        <v>2.3420000000000001</v>
      </c>
      <c r="C39" s="601"/>
      <c r="D39" s="601" t="s">
        <v>319</v>
      </c>
      <c r="E39" s="601" t="s">
        <v>319</v>
      </c>
      <c r="F39" s="601" t="s">
        <v>319</v>
      </c>
      <c r="G39" s="601" t="s">
        <v>449</v>
      </c>
      <c r="H39" s="601" t="s">
        <v>325</v>
      </c>
      <c r="I39" s="601" t="s">
        <v>457</v>
      </c>
      <c r="J39" s="575"/>
      <c r="K39" s="575"/>
      <c r="L39" s="575"/>
      <c r="M39" s="575"/>
      <c r="N39" s="575"/>
      <c r="O39" s="575"/>
    </row>
    <row r="40" spans="1:15" x14ac:dyDescent="0.25">
      <c r="A40" s="601" t="s">
        <v>448</v>
      </c>
      <c r="B40" s="636">
        <v>2.25</v>
      </c>
      <c r="C40" s="601"/>
      <c r="D40" s="601" t="s">
        <v>319</v>
      </c>
      <c r="E40" s="601" t="s">
        <v>319</v>
      </c>
      <c r="F40" s="601" t="s">
        <v>319</v>
      </c>
      <c r="G40" s="601" t="s">
        <v>449</v>
      </c>
      <c r="H40" s="601" t="s">
        <v>325</v>
      </c>
      <c r="I40" s="601" t="s">
        <v>458</v>
      </c>
      <c r="J40" s="575"/>
      <c r="K40" s="575"/>
      <c r="L40" s="575"/>
      <c r="M40" s="575"/>
      <c r="N40" s="575"/>
      <c r="O40" s="575"/>
    </row>
    <row r="41" spans="1:15" x14ac:dyDescent="0.25">
      <c r="A41" s="601" t="s">
        <v>448</v>
      </c>
      <c r="B41" s="636">
        <v>2.105</v>
      </c>
      <c r="C41" s="601"/>
      <c r="D41" s="601" t="s">
        <v>319</v>
      </c>
      <c r="E41" s="601" t="s">
        <v>319</v>
      </c>
      <c r="F41" s="601" t="s">
        <v>319</v>
      </c>
      <c r="G41" s="601" t="s">
        <v>449</v>
      </c>
      <c r="H41" s="601" t="s">
        <v>325</v>
      </c>
      <c r="I41" s="601" t="s">
        <v>459</v>
      </c>
      <c r="J41" s="575"/>
      <c r="K41" s="575"/>
      <c r="L41" s="575"/>
      <c r="M41" s="575"/>
      <c r="N41" s="575"/>
      <c r="O41" s="575"/>
    </row>
    <row r="42" spans="1:15" x14ac:dyDescent="0.25">
      <c r="A42" s="601" t="s">
        <v>448</v>
      </c>
      <c r="B42" s="636">
        <v>1.889</v>
      </c>
      <c r="C42" s="601"/>
      <c r="D42" s="601" t="s">
        <v>319</v>
      </c>
      <c r="E42" s="601" t="s">
        <v>319</v>
      </c>
      <c r="F42" s="601" t="s">
        <v>319</v>
      </c>
      <c r="G42" s="601" t="s">
        <v>449</v>
      </c>
      <c r="H42" s="601" t="s">
        <v>325</v>
      </c>
      <c r="I42" s="601" t="s">
        <v>460</v>
      </c>
      <c r="J42" s="575"/>
      <c r="K42" s="575"/>
      <c r="L42" s="575"/>
      <c r="M42" s="575"/>
      <c r="N42" s="575"/>
      <c r="O42" s="575"/>
    </row>
    <row r="43" spans="1:15" x14ac:dyDescent="0.25">
      <c r="A43" s="601" t="s">
        <v>448</v>
      </c>
      <c r="B43" s="636">
        <v>1.6020000000000001</v>
      </c>
      <c r="C43" s="601"/>
      <c r="D43" s="601" t="s">
        <v>319</v>
      </c>
      <c r="E43" s="601" t="s">
        <v>319</v>
      </c>
      <c r="F43" s="601" t="s">
        <v>319</v>
      </c>
      <c r="G43" s="601" t="s">
        <v>449</v>
      </c>
      <c r="H43" s="601" t="s">
        <v>325</v>
      </c>
      <c r="I43" s="601" t="s">
        <v>461</v>
      </c>
      <c r="J43" s="575"/>
      <c r="K43" s="575"/>
      <c r="L43" s="575"/>
      <c r="M43" s="575"/>
      <c r="N43" s="575"/>
      <c r="O43" s="575"/>
    </row>
    <row r="44" spans="1:15" x14ac:dyDescent="0.25">
      <c r="A44" s="601" t="s">
        <v>448</v>
      </c>
      <c r="B44" s="636">
        <v>1.25</v>
      </c>
      <c r="C44" s="601"/>
      <c r="D44" s="601" t="s">
        <v>319</v>
      </c>
      <c r="E44" s="601" t="s">
        <v>319</v>
      </c>
      <c r="F44" s="601" t="s">
        <v>319</v>
      </c>
      <c r="G44" s="601" t="s">
        <v>449</v>
      </c>
      <c r="H44" s="601" t="s">
        <v>325</v>
      </c>
      <c r="I44" s="601" t="s">
        <v>462</v>
      </c>
      <c r="J44" s="575"/>
      <c r="K44" s="575"/>
      <c r="L44" s="575"/>
      <c r="M44" s="575"/>
      <c r="N44" s="575"/>
      <c r="O44" s="575"/>
    </row>
    <row r="45" spans="1:15" x14ac:dyDescent="0.25">
      <c r="A45" s="601" t="s">
        <v>448</v>
      </c>
      <c r="B45" s="636">
        <v>1.25</v>
      </c>
      <c r="C45" s="601"/>
      <c r="D45" s="601" t="s">
        <v>319</v>
      </c>
      <c r="E45" s="601" t="s">
        <v>319</v>
      </c>
      <c r="F45" s="601" t="s">
        <v>319</v>
      </c>
      <c r="G45" s="601" t="s">
        <v>449</v>
      </c>
      <c r="H45" s="601" t="s">
        <v>325</v>
      </c>
      <c r="I45" s="601" t="s">
        <v>463</v>
      </c>
      <c r="J45" s="575"/>
      <c r="K45" s="575"/>
      <c r="L45" s="575"/>
      <c r="M45" s="575"/>
      <c r="N45" s="575"/>
      <c r="O45" s="575"/>
    </row>
    <row r="46" spans="1:15" x14ac:dyDescent="0.25">
      <c r="A46" s="601" t="s">
        <v>448</v>
      </c>
      <c r="B46" s="636">
        <v>1.25</v>
      </c>
      <c r="C46" s="601"/>
      <c r="D46" s="601" t="s">
        <v>319</v>
      </c>
      <c r="E46" s="601" t="s">
        <v>319</v>
      </c>
      <c r="F46" s="601" t="s">
        <v>319</v>
      </c>
      <c r="G46" s="601" t="s">
        <v>449</v>
      </c>
      <c r="H46" s="601" t="s">
        <v>325</v>
      </c>
      <c r="I46" s="601" t="s">
        <v>464</v>
      </c>
      <c r="J46" s="575"/>
      <c r="K46" s="575"/>
      <c r="L46" s="575"/>
      <c r="M46" s="575"/>
      <c r="N46" s="575"/>
      <c r="O46" s="575"/>
    </row>
    <row r="47" spans="1:15" x14ac:dyDescent="0.25">
      <c r="A47" s="601" t="s">
        <v>448</v>
      </c>
      <c r="B47" s="636">
        <v>1.25</v>
      </c>
      <c r="C47" s="601"/>
      <c r="D47" s="601" t="s">
        <v>319</v>
      </c>
      <c r="E47" s="601" t="s">
        <v>319</v>
      </c>
      <c r="F47" s="601" t="s">
        <v>319</v>
      </c>
      <c r="G47" s="601" t="s">
        <v>449</v>
      </c>
      <c r="H47" s="601" t="s">
        <v>325</v>
      </c>
      <c r="I47" s="601" t="s">
        <v>465</v>
      </c>
      <c r="J47" s="575"/>
      <c r="K47" s="575"/>
      <c r="L47" s="575"/>
      <c r="M47" s="575"/>
      <c r="N47" s="575"/>
      <c r="O47" s="575"/>
    </row>
    <row r="48" spans="1:15" x14ac:dyDescent="0.25">
      <c r="A48" s="601" t="s">
        <v>448</v>
      </c>
      <c r="B48" s="636">
        <v>1.25</v>
      </c>
      <c r="C48" s="601"/>
      <c r="D48" s="601" t="s">
        <v>319</v>
      </c>
      <c r="E48" s="601" t="s">
        <v>319</v>
      </c>
      <c r="F48" s="601" t="s">
        <v>319</v>
      </c>
      <c r="G48" s="601" t="s">
        <v>449</v>
      </c>
      <c r="H48" s="601" t="s">
        <v>325</v>
      </c>
      <c r="I48" s="601" t="s">
        <v>466</v>
      </c>
      <c r="J48" s="575"/>
      <c r="K48" s="575"/>
      <c r="L48" s="575"/>
      <c r="M48" s="575"/>
      <c r="N48" s="575"/>
      <c r="O48" s="575"/>
    </row>
    <row r="49" spans="1:15" x14ac:dyDescent="0.25">
      <c r="A49" s="601" t="s">
        <v>448</v>
      </c>
      <c r="B49" s="636">
        <v>1.1499999999999999</v>
      </c>
      <c r="C49" s="601"/>
      <c r="D49" s="601" t="s">
        <v>319</v>
      </c>
      <c r="E49" s="601" t="s">
        <v>319</v>
      </c>
      <c r="F49" s="601" t="s">
        <v>319</v>
      </c>
      <c r="G49" s="601" t="s">
        <v>449</v>
      </c>
      <c r="H49" s="601" t="s">
        <v>325</v>
      </c>
      <c r="I49" s="601" t="s">
        <v>467</v>
      </c>
      <c r="J49" s="575"/>
      <c r="K49" s="575"/>
      <c r="L49" s="575"/>
      <c r="M49" s="575"/>
      <c r="N49" s="575"/>
      <c r="O49" s="575"/>
    </row>
    <row r="50" spans="1:15" x14ac:dyDescent="0.25">
      <c r="A50" s="601" t="s">
        <v>448</v>
      </c>
      <c r="B50" s="636">
        <v>1.1499999999999999</v>
      </c>
      <c r="C50" s="601"/>
      <c r="D50" s="601" t="s">
        <v>319</v>
      </c>
      <c r="E50" s="601" t="s">
        <v>319</v>
      </c>
      <c r="F50" s="601" t="s">
        <v>319</v>
      </c>
      <c r="G50" s="601" t="s">
        <v>449</v>
      </c>
      <c r="H50" s="601" t="s">
        <v>325</v>
      </c>
      <c r="I50" s="601" t="s">
        <v>468</v>
      </c>
      <c r="J50" s="575"/>
      <c r="K50" s="575"/>
      <c r="L50" s="575"/>
      <c r="M50" s="575"/>
      <c r="N50" s="575"/>
      <c r="O50" s="575"/>
    </row>
    <row r="51" spans="1:15" x14ac:dyDescent="0.25">
      <c r="A51" s="601" t="s">
        <v>448</v>
      </c>
      <c r="B51" s="636">
        <v>1.1499999999999999</v>
      </c>
      <c r="C51" s="601"/>
      <c r="D51" s="601" t="s">
        <v>319</v>
      </c>
      <c r="E51" s="601" t="s">
        <v>319</v>
      </c>
      <c r="F51" s="601" t="s">
        <v>319</v>
      </c>
      <c r="G51" s="601" t="s">
        <v>449</v>
      </c>
      <c r="H51" s="601" t="s">
        <v>325</v>
      </c>
      <c r="I51" s="601" t="s">
        <v>469</v>
      </c>
      <c r="J51" s="575"/>
      <c r="K51" s="575"/>
      <c r="L51" s="575"/>
      <c r="M51" s="575"/>
      <c r="N51" s="575"/>
      <c r="O51" s="575"/>
    </row>
    <row r="52" spans="1:15" x14ac:dyDescent="0.25">
      <c r="A52" s="601" t="s">
        <v>448</v>
      </c>
      <c r="B52" s="636">
        <v>1.1499999999999999</v>
      </c>
      <c r="C52" s="601"/>
      <c r="D52" s="601" t="s">
        <v>319</v>
      </c>
      <c r="E52" s="601" t="s">
        <v>319</v>
      </c>
      <c r="F52" s="601" t="s">
        <v>319</v>
      </c>
      <c r="G52" s="601" t="s">
        <v>449</v>
      </c>
      <c r="H52" s="601" t="s">
        <v>325</v>
      </c>
      <c r="I52" s="601" t="s">
        <v>470</v>
      </c>
      <c r="J52" s="575"/>
      <c r="K52" s="575"/>
      <c r="L52" s="575"/>
      <c r="M52" s="575"/>
      <c r="N52" s="575"/>
      <c r="O52" s="575"/>
    </row>
    <row r="53" spans="1:15" x14ac:dyDescent="0.25">
      <c r="A53" s="601" t="s">
        <v>448</v>
      </c>
      <c r="B53" s="636">
        <v>1.1499999999999999</v>
      </c>
      <c r="C53" s="601"/>
      <c r="D53" s="601" t="s">
        <v>319</v>
      </c>
      <c r="E53" s="601" t="s">
        <v>319</v>
      </c>
      <c r="F53" s="601" t="s">
        <v>319</v>
      </c>
      <c r="G53" s="601" t="s">
        <v>449</v>
      </c>
      <c r="H53" s="601" t="s">
        <v>325</v>
      </c>
      <c r="I53" s="601" t="s">
        <v>471</v>
      </c>
      <c r="J53" s="575"/>
      <c r="K53" s="575"/>
      <c r="L53" s="575"/>
      <c r="M53" s="575"/>
      <c r="N53" s="575"/>
      <c r="O53" s="575"/>
    </row>
    <row r="54" spans="1:15" x14ac:dyDescent="0.25">
      <c r="A54" s="601" t="s">
        <v>448</v>
      </c>
      <c r="B54" s="636">
        <v>1.05</v>
      </c>
      <c r="C54" s="601"/>
      <c r="D54" s="601" t="s">
        <v>319</v>
      </c>
      <c r="E54" s="601" t="s">
        <v>319</v>
      </c>
      <c r="F54" s="601" t="s">
        <v>319</v>
      </c>
      <c r="G54" s="601" t="s">
        <v>449</v>
      </c>
      <c r="H54" s="601" t="s">
        <v>325</v>
      </c>
      <c r="I54" s="601" t="s">
        <v>472</v>
      </c>
      <c r="J54" s="575"/>
      <c r="K54" s="575"/>
      <c r="L54" s="575"/>
      <c r="M54" s="575"/>
      <c r="N54" s="575"/>
      <c r="O54" s="575"/>
    </row>
    <row r="55" spans="1:15" x14ac:dyDescent="0.25">
      <c r="A55" s="601" t="s">
        <v>448</v>
      </c>
      <c r="B55" s="636">
        <v>1.05</v>
      </c>
      <c r="C55" s="601"/>
      <c r="D55" s="601" t="s">
        <v>319</v>
      </c>
      <c r="E55" s="601" t="s">
        <v>319</v>
      </c>
      <c r="F55" s="601" t="s">
        <v>319</v>
      </c>
      <c r="G55" s="601" t="s">
        <v>449</v>
      </c>
      <c r="H55" s="601" t="s">
        <v>325</v>
      </c>
      <c r="I55" s="601" t="s">
        <v>473</v>
      </c>
      <c r="J55" s="575"/>
      <c r="K55" s="575"/>
      <c r="L55" s="575"/>
      <c r="M55" s="575"/>
      <c r="N55" s="575"/>
      <c r="O55" s="575"/>
    </row>
    <row r="56" spans="1:15" x14ac:dyDescent="0.25">
      <c r="A56" s="601" t="s">
        <v>448</v>
      </c>
      <c r="B56" s="636">
        <v>1.05</v>
      </c>
      <c r="C56" s="601"/>
      <c r="D56" s="601" t="s">
        <v>319</v>
      </c>
      <c r="E56" s="601" t="s">
        <v>319</v>
      </c>
      <c r="F56" s="601" t="s">
        <v>319</v>
      </c>
      <c r="G56" s="601" t="s">
        <v>449</v>
      </c>
      <c r="H56" s="601" t="s">
        <v>325</v>
      </c>
      <c r="I56" s="601" t="s">
        <v>474</v>
      </c>
      <c r="J56" s="575"/>
      <c r="K56" s="575"/>
      <c r="L56" s="575"/>
      <c r="M56" s="575"/>
      <c r="N56" s="575"/>
      <c r="O56" s="575"/>
    </row>
    <row r="57" spans="1:15" x14ac:dyDescent="0.25">
      <c r="A57" s="601" t="s">
        <v>448</v>
      </c>
      <c r="B57" s="636">
        <v>1.05</v>
      </c>
      <c r="C57" s="601"/>
      <c r="D57" s="601" t="s">
        <v>319</v>
      </c>
      <c r="E57" s="601" t="s">
        <v>319</v>
      </c>
      <c r="F57" s="601" t="s">
        <v>319</v>
      </c>
      <c r="G57" s="601" t="s">
        <v>449</v>
      </c>
      <c r="H57" s="601" t="s">
        <v>325</v>
      </c>
      <c r="I57" s="601" t="s">
        <v>475</v>
      </c>
      <c r="J57" s="575"/>
      <c r="K57" s="575"/>
      <c r="L57" s="575"/>
      <c r="M57" s="575"/>
      <c r="N57" s="575"/>
      <c r="O57" s="575"/>
    </row>
    <row r="58" spans="1:15" x14ac:dyDescent="0.25">
      <c r="A58" s="601" t="s">
        <v>448</v>
      </c>
      <c r="B58" s="636">
        <v>1.05</v>
      </c>
      <c r="C58" s="601"/>
      <c r="D58" s="601" t="s">
        <v>319</v>
      </c>
      <c r="E58" s="601" t="s">
        <v>319</v>
      </c>
      <c r="F58" s="601" t="s">
        <v>319</v>
      </c>
      <c r="G58" s="601" t="s">
        <v>449</v>
      </c>
      <c r="H58" s="601" t="s">
        <v>325</v>
      </c>
      <c r="I58" s="601" t="s">
        <v>476</v>
      </c>
      <c r="J58" s="575"/>
      <c r="K58" s="575"/>
      <c r="L58" s="575"/>
      <c r="M58" s="575"/>
      <c r="N58" s="575"/>
      <c r="O58" s="575"/>
    </row>
    <row r="59" spans="1:15" x14ac:dyDescent="0.25">
      <c r="A59" s="601" t="s">
        <v>448</v>
      </c>
      <c r="B59" s="636">
        <v>1.0249999999999999</v>
      </c>
      <c r="C59" s="601"/>
      <c r="D59" s="601" t="s">
        <v>319</v>
      </c>
      <c r="E59" s="601" t="s">
        <v>319</v>
      </c>
      <c r="F59" s="601" t="s">
        <v>319</v>
      </c>
      <c r="G59" s="601" t="s">
        <v>449</v>
      </c>
      <c r="H59" s="601" t="s">
        <v>325</v>
      </c>
      <c r="I59" s="601" t="s">
        <v>477</v>
      </c>
      <c r="J59" s="575"/>
      <c r="K59" s="575"/>
      <c r="L59" s="575"/>
      <c r="M59" s="575"/>
      <c r="N59" s="575"/>
      <c r="O59" s="575"/>
    </row>
    <row r="60" spans="1:15" x14ac:dyDescent="0.25">
      <c r="A60" s="601" t="s">
        <v>448</v>
      </c>
      <c r="B60" s="636">
        <v>1.0249999999999999</v>
      </c>
      <c r="C60" s="601"/>
      <c r="D60" s="601" t="s">
        <v>319</v>
      </c>
      <c r="E60" s="601" t="s">
        <v>319</v>
      </c>
      <c r="F60" s="601" t="s">
        <v>319</v>
      </c>
      <c r="G60" s="601" t="s">
        <v>449</v>
      </c>
      <c r="H60" s="601" t="s">
        <v>325</v>
      </c>
      <c r="I60" s="601" t="s">
        <v>478</v>
      </c>
      <c r="J60" s="575"/>
      <c r="K60" s="575"/>
      <c r="L60" s="575"/>
      <c r="M60" s="575"/>
      <c r="N60" s="575"/>
      <c r="O60" s="575"/>
    </row>
    <row r="61" spans="1:15" x14ac:dyDescent="0.25">
      <c r="A61" s="601" t="s">
        <v>448</v>
      </c>
      <c r="B61" s="636">
        <v>1.0249999999999999</v>
      </c>
      <c r="C61" s="601"/>
      <c r="D61" s="601" t="s">
        <v>319</v>
      </c>
      <c r="E61" s="601" t="s">
        <v>319</v>
      </c>
      <c r="F61" s="601" t="s">
        <v>319</v>
      </c>
      <c r="G61" s="601" t="s">
        <v>449</v>
      </c>
      <c r="H61" s="601" t="s">
        <v>325</v>
      </c>
      <c r="I61" s="601" t="s">
        <v>479</v>
      </c>
      <c r="J61" s="575"/>
      <c r="K61" s="575"/>
      <c r="L61" s="575"/>
      <c r="M61" s="575"/>
      <c r="N61" s="575"/>
      <c r="O61" s="575"/>
    </row>
    <row r="62" spans="1:15" x14ac:dyDescent="0.25">
      <c r="A62" s="601" t="s">
        <v>448</v>
      </c>
      <c r="B62" s="636">
        <v>1.0249999999999999</v>
      </c>
      <c r="C62" s="601"/>
      <c r="D62" s="601" t="s">
        <v>319</v>
      </c>
      <c r="E62" s="601" t="s">
        <v>319</v>
      </c>
      <c r="F62" s="601" t="s">
        <v>319</v>
      </c>
      <c r="G62" s="601" t="s">
        <v>449</v>
      </c>
      <c r="H62" s="601" t="s">
        <v>325</v>
      </c>
      <c r="I62" s="601" t="s">
        <v>480</v>
      </c>
      <c r="J62" s="575"/>
      <c r="K62" s="575"/>
      <c r="L62" s="575"/>
      <c r="M62" s="575"/>
      <c r="N62" s="575"/>
      <c r="O62" s="575"/>
    </row>
    <row r="63" spans="1:15" x14ac:dyDescent="0.25">
      <c r="A63" s="601" t="s">
        <v>448</v>
      </c>
      <c r="B63" s="636">
        <v>1.0249999999999999</v>
      </c>
      <c r="C63" s="601"/>
      <c r="D63" s="601" t="s">
        <v>319</v>
      </c>
      <c r="E63" s="601" t="s">
        <v>319</v>
      </c>
      <c r="F63" s="601" t="s">
        <v>319</v>
      </c>
      <c r="G63" s="601" t="s">
        <v>449</v>
      </c>
      <c r="H63" s="601" t="s">
        <v>325</v>
      </c>
      <c r="I63" s="601" t="s">
        <v>481</v>
      </c>
      <c r="J63" s="575"/>
      <c r="K63" s="575"/>
      <c r="L63" s="575"/>
      <c r="M63" s="575"/>
      <c r="N63" s="575"/>
      <c r="O63" s="575"/>
    </row>
    <row r="64" spans="1:15" x14ac:dyDescent="0.25">
      <c r="A64" s="601" t="s">
        <v>448</v>
      </c>
      <c r="B64" s="636">
        <v>1</v>
      </c>
      <c r="C64" s="601"/>
      <c r="D64" s="601" t="s">
        <v>319</v>
      </c>
      <c r="E64" s="601" t="s">
        <v>319</v>
      </c>
      <c r="F64" s="601" t="s">
        <v>319</v>
      </c>
      <c r="G64" s="601" t="s">
        <v>449</v>
      </c>
      <c r="H64" s="601" t="s">
        <v>325</v>
      </c>
      <c r="I64" s="601" t="s">
        <v>482</v>
      </c>
      <c r="J64" s="575"/>
      <c r="K64" s="575"/>
      <c r="L64" s="575"/>
      <c r="M64" s="575"/>
      <c r="N64" s="575"/>
      <c r="O64" s="575"/>
    </row>
    <row r="65" spans="1:15" x14ac:dyDescent="0.25">
      <c r="A65" s="601" t="s">
        <v>448</v>
      </c>
      <c r="B65" s="636">
        <v>1</v>
      </c>
      <c r="C65" s="601"/>
      <c r="D65" s="601" t="s">
        <v>319</v>
      </c>
      <c r="E65" s="601" t="s">
        <v>319</v>
      </c>
      <c r="F65" s="601" t="s">
        <v>319</v>
      </c>
      <c r="G65" s="601" t="s">
        <v>449</v>
      </c>
      <c r="H65" s="601" t="s">
        <v>325</v>
      </c>
      <c r="I65" s="601" t="s">
        <v>483</v>
      </c>
      <c r="J65" s="575"/>
      <c r="K65" s="575"/>
      <c r="L65" s="575"/>
      <c r="M65" s="575"/>
      <c r="N65" s="575"/>
      <c r="O65" s="575"/>
    </row>
    <row r="66" spans="1:15" x14ac:dyDescent="0.25">
      <c r="A66" s="601" t="s">
        <v>448</v>
      </c>
      <c r="B66" s="636">
        <v>1</v>
      </c>
      <c r="C66" s="601"/>
      <c r="D66" s="601" t="s">
        <v>319</v>
      </c>
      <c r="E66" s="601" t="s">
        <v>319</v>
      </c>
      <c r="F66" s="601" t="s">
        <v>319</v>
      </c>
      <c r="G66" s="601" t="s">
        <v>449</v>
      </c>
      <c r="H66" s="601" t="s">
        <v>325</v>
      </c>
      <c r="I66" s="601" t="s">
        <v>484</v>
      </c>
      <c r="J66" s="575"/>
      <c r="K66" s="575"/>
      <c r="L66" s="575"/>
      <c r="M66" s="575"/>
      <c r="N66" s="575"/>
      <c r="O66" s="575"/>
    </row>
    <row r="67" spans="1:15" x14ac:dyDescent="0.25">
      <c r="A67" s="601" t="s">
        <v>448</v>
      </c>
      <c r="B67" s="636">
        <v>1</v>
      </c>
      <c r="C67" s="601"/>
      <c r="D67" s="601" t="s">
        <v>319</v>
      </c>
      <c r="E67" s="601" t="s">
        <v>319</v>
      </c>
      <c r="F67" s="601" t="s">
        <v>319</v>
      </c>
      <c r="G67" s="601" t="s">
        <v>449</v>
      </c>
      <c r="H67" s="601" t="s">
        <v>325</v>
      </c>
      <c r="I67" s="601" t="s">
        <v>485</v>
      </c>
      <c r="J67" s="575"/>
      <c r="K67" s="575"/>
      <c r="L67" s="575"/>
      <c r="M67" s="575"/>
      <c r="N67" s="575"/>
      <c r="O67" s="575"/>
    </row>
    <row r="68" spans="1:15" x14ac:dyDescent="0.25">
      <c r="A68" s="601" t="s">
        <v>448</v>
      </c>
      <c r="B68" s="636">
        <v>1</v>
      </c>
      <c r="C68" s="601"/>
      <c r="D68" s="601" t="s">
        <v>319</v>
      </c>
      <c r="E68" s="601" t="s">
        <v>319</v>
      </c>
      <c r="F68" s="601" t="s">
        <v>319</v>
      </c>
      <c r="G68" s="601" t="s">
        <v>449</v>
      </c>
      <c r="H68" s="601" t="s">
        <v>325</v>
      </c>
      <c r="I68" s="601" t="s">
        <v>486</v>
      </c>
      <c r="J68" s="575"/>
      <c r="K68" s="575"/>
      <c r="L68" s="575"/>
      <c r="M68" s="575"/>
      <c r="N68" s="575"/>
      <c r="O68" s="575"/>
    </row>
    <row r="69" spans="1:15" x14ac:dyDescent="0.25">
      <c r="A69" s="601" t="s">
        <v>448</v>
      </c>
      <c r="B69" s="636">
        <v>1</v>
      </c>
      <c r="C69" s="601"/>
      <c r="D69" s="601" t="s">
        <v>319</v>
      </c>
      <c r="E69" s="601" t="s">
        <v>319</v>
      </c>
      <c r="F69" s="601" t="s">
        <v>319</v>
      </c>
      <c r="G69" s="601" t="s">
        <v>449</v>
      </c>
      <c r="H69" s="601" t="s">
        <v>325</v>
      </c>
      <c r="I69" s="601" t="s">
        <v>487</v>
      </c>
      <c r="J69" s="575"/>
      <c r="K69" s="575"/>
      <c r="L69" s="575"/>
      <c r="M69" s="575"/>
      <c r="N69" s="575"/>
      <c r="O69" s="575"/>
    </row>
    <row r="70" spans="1:15" x14ac:dyDescent="0.25">
      <c r="A70" s="601" t="s">
        <v>448</v>
      </c>
      <c r="B70" s="636">
        <v>1</v>
      </c>
      <c r="C70" s="601"/>
      <c r="D70" s="601" t="s">
        <v>319</v>
      </c>
      <c r="E70" s="601" t="s">
        <v>319</v>
      </c>
      <c r="F70" s="601" t="s">
        <v>319</v>
      </c>
      <c r="G70" s="601" t="s">
        <v>449</v>
      </c>
      <c r="H70" s="601" t="s">
        <v>325</v>
      </c>
      <c r="I70" s="601" t="s">
        <v>488</v>
      </c>
      <c r="J70" s="575"/>
      <c r="K70" s="575"/>
      <c r="L70" s="575"/>
      <c r="M70" s="575"/>
      <c r="N70" s="575"/>
      <c r="O70" s="575"/>
    </row>
    <row r="71" spans="1:15" x14ac:dyDescent="0.25">
      <c r="A71" s="601" t="s">
        <v>448</v>
      </c>
      <c r="B71" s="636">
        <v>1</v>
      </c>
      <c r="C71" s="601"/>
      <c r="D71" s="601" t="s">
        <v>319</v>
      </c>
      <c r="E71" s="601" t="s">
        <v>319</v>
      </c>
      <c r="F71" s="601" t="s">
        <v>319</v>
      </c>
      <c r="G71" s="601" t="s">
        <v>449</v>
      </c>
      <c r="H71" s="601" t="s">
        <v>325</v>
      </c>
      <c r="I71" s="601" t="s">
        <v>489</v>
      </c>
      <c r="J71" s="575"/>
      <c r="K71" s="575"/>
      <c r="L71" s="575"/>
      <c r="M71" s="575"/>
      <c r="N71" s="575"/>
      <c r="O71" s="575"/>
    </row>
    <row r="72" spans="1:15" x14ac:dyDescent="0.25">
      <c r="A72" s="601" t="s">
        <v>448</v>
      </c>
      <c r="B72" s="636">
        <v>1</v>
      </c>
      <c r="C72" s="601"/>
      <c r="D72" s="601" t="s">
        <v>319</v>
      </c>
      <c r="E72" s="601" t="s">
        <v>319</v>
      </c>
      <c r="F72" s="601" t="s">
        <v>319</v>
      </c>
      <c r="G72" s="601" t="s">
        <v>449</v>
      </c>
      <c r="H72" s="601" t="s">
        <v>325</v>
      </c>
      <c r="I72" s="601" t="s">
        <v>490</v>
      </c>
      <c r="J72" s="575"/>
      <c r="K72" s="575"/>
      <c r="L72" s="575"/>
      <c r="M72" s="575"/>
      <c r="N72" s="575"/>
      <c r="O72" s="575"/>
    </row>
    <row r="73" spans="1:15" x14ac:dyDescent="0.25">
      <c r="A73" s="601" t="s">
        <v>448</v>
      </c>
      <c r="B73" s="636">
        <v>1</v>
      </c>
      <c r="C73" s="601"/>
      <c r="D73" s="601" t="s">
        <v>319</v>
      </c>
      <c r="E73" s="601" t="s">
        <v>319</v>
      </c>
      <c r="F73" s="601" t="s">
        <v>319</v>
      </c>
      <c r="G73" s="601" t="s">
        <v>449</v>
      </c>
      <c r="H73" s="601" t="s">
        <v>325</v>
      </c>
      <c r="I73" s="601" t="s">
        <v>491</v>
      </c>
      <c r="J73" s="575"/>
      <c r="K73" s="575"/>
      <c r="L73" s="575"/>
      <c r="M73" s="575"/>
      <c r="N73" s="575"/>
      <c r="O73" s="575"/>
    </row>
    <row r="74" spans="1:15" x14ac:dyDescent="0.25">
      <c r="A74" s="601" t="s">
        <v>448</v>
      </c>
      <c r="B74" s="636">
        <v>1</v>
      </c>
      <c r="C74" s="601"/>
      <c r="D74" s="601" t="s">
        <v>319</v>
      </c>
      <c r="E74" s="601" t="s">
        <v>319</v>
      </c>
      <c r="F74" s="601" t="s">
        <v>319</v>
      </c>
      <c r="G74" s="601" t="s">
        <v>449</v>
      </c>
      <c r="H74" s="601" t="s">
        <v>325</v>
      </c>
      <c r="I74" s="601" t="s">
        <v>492</v>
      </c>
      <c r="J74" s="575"/>
      <c r="K74" s="575"/>
      <c r="L74" s="575"/>
      <c r="M74" s="575"/>
      <c r="N74" s="575"/>
      <c r="O74" s="575"/>
    </row>
    <row r="75" spans="1:15" x14ac:dyDescent="0.25">
      <c r="A75" s="601" t="s">
        <v>448</v>
      </c>
      <c r="B75" s="636">
        <v>1</v>
      </c>
      <c r="C75" s="601"/>
      <c r="D75" s="601" t="s">
        <v>319</v>
      </c>
      <c r="E75" s="601" t="s">
        <v>319</v>
      </c>
      <c r="F75" s="601" t="s">
        <v>319</v>
      </c>
      <c r="G75" s="601" t="s">
        <v>449</v>
      </c>
      <c r="H75" s="601" t="s">
        <v>325</v>
      </c>
      <c r="I75" s="601" t="s">
        <v>493</v>
      </c>
      <c r="J75" s="575"/>
      <c r="K75" s="575"/>
      <c r="L75" s="575"/>
      <c r="M75" s="575"/>
      <c r="N75" s="575"/>
      <c r="O75" s="575"/>
    </row>
    <row r="76" spans="1:15" x14ac:dyDescent="0.25">
      <c r="A76" s="601" t="s">
        <v>448</v>
      </c>
      <c r="B76" s="636">
        <v>1</v>
      </c>
      <c r="C76" s="601"/>
      <c r="D76" s="601" t="s">
        <v>319</v>
      </c>
      <c r="E76" s="601" t="s">
        <v>319</v>
      </c>
      <c r="F76" s="601" t="s">
        <v>319</v>
      </c>
      <c r="G76" s="601" t="s">
        <v>449</v>
      </c>
      <c r="H76" s="601" t="s">
        <v>325</v>
      </c>
      <c r="I76" s="601" t="s">
        <v>494</v>
      </c>
      <c r="J76" s="575"/>
      <c r="K76" s="575"/>
      <c r="L76" s="575"/>
      <c r="M76" s="575"/>
      <c r="N76" s="575"/>
      <c r="O76" s="575"/>
    </row>
    <row r="77" spans="1:15" x14ac:dyDescent="0.25">
      <c r="A77" s="601" t="s">
        <v>448</v>
      </c>
      <c r="B77" s="636">
        <v>1</v>
      </c>
      <c r="C77" s="601"/>
      <c r="D77" s="601" t="s">
        <v>319</v>
      </c>
      <c r="E77" s="601" t="s">
        <v>319</v>
      </c>
      <c r="F77" s="601" t="s">
        <v>319</v>
      </c>
      <c r="G77" s="601" t="s">
        <v>449</v>
      </c>
      <c r="H77" s="601" t="s">
        <v>325</v>
      </c>
      <c r="I77" s="601" t="s">
        <v>495</v>
      </c>
      <c r="J77" s="575"/>
      <c r="K77" s="575"/>
      <c r="L77" s="575"/>
      <c r="M77" s="575"/>
      <c r="N77" s="575"/>
      <c r="O77" s="575"/>
    </row>
    <row r="78" spans="1:15" x14ac:dyDescent="0.25">
      <c r="A78" s="601" t="s">
        <v>448</v>
      </c>
      <c r="B78" s="636">
        <v>1</v>
      </c>
      <c r="C78" s="601"/>
      <c r="D78" s="601" t="s">
        <v>319</v>
      </c>
      <c r="E78" s="601" t="s">
        <v>319</v>
      </c>
      <c r="F78" s="601" t="s">
        <v>319</v>
      </c>
      <c r="G78" s="601" t="s">
        <v>449</v>
      </c>
      <c r="H78" s="601" t="s">
        <v>325</v>
      </c>
      <c r="I78" s="601" t="s">
        <v>496</v>
      </c>
      <c r="J78" s="575"/>
      <c r="K78" s="575"/>
      <c r="L78" s="575"/>
      <c r="M78" s="575"/>
      <c r="N78" s="575"/>
      <c r="O78" s="575"/>
    </row>
    <row r="79" spans="1:15" x14ac:dyDescent="0.25">
      <c r="A79" s="601" t="s">
        <v>448</v>
      </c>
      <c r="B79" s="636">
        <v>1</v>
      </c>
      <c r="C79" s="601"/>
      <c r="D79" s="601" t="s">
        <v>319</v>
      </c>
      <c r="E79" s="601" t="s">
        <v>319</v>
      </c>
      <c r="F79" s="601" t="s">
        <v>319</v>
      </c>
      <c r="G79" s="601" t="s">
        <v>449</v>
      </c>
      <c r="H79" s="601" t="s">
        <v>325</v>
      </c>
      <c r="I79" s="601" t="s">
        <v>497</v>
      </c>
      <c r="J79" s="575"/>
      <c r="K79" s="575"/>
      <c r="L79" s="575"/>
      <c r="M79" s="575"/>
      <c r="N79" s="575"/>
      <c r="O79" s="575"/>
    </row>
    <row r="80" spans="1:15" x14ac:dyDescent="0.25">
      <c r="A80" s="601" t="s">
        <v>448</v>
      </c>
      <c r="B80" s="636">
        <v>1</v>
      </c>
      <c r="C80" s="601"/>
      <c r="D80" s="601" t="s">
        <v>319</v>
      </c>
      <c r="E80" s="601" t="s">
        <v>319</v>
      </c>
      <c r="F80" s="601" t="s">
        <v>319</v>
      </c>
      <c r="G80" s="601" t="s">
        <v>449</v>
      </c>
      <c r="H80" s="601" t="s">
        <v>325</v>
      </c>
      <c r="I80" s="601" t="s">
        <v>498</v>
      </c>
      <c r="J80" s="575"/>
      <c r="K80" s="575"/>
      <c r="L80" s="575"/>
      <c r="M80" s="575"/>
      <c r="N80" s="575"/>
      <c r="O80" s="575"/>
    </row>
    <row r="81" spans="1:15" x14ac:dyDescent="0.25">
      <c r="A81" s="601" t="s">
        <v>448</v>
      </c>
      <c r="B81" s="636">
        <v>1</v>
      </c>
      <c r="C81" s="601"/>
      <c r="D81" s="601" t="s">
        <v>319</v>
      </c>
      <c r="E81" s="601" t="s">
        <v>319</v>
      </c>
      <c r="F81" s="601" t="s">
        <v>319</v>
      </c>
      <c r="G81" s="601" t="s">
        <v>449</v>
      </c>
      <c r="H81" s="601" t="s">
        <v>325</v>
      </c>
      <c r="I81" s="601" t="s">
        <v>499</v>
      </c>
      <c r="J81" s="575"/>
      <c r="K81" s="575"/>
      <c r="L81" s="575"/>
      <c r="M81" s="575"/>
      <c r="N81" s="575"/>
      <c r="O81" s="575"/>
    </row>
    <row r="82" spans="1:15" x14ac:dyDescent="0.25">
      <c r="A82" s="601" t="s">
        <v>448</v>
      </c>
      <c r="B82" s="636">
        <v>1</v>
      </c>
      <c r="C82" s="601"/>
      <c r="D82" s="601" t="s">
        <v>319</v>
      </c>
      <c r="E82" s="601" t="s">
        <v>319</v>
      </c>
      <c r="F82" s="601" t="s">
        <v>319</v>
      </c>
      <c r="G82" s="601" t="s">
        <v>449</v>
      </c>
      <c r="H82" s="601" t="s">
        <v>325</v>
      </c>
      <c r="I82" s="601" t="s">
        <v>500</v>
      </c>
      <c r="J82" s="575"/>
      <c r="K82" s="575"/>
      <c r="L82" s="575"/>
      <c r="M82" s="575"/>
      <c r="N82" s="575"/>
      <c r="O82" s="575"/>
    </row>
    <row r="83" spans="1:15" x14ac:dyDescent="0.25">
      <c r="A83" s="601" t="s">
        <v>448</v>
      </c>
      <c r="B83" s="636">
        <v>1</v>
      </c>
      <c r="C83" s="601"/>
      <c r="D83" s="601" t="s">
        <v>319</v>
      </c>
      <c r="E83" s="601" t="s">
        <v>319</v>
      </c>
      <c r="F83" s="601" t="s">
        <v>319</v>
      </c>
      <c r="G83" s="601" t="s">
        <v>449</v>
      </c>
      <c r="H83" s="601" t="s">
        <v>325</v>
      </c>
      <c r="I83" s="601" t="s">
        <v>501</v>
      </c>
      <c r="J83" s="575"/>
      <c r="K83" s="575"/>
      <c r="L83" s="575"/>
      <c r="M83" s="575"/>
      <c r="N83" s="575"/>
      <c r="O83" s="575"/>
    </row>
    <row r="84" spans="1:15" x14ac:dyDescent="0.25">
      <c r="A84" s="601" t="s">
        <v>448</v>
      </c>
      <c r="B84" s="636">
        <v>1</v>
      </c>
      <c r="C84" s="601"/>
      <c r="D84" s="601" t="s">
        <v>319</v>
      </c>
      <c r="E84" s="601" t="s">
        <v>319</v>
      </c>
      <c r="F84" s="601" t="s">
        <v>319</v>
      </c>
      <c r="G84" s="601" t="s">
        <v>449</v>
      </c>
      <c r="H84" s="601" t="s">
        <v>325</v>
      </c>
      <c r="I84" s="601" t="s">
        <v>502</v>
      </c>
      <c r="J84" s="575"/>
      <c r="K84" s="575"/>
      <c r="L84" s="575"/>
      <c r="M84" s="575"/>
      <c r="N84" s="575"/>
      <c r="O84" s="575"/>
    </row>
    <row r="85" spans="1:15" x14ac:dyDescent="0.25">
      <c r="A85" s="601" t="s">
        <v>448</v>
      </c>
      <c r="B85" s="636">
        <v>1</v>
      </c>
      <c r="C85" s="601"/>
      <c r="D85" s="601" t="s">
        <v>319</v>
      </c>
      <c r="E85" s="601" t="s">
        <v>319</v>
      </c>
      <c r="F85" s="601" t="s">
        <v>319</v>
      </c>
      <c r="G85" s="601" t="s">
        <v>449</v>
      </c>
      <c r="H85" s="601" t="s">
        <v>325</v>
      </c>
      <c r="I85" s="601" t="s">
        <v>503</v>
      </c>
      <c r="J85" s="575"/>
      <c r="K85" s="575"/>
      <c r="L85" s="575"/>
      <c r="M85" s="575"/>
      <c r="N85" s="575"/>
      <c r="O85" s="575"/>
    </row>
    <row r="86" spans="1:15" x14ac:dyDescent="0.25">
      <c r="A86" s="601" t="s">
        <v>448</v>
      </c>
      <c r="B86" s="636">
        <v>1</v>
      </c>
      <c r="C86" s="601"/>
      <c r="D86" s="601" t="s">
        <v>319</v>
      </c>
      <c r="E86" s="601" t="s">
        <v>319</v>
      </c>
      <c r="F86" s="601" t="s">
        <v>319</v>
      </c>
      <c r="G86" s="601" t="s">
        <v>449</v>
      </c>
      <c r="H86" s="601" t="s">
        <v>325</v>
      </c>
      <c r="I86" s="601" t="s">
        <v>504</v>
      </c>
      <c r="J86" s="575"/>
      <c r="K86" s="575"/>
      <c r="L86" s="575"/>
      <c r="M86" s="575"/>
      <c r="N86" s="575"/>
      <c r="O86" s="575"/>
    </row>
  </sheetData>
  <autoFilter ref="A1:O1" xr:uid="{7980213A-A305-4FBE-9FAC-46A1C6042A2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AD9BD-94A2-4252-9F38-D86C0C768B3D}">
  <sheetPr>
    <tabColor rgb="FFFFFF00"/>
  </sheetPr>
  <dimension ref="A1:O109"/>
  <sheetViews>
    <sheetView workbookViewId="0">
      <pane ySplit="1" topLeftCell="A2" activePane="bottomLeft" state="frozen"/>
      <selection activeCell="P38" sqref="P38"/>
      <selection pane="bottomLeft" activeCell="D82" sqref="D82"/>
    </sheetView>
  </sheetViews>
  <sheetFormatPr defaultColWidth="9.1796875" defaultRowHeight="10.5" x14ac:dyDescent="0.25"/>
  <cols>
    <col min="1" max="1" width="14.26953125" style="570" bestFit="1" customWidth="1"/>
    <col min="2" max="2" width="10.7265625" style="573" bestFit="1" customWidth="1"/>
    <col min="3" max="3" width="4.7265625" style="570" customWidth="1"/>
    <col min="4" max="4" width="5.7265625" style="570" customWidth="1"/>
    <col min="5" max="5" width="5" style="570" customWidth="1"/>
    <col min="6" max="6" width="6.4531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x14ac:dyDescent="0.25">
      <c r="A25" s="601" t="s">
        <v>327</v>
      </c>
      <c r="B25" s="602">
        <v>1</v>
      </c>
      <c r="C25" s="601"/>
      <c r="D25" s="601" t="s">
        <v>319</v>
      </c>
      <c r="E25" s="601" t="s">
        <v>319</v>
      </c>
      <c r="F25" s="601" t="s">
        <v>319</v>
      </c>
      <c r="G25" s="601" t="s">
        <v>327</v>
      </c>
      <c r="H25" s="601" t="s">
        <v>322</v>
      </c>
      <c r="I25" s="603" t="s">
        <v>524</v>
      </c>
      <c r="J25" s="577"/>
      <c r="K25" s="577"/>
      <c r="L25" s="577"/>
      <c r="M25" s="577"/>
      <c r="N25" s="577"/>
      <c r="O25" s="577"/>
    </row>
    <row r="26" spans="1:15" x14ac:dyDescent="0.25">
      <c r="A26" s="630" t="s">
        <v>417</v>
      </c>
      <c r="B26" s="629">
        <v>1</v>
      </c>
      <c r="C26" s="630"/>
      <c r="D26" s="630" t="s">
        <v>319</v>
      </c>
      <c r="E26" s="630" t="s">
        <v>319</v>
      </c>
      <c r="F26" s="630" t="s">
        <v>319</v>
      </c>
      <c r="G26" s="630" t="s">
        <v>418</v>
      </c>
      <c r="H26" s="601" t="s">
        <v>325</v>
      </c>
      <c r="I26" s="601" t="s">
        <v>419</v>
      </c>
      <c r="J26" s="630"/>
      <c r="K26" s="630"/>
      <c r="L26" s="630"/>
      <c r="M26" s="630"/>
      <c r="N26" s="630"/>
      <c r="O26" s="630"/>
    </row>
    <row r="27" spans="1:15" x14ac:dyDescent="0.25">
      <c r="A27" s="630" t="s">
        <v>417</v>
      </c>
      <c r="B27" s="629">
        <v>0.89500000000000002</v>
      </c>
      <c r="C27" s="630"/>
      <c r="D27" s="630" t="s">
        <v>319</v>
      </c>
      <c r="E27" s="630" t="s">
        <v>319</v>
      </c>
      <c r="F27" s="630" t="s">
        <v>319</v>
      </c>
      <c r="G27" s="630" t="s">
        <v>418</v>
      </c>
      <c r="H27" s="601" t="s">
        <v>325</v>
      </c>
      <c r="I27" s="601" t="s">
        <v>420</v>
      </c>
      <c r="J27" s="630"/>
      <c r="K27" s="630"/>
      <c r="L27" s="630"/>
      <c r="M27" s="630"/>
      <c r="N27" s="630"/>
      <c r="O27" s="630"/>
    </row>
    <row r="28" spans="1:15" x14ac:dyDescent="0.25">
      <c r="A28" s="630" t="s">
        <v>417</v>
      </c>
      <c r="B28" s="629">
        <v>0.79</v>
      </c>
      <c r="C28" s="630"/>
      <c r="D28" s="630" t="s">
        <v>319</v>
      </c>
      <c r="E28" s="630" t="s">
        <v>319</v>
      </c>
      <c r="F28" s="630" t="s">
        <v>319</v>
      </c>
      <c r="G28" s="630" t="s">
        <v>418</v>
      </c>
      <c r="H28" s="601" t="s">
        <v>325</v>
      </c>
      <c r="I28" s="601" t="s">
        <v>421</v>
      </c>
      <c r="J28" s="630"/>
      <c r="K28" s="630"/>
      <c r="L28" s="630"/>
      <c r="M28" s="630"/>
      <c r="N28" s="630"/>
      <c r="O28" s="630"/>
    </row>
    <row r="29" spans="1:15" x14ac:dyDescent="0.25">
      <c r="A29" s="630" t="s">
        <v>417</v>
      </c>
      <c r="B29" s="629">
        <v>0.63</v>
      </c>
      <c r="C29" s="630"/>
      <c r="D29" s="630" t="s">
        <v>319</v>
      </c>
      <c r="E29" s="630" t="s">
        <v>319</v>
      </c>
      <c r="F29" s="630" t="s">
        <v>319</v>
      </c>
      <c r="G29" s="630" t="s">
        <v>418</v>
      </c>
      <c r="H29" s="601" t="s">
        <v>325</v>
      </c>
      <c r="I29" s="601" t="s">
        <v>422</v>
      </c>
      <c r="J29" s="630"/>
      <c r="K29" s="630"/>
      <c r="L29" s="630"/>
      <c r="M29" s="630"/>
      <c r="N29" s="630"/>
      <c r="O29" s="630"/>
    </row>
    <row r="30" spans="1:15" x14ac:dyDescent="0.25">
      <c r="A30" s="630" t="s">
        <v>417</v>
      </c>
      <c r="B30" s="629">
        <v>0.53849999999999998</v>
      </c>
      <c r="C30" s="630"/>
      <c r="D30" s="630" t="s">
        <v>319</v>
      </c>
      <c r="E30" s="630" t="s">
        <v>319</v>
      </c>
      <c r="F30" s="630" t="s">
        <v>319</v>
      </c>
      <c r="G30" s="630" t="s">
        <v>418</v>
      </c>
      <c r="H30" s="601" t="s">
        <v>325</v>
      </c>
      <c r="I30" s="601" t="s">
        <v>423</v>
      </c>
      <c r="J30" s="630"/>
      <c r="K30" s="630"/>
      <c r="L30" s="630"/>
      <c r="M30" s="630"/>
      <c r="N30" s="630"/>
      <c r="O30" s="630"/>
    </row>
    <row r="31" spans="1:15" x14ac:dyDescent="0.25">
      <c r="A31" s="630" t="s">
        <v>417</v>
      </c>
      <c r="B31" s="629">
        <v>0.47110000000000002</v>
      </c>
      <c r="C31" s="630"/>
      <c r="D31" s="630" t="s">
        <v>319</v>
      </c>
      <c r="E31" s="630" t="s">
        <v>319</v>
      </c>
      <c r="F31" s="630" t="s">
        <v>319</v>
      </c>
      <c r="G31" s="630" t="s">
        <v>418</v>
      </c>
      <c r="H31" s="601" t="s">
        <v>325</v>
      </c>
      <c r="I31" s="601" t="s">
        <v>424</v>
      </c>
      <c r="J31" s="630"/>
      <c r="K31" s="630"/>
      <c r="L31" s="630"/>
      <c r="M31" s="630"/>
      <c r="N31" s="630"/>
      <c r="O31" s="630"/>
    </row>
    <row r="32" spans="1:15" x14ac:dyDescent="0.25">
      <c r="A32" s="630" t="s">
        <v>417</v>
      </c>
      <c r="B32" s="629">
        <v>0.4239</v>
      </c>
      <c r="C32" s="630"/>
      <c r="D32" s="630" t="s">
        <v>319</v>
      </c>
      <c r="E32" s="630" t="s">
        <v>319</v>
      </c>
      <c r="F32" s="630" t="s">
        <v>319</v>
      </c>
      <c r="G32" s="630" t="s">
        <v>418</v>
      </c>
      <c r="H32" s="601" t="s">
        <v>325</v>
      </c>
      <c r="I32" s="601" t="s">
        <v>425</v>
      </c>
      <c r="J32" s="630"/>
      <c r="K32" s="630"/>
      <c r="L32" s="630"/>
      <c r="M32" s="630"/>
      <c r="N32" s="630"/>
      <c r="O32" s="630"/>
    </row>
    <row r="33" spans="1:15" x14ac:dyDescent="0.25">
      <c r="A33" s="630" t="s">
        <v>417</v>
      </c>
      <c r="B33" s="629">
        <v>0.38940000000000002</v>
      </c>
      <c r="C33" s="630"/>
      <c r="D33" s="630" t="s">
        <v>319</v>
      </c>
      <c r="E33" s="630" t="s">
        <v>319</v>
      </c>
      <c r="F33" s="630" t="s">
        <v>319</v>
      </c>
      <c r="G33" s="630" t="s">
        <v>418</v>
      </c>
      <c r="H33" s="601" t="s">
        <v>325</v>
      </c>
      <c r="I33" s="601" t="s">
        <v>426</v>
      </c>
      <c r="J33" s="630"/>
      <c r="K33" s="630"/>
      <c r="L33" s="630"/>
      <c r="M33" s="630"/>
      <c r="N33" s="630"/>
      <c r="O33" s="630"/>
    </row>
    <row r="34" spans="1:15" x14ac:dyDescent="0.25">
      <c r="A34" s="630" t="s">
        <v>417</v>
      </c>
      <c r="B34" s="629">
        <v>0.3634</v>
      </c>
      <c r="C34" s="630"/>
      <c r="D34" s="630" t="s">
        <v>319</v>
      </c>
      <c r="E34" s="630" t="s">
        <v>319</v>
      </c>
      <c r="F34" s="630" t="s">
        <v>319</v>
      </c>
      <c r="G34" s="630" t="s">
        <v>418</v>
      </c>
      <c r="H34" s="601" t="s">
        <v>325</v>
      </c>
      <c r="I34" s="601" t="s">
        <v>427</v>
      </c>
      <c r="J34" s="630"/>
      <c r="K34" s="630"/>
      <c r="L34" s="630"/>
      <c r="M34" s="630"/>
      <c r="N34" s="630"/>
      <c r="O34" s="630"/>
    </row>
    <row r="35" spans="1:15" x14ac:dyDescent="0.25">
      <c r="A35" s="630" t="s">
        <v>417</v>
      </c>
      <c r="B35" s="629">
        <v>0.34339999999999998</v>
      </c>
      <c r="C35" s="630"/>
      <c r="D35" s="630" t="s">
        <v>319</v>
      </c>
      <c r="E35" s="630" t="s">
        <v>319</v>
      </c>
      <c r="F35" s="630" t="s">
        <v>319</v>
      </c>
      <c r="G35" s="630" t="s">
        <v>418</v>
      </c>
      <c r="H35" s="601" t="s">
        <v>325</v>
      </c>
      <c r="I35" s="601" t="s">
        <v>428</v>
      </c>
      <c r="J35" s="630"/>
      <c r="K35" s="630"/>
      <c r="L35" s="630"/>
      <c r="M35" s="630"/>
      <c r="N35" s="630"/>
      <c r="O35" s="630"/>
    </row>
    <row r="36" spans="1:15" x14ac:dyDescent="0.25">
      <c r="A36" s="630" t="s">
        <v>417</v>
      </c>
      <c r="B36" s="629">
        <v>0.32769999999999999</v>
      </c>
      <c r="C36" s="630"/>
      <c r="D36" s="630" t="s">
        <v>319</v>
      </c>
      <c r="E36" s="630" t="s">
        <v>319</v>
      </c>
      <c r="F36" s="630" t="s">
        <v>319</v>
      </c>
      <c r="G36" s="630" t="s">
        <v>418</v>
      </c>
      <c r="H36" s="601" t="s">
        <v>325</v>
      </c>
      <c r="I36" s="601" t="s">
        <v>429</v>
      </c>
      <c r="J36" s="630"/>
      <c r="K36" s="630"/>
      <c r="L36" s="630"/>
      <c r="M36" s="630"/>
      <c r="N36" s="630"/>
      <c r="O36" s="630"/>
    </row>
    <row r="37" spans="1:15" x14ac:dyDescent="0.25">
      <c r="A37" s="630" t="s">
        <v>417</v>
      </c>
      <c r="B37" s="629">
        <v>0.31540000000000001</v>
      </c>
      <c r="C37" s="630"/>
      <c r="D37" s="630" t="s">
        <v>319</v>
      </c>
      <c r="E37" s="630" t="s">
        <v>319</v>
      </c>
      <c r="F37" s="630" t="s">
        <v>319</v>
      </c>
      <c r="G37" s="630" t="s">
        <v>418</v>
      </c>
      <c r="H37" s="601" t="s">
        <v>325</v>
      </c>
      <c r="I37" s="601" t="s">
        <v>430</v>
      </c>
      <c r="J37" s="630"/>
      <c r="K37" s="630"/>
      <c r="L37" s="630"/>
      <c r="M37" s="630"/>
      <c r="N37" s="630"/>
      <c r="O37" s="630"/>
    </row>
    <row r="38" spans="1:15" x14ac:dyDescent="0.25">
      <c r="A38" s="630" t="s">
        <v>417</v>
      </c>
      <c r="B38" s="629">
        <v>0.29959999999999998</v>
      </c>
      <c r="C38" s="630"/>
      <c r="D38" s="630" t="s">
        <v>319</v>
      </c>
      <c r="E38" s="630" t="s">
        <v>319</v>
      </c>
      <c r="F38" s="630" t="s">
        <v>319</v>
      </c>
      <c r="G38" s="630" t="s">
        <v>418</v>
      </c>
      <c r="H38" s="601" t="s">
        <v>325</v>
      </c>
      <c r="I38" s="601" t="s">
        <v>431</v>
      </c>
      <c r="J38" s="630"/>
      <c r="K38" s="630"/>
      <c r="L38" s="630"/>
      <c r="M38" s="630"/>
      <c r="N38" s="630"/>
      <c r="O38" s="630"/>
    </row>
    <row r="39" spans="1:15" x14ac:dyDescent="0.25">
      <c r="A39" s="630" t="s">
        <v>417</v>
      </c>
      <c r="B39" s="629">
        <v>0.28639999999999999</v>
      </c>
      <c r="C39" s="630"/>
      <c r="D39" s="630" t="s">
        <v>319</v>
      </c>
      <c r="E39" s="630" t="s">
        <v>319</v>
      </c>
      <c r="F39" s="630" t="s">
        <v>319</v>
      </c>
      <c r="G39" s="630" t="s">
        <v>418</v>
      </c>
      <c r="H39" s="601" t="s">
        <v>325</v>
      </c>
      <c r="I39" s="601" t="s">
        <v>432</v>
      </c>
      <c r="J39" s="630"/>
      <c r="K39" s="630"/>
      <c r="L39" s="630"/>
      <c r="M39" s="630"/>
      <c r="N39" s="630"/>
      <c r="O39" s="630"/>
    </row>
    <row r="40" spans="1:15" x14ac:dyDescent="0.25">
      <c r="A40" s="630" t="s">
        <v>417</v>
      </c>
      <c r="B40" s="629">
        <v>0.27510000000000001</v>
      </c>
      <c r="C40" s="630"/>
      <c r="D40" s="630" t="s">
        <v>319</v>
      </c>
      <c r="E40" s="630" t="s">
        <v>319</v>
      </c>
      <c r="F40" s="630" t="s">
        <v>319</v>
      </c>
      <c r="G40" s="630" t="s">
        <v>418</v>
      </c>
      <c r="H40" s="601" t="s">
        <v>325</v>
      </c>
      <c r="I40" s="601" t="s">
        <v>433</v>
      </c>
      <c r="J40" s="630"/>
      <c r="K40" s="630"/>
      <c r="L40" s="630"/>
      <c r="M40" s="630"/>
      <c r="N40" s="630"/>
      <c r="O40" s="630"/>
    </row>
    <row r="41" spans="1:15" x14ac:dyDescent="0.25">
      <c r="A41" s="630" t="s">
        <v>417</v>
      </c>
      <c r="B41" s="629">
        <v>0.26550000000000001</v>
      </c>
      <c r="C41" s="630"/>
      <c r="D41" s="630" t="s">
        <v>319</v>
      </c>
      <c r="E41" s="630" t="s">
        <v>319</v>
      </c>
      <c r="F41" s="630" t="s">
        <v>319</v>
      </c>
      <c r="G41" s="630" t="s">
        <v>418</v>
      </c>
      <c r="H41" s="601" t="s">
        <v>325</v>
      </c>
      <c r="I41" s="601" t="s">
        <v>434</v>
      </c>
      <c r="J41" s="630"/>
      <c r="K41" s="630"/>
      <c r="L41" s="630"/>
      <c r="M41" s="630"/>
      <c r="N41" s="630"/>
      <c r="O41" s="630"/>
    </row>
    <row r="42" spans="1:15" x14ac:dyDescent="0.25">
      <c r="A42" s="630" t="s">
        <v>417</v>
      </c>
      <c r="B42" s="629">
        <v>0.25719999999999998</v>
      </c>
      <c r="C42" s="630"/>
      <c r="D42" s="630" t="s">
        <v>319</v>
      </c>
      <c r="E42" s="630" t="s">
        <v>319</v>
      </c>
      <c r="F42" s="630" t="s">
        <v>319</v>
      </c>
      <c r="G42" s="630" t="s">
        <v>418</v>
      </c>
      <c r="H42" s="601" t="s">
        <v>325</v>
      </c>
      <c r="I42" s="601" t="s">
        <v>435</v>
      </c>
      <c r="J42" s="630"/>
      <c r="K42" s="630"/>
      <c r="L42" s="630"/>
      <c r="M42" s="630"/>
      <c r="N42" s="630"/>
      <c r="O42" s="630"/>
    </row>
    <row r="43" spans="1:15" x14ac:dyDescent="0.25">
      <c r="A43" s="630" t="s">
        <v>417</v>
      </c>
      <c r="B43" s="629">
        <v>0.25</v>
      </c>
      <c r="C43" s="630"/>
      <c r="D43" s="630" t="s">
        <v>319</v>
      </c>
      <c r="E43" s="630" t="s">
        <v>319</v>
      </c>
      <c r="F43" s="630" t="s">
        <v>319</v>
      </c>
      <c r="G43" s="630" t="s">
        <v>418</v>
      </c>
      <c r="H43" s="601" t="s">
        <v>325</v>
      </c>
      <c r="I43" s="601" t="s">
        <v>436</v>
      </c>
      <c r="J43" s="630"/>
      <c r="K43" s="630"/>
      <c r="L43" s="630"/>
      <c r="M43" s="630"/>
      <c r="N43" s="630"/>
      <c r="O43" s="630"/>
    </row>
    <row r="44" spans="1:15" x14ac:dyDescent="0.25">
      <c r="A44" s="630" t="s">
        <v>417</v>
      </c>
      <c r="B44" s="629">
        <v>0.24199999999999999</v>
      </c>
      <c r="C44" s="630"/>
      <c r="D44" s="630" t="s">
        <v>319</v>
      </c>
      <c r="E44" s="630" t="s">
        <v>319</v>
      </c>
      <c r="F44" s="630" t="s">
        <v>319</v>
      </c>
      <c r="G44" s="630" t="s">
        <v>418</v>
      </c>
      <c r="H44" s="601" t="s">
        <v>325</v>
      </c>
      <c r="I44" s="601" t="s">
        <v>437</v>
      </c>
      <c r="J44" s="630"/>
      <c r="K44" s="630"/>
      <c r="L44" s="630"/>
      <c r="M44" s="630"/>
      <c r="N44" s="630"/>
      <c r="O44" s="630"/>
    </row>
    <row r="45" spans="1:15" x14ac:dyDescent="0.25">
      <c r="A45" s="630" t="s">
        <v>417</v>
      </c>
      <c r="B45" s="629">
        <v>0.23499999999999999</v>
      </c>
      <c r="C45" s="630"/>
      <c r="D45" s="630" t="s">
        <v>319</v>
      </c>
      <c r="E45" s="630" t="s">
        <v>319</v>
      </c>
      <c r="F45" s="630" t="s">
        <v>319</v>
      </c>
      <c r="G45" s="630" t="s">
        <v>418</v>
      </c>
      <c r="H45" s="601" t="s">
        <v>325</v>
      </c>
      <c r="I45" s="601" t="s">
        <v>438</v>
      </c>
      <c r="J45" s="630"/>
      <c r="K45" s="630"/>
      <c r="L45" s="630"/>
      <c r="M45" s="630"/>
      <c r="N45" s="630"/>
      <c r="O45" s="630"/>
    </row>
    <row r="46" spans="1:15" x14ac:dyDescent="0.25">
      <c r="A46" s="630" t="s">
        <v>417</v>
      </c>
      <c r="B46" s="629">
        <v>0.2</v>
      </c>
      <c r="C46" s="630"/>
      <c r="D46" s="630" t="s">
        <v>319</v>
      </c>
      <c r="E46" s="630" t="s">
        <v>319</v>
      </c>
      <c r="F46" s="630" t="s">
        <v>319</v>
      </c>
      <c r="G46" s="630" t="s">
        <v>418</v>
      </c>
      <c r="H46" s="601" t="s">
        <v>325</v>
      </c>
      <c r="I46" s="601" t="s">
        <v>439</v>
      </c>
      <c r="J46" s="630"/>
      <c r="K46" s="630"/>
      <c r="L46" s="630"/>
      <c r="M46" s="630"/>
      <c r="N46" s="630"/>
      <c r="O46" s="630"/>
    </row>
    <row r="47" spans="1:15" x14ac:dyDescent="0.25">
      <c r="A47" s="630" t="s">
        <v>417</v>
      </c>
      <c r="B47" s="629">
        <v>0.15</v>
      </c>
      <c r="C47" s="630"/>
      <c r="D47" s="630" t="s">
        <v>319</v>
      </c>
      <c r="E47" s="630" t="s">
        <v>319</v>
      </c>
      <c r="F47" s="630" t="s">
        <v>319</v>
      </c>
      <c r="G47" s="630" t="s">
        <v>418</v>
      </c>
      <c r="H47" s="601" t="s">
        <v>325</v>
      </c>
      <c r="I47" s="601" t="s">
        <v>440</v>
      </c>
      <c r="J47" s="630"/>
      <c r="K47" s="630"/>
      <c r="L47" s="630"/>
      <c r="M47" s="630"/>
      <c r="N47" s="630"/>
      <c r="O47" s="630"/>
    </row>
    <row r="48" spans="1:15" x14ac:dyDescent="0.25">
      <c r="A48" s="630" t="s">
        <v>417</v>
      </c>
      <c r="B48" s="629">
        <v>0.12</v>
      </c>
      <c r="C48" s="630"/>
      <c r="D48" s="630" t="s">
        <v>319</v>
      </c>
      <c r="E48" s="630" t="s">
        <v>319</v>
      </c>
      <c r="F48" s="630" t="s">
        <v>319</v>
      </c>
      <c r="G48" s="630" t="s">
        <v>418</v>
      </c>
      <c r="H48" s="601" t="s">
        <v>325</v>
      </c>
      <c r="I48" s="601" t="s">
        <v>441</v>
      </c>
      <c r="J48" s="630"/>
      <c r="K48" s="630"/>
      <c r="L48" s="630"/>
      <c r="M48" s="630"/>
      <c r="N48" s="630"/>
      <c r="O48" s="630"/>
    </row>
    <row r="49" spans="1:15" x14ac:dyDescent="0.25">
      <c r="A49" s="630" t="s">
        <v>417</v>
      </c>
      <c r="B49" s="629">
        <v>8.5999999999999993E-2</v>
      </c>
      <c r="C49" s="630"/>
      <c r="D49" s="630" t="s">
        <v>319</v>
      </c>
      <c r="E49" s="630" t="s">
        <v>319</v>
      </c>
      <c r="F49" s="630" t="s">
        <v>319</v>
      </c>
      <c r="G49" s="630" t="s">
        <v>418</v>
      </c>
      <c r="H49" s="601" t="s">
        <v>325</v>
      </c>
      <c r="I49" s="601" t="s">
        <v>442</v>
      </c>
      <c r="J49" s="630"/>
      <c r="K49" s="630"/>
      <c r="L49" s="630"/>
      <c r="M49" s="630"/>
      <c r="N49" s="630"/>
      <c r="O49" s="630"/>
    </row>
    <row r="50" spans="1:15" x14ac:dyDescent="0.25">
      <c r="A50" s="630" t="s">
        <v>417</v>
      </c>
      <c r="B50" s="629">
        <v>6.2E-2</v>
      </c>
      <c r="C50" s="630"/>
      <c r="D50" s="630" t="s">
        <v>319</v>
      </c>
      <c r="E50" s="630" t="s">
        <v>319</v>
      </c>
      <c r="F50" s="630" t="s">
        <v>319</v>
      </c>
      <c r="G50" s="630" t="s">
        <v>418</v>
      </c>
      <c r="H50" s="601" t="s">
        <v>325</v>
      </c>
      <c r="I50" s="601" t="s">
        <v>443</v>
      </c>
      <c r="J50" s="630"/>
      <c r="K50" s="630"/>
      <c r="L50" s="630"/>
      <c r="M50" s="630"/>
      <c r="N50" s="630"/>
      <c r="O50" s="630"/>
    </row>
    <row r="51" spans="1:15" x14ac:dyDescent="0.25">
      <c r="A51" s="630" t="s">
        <v>417</v>
      </c>
      <c r="B51" s="629">
        <v>4.3999999999999997E-2</v>
      </c>
      <c r="C51" s="630"/>
      <c r="D51" s="630" t="s">
        <v>319</v>
      </c>
      <c r="E51" s="630" t="s">
        <v>319</v>
      </c>
      <c r="F51" s="630" t="s">
        <v>319</v>
      </c>
      <c r="G51" s="630" t="s">
        <v>418</v>
      </c>
      <c r="H51" s="601" t="s">
        <v>325</v>
      </c>
      <c r="I51" s="601" t="s">
        <v>444</v>
      </c>
      <c r="J51" s="630"/>
      <c r="K51" s="630"/>
      <c r="L51" s="630"/>
      <c r="M51" s="630"/>
      <c r="N51" s="630"/>
      <c r="O51" s="630"/>
    </row>
    <row r="52" spans="1:15" x14ac:dyDescent="0.25">
      <c r="A52" s="630" t="s">
        <v>417</v>
      </c>
      <c r="B52" s="629">
        <v>3.2000000000000001E-2</v>
      </c>
      <c r="C52" s="630"/>
      <c r="D52" s="630" t="s">
        <v>319</v>
      </c>
      <c r="E52" s="630" t="s">
        <v>319</v>
      </c>
      <c r="F52" s="630" t="s">
        <v>319</v>
      </c>
      <c r="G52" s="630" t="s">
        <v>418</v>
      </c>
      <c r="H52" s="601" t="s">
        <v>325</v>
      </c>
      <c r="I52" s="601" t="s">
        <v>445</v>
      </c>
      <c r="J52" s="630"/>
      <c r="K52" s="630"/>
      <c r="L52" s="630"/>
      <c r="M52" s="630"/>
      <c r="N52" s="630"/>
      <c r="O52" s="630"/>
    </row>
    <row r="53" spans="1:15" x14ac:dyDescent="0.25">
      <c r="A53" s="630" t="s">
        <v>417</v>
      </c>
      <c r="B53" s="629">
        <v>2.5000000000000001E-2</v>
      </c>
      <c r="C53" s="630"/>
      <c r="D53" s="630" t="s">
        <v>319</v>
      </c>
      <c r="E53" s="630" t="s">
        <v>319</v>
      </c>
      <c r="F53" s="630" t="s">
        <v>319</v>
      </c>
      <c r="G53" s="630" t="s">
        <v>418</v>
      </c>
      <c r="H53" s="601" t="s">
        <v>325</v>
      </c>
      <c r="I53" s="601" t="s">
        <v>446</v>
      </c>
      <c r="J53" s="630"/>
      <c r="K53" s="630"/>
      <c r="L53" s="630"/>
      <c r="M53" s="630"/>
      <c r="N53" s="630"/>
      <c r="O53" s="630"/>
    </row>
    <row r="54" spans="1:15" x14ac:dyDescent="0.25">
      <c r="A54" s="630" t="s">
        <v>417</v>
      </c>
      <c r="B54" s="629">
        <v>0.02</v>
      </c>
      <c r="C54" s="630"/>
      <c r="D54" s="630" t="s">
        <v>319</v>
      </c>
      <c r="E54" s="630" t="s">
        <v>319</v>
      </c>
      <c r="F54" s="630" t="s">
        <v>319</v>
      </c>
      <c r="G54" s="630" t="s">
        <v>418</v>
      </c>
      <c r="H54" s="601" t="s">
        <v>325</v>
      </c>
      <c r="I54" s="601" t="s">
        <v>447</v>
      </c>
      <c r="J54" s="630"/>
      <c r="K54" s="630"/>
      <c r="L54" s="630"/>
      <c r="M54" s="630"/>
      <c r="N54" s="630"/>
      <c r="O54" s="630"/>
    </row>
    <row r="55" spans="1:15" x14ac:dyDescent="0.25">
      <c r="A55" s="601" t="s">
        <v>448</v>
      </c>
      <c r="B55" s="636">
        <v>3.4910000000000001</v>
      </c>
      <c r="C55" s="601"/>
      <c r="D55" s="601" t="s">
        <v>319</v>
      </c>
      <c r="E55" s="601" t="s">
        <v>319</v>
      </c>
      <c r="F55" s="601" t="s">
        <v>319</v>
      </c>
      <c r="G55" s="601" t="s">
        <v>449</v>
      </c>
      <c r="H55" s="601" t="s">
        <v>325</v>
      </c>
      <c r="I55" s="601" t="s">
        <v>450</v>
      </c>
      <c r="J55" s="575"/>
      <c r="K55" s="575"/>
      <c r="L55" s="575"/>
      <c r="M55" s="575"/>
      <c r="N55" s="575"/>
      <c r="O55" s="575"/>
    </row>
    <row r="56" spans="1:15" x14ac:dyDescent="0.25">
      <c r="A56" s="601" t="s">
        <v>448</v>
      </c>
      <c r="B56" s="636">
        <v>3.222</v>
      </c>
      <c r="C56" s="601"/>
      <c r="D56" s="601" t="s">
        <v>319</v>
      </c>
      <c r="E56" s="601" t="s">
        <v>319</v>
      </c>
      <c r="F56" s="601" t="s">
        <v>319</v>
      </c>
      <c r="G56" s="601" t="s">
        <v>449</v>
      </c>
      <c r="H56" s="601" t="s">
        <v>325</v>
      </c>
      <c r="I56" s="601" t="s">
        <v>451</v>
      </c>
      <c r="J56" s="575"/>
      <c r="K56" s="575"/>
      <c r="L56" s="575"/>
      <c r="M56" s="575"/>
      <c r="N56" s="575"/>
      <c r="O56" s="575"/>
    </row>
    <row r="57" spans="1:15" x14ac:dyDescent="0.25">
      <c r="A57" s="601" t="s">
        <v>448</v>
      </c>
      <c r="B57" s="636">
        <v>3.004</v>
      </c>
      <c r="C57" s="601"/>
      <c r="D57" s="601" t="s">
        <v>319</v>
      </c>
      <c r="E57" s="601" t="s">
        <v>319</v>
      </c>
      <c r="F57" s="601" t="s">
        <v>319</v>
      </c>
      <c r="G57" s="601" t="s">
        <v>449</v>
      </c>
      <c r="H57" s="601" t="s">
        <v>325</v>
      </c>
      <c r="I57" s="601" t="s">
        <v>452</v>
      </c>
      <c r="J57" s="575"/>
      <c r="K57" s="575"/>
      <c r="L57" s="575"/>
      <c r="M57" s="575"/>
      <c r="N57" s="575"/>
      <c r="O57" s="575"/>
    </row>
    <row r="58" spans="1:15" x14ac:dyDescent="0.25">
      <c r="A58" s="601" t="s">
        <v>448</v>
      </c>
      <c r="B58" s="636">
        <v>2.8460000000000001</v>
      </c>
      <c r="C58" s="601"/>
      <c r="D58" s="601" t="s">
        <v>319</v>
      </c>
      <c r="E58" s="601" t="s">
        <v>319</v>
      </c>
      <c r="F58" s="601" t="s">
        <v>319</v>
      </c>
      <c r="G58" s="601" t="s">
        <v>449</v>
      </c>
      <c r="H58" s="601" t="s">
        <v>325</v>
      </c>
      <c r="I58" s="601" t="s">
        <v>453</v>
      </c>
      <c r="J58" s="575"/>
      <c r="K58" s="575"/>
      <c r="L58" s="575"/>
      <c r="M58" s="575"/>
      <c r="N58" s="575"/>
      <c r="O58" s="575"/>
    </row>
    <row r="59" spans="1:15" x14ac:dyDescent="0.25">
      <c r="A59" s="601" t="s">
        <v>448</v>
      </c>
      <c r="B59" s="636">
        <v>2.7010000000000001</v>
      </c>
      <c r="C59" s="601"/>
      <c r="D59" s="601" t="s">
        <v>319</v>
      </c>
      <c r="E59" s="601" t="s">
        <v>319</v>
      </c>
      <c r="F59" s="601" t="s">
        <v>319</v>
      </c>
      <c r="G59" s="601" t="s">
        <v>449</v>
      </c>
      <c r="H59" s="601" t="s">
        <v>325</v>
      </c>
      <c r="I59" s="601" t="s">
        <v>454</v>
      </c>
      <c r="J59" s="575"/>
      <c r="K59" s="575"/>
      <c r="L59" s="575"/>
      <c r="M59" s="575"/>
      <c r="N59" s="575"/>
      <c r="O59" s="575"/>
    </row>
    <row r="60" spans="1:15" x14ac:dyDescent="0.25">
      <c r="A60" s="601" t="s">
        <v>448</v>
      </c>
      <c r="B60" s="636">
        <v>2.5670000000000002</v>
      </c>
      <c r="C60" s="601"/>
      <c r="D60" s="601" t="s">
        <v>319</v>
      </c>
      <c r="E60" s="601" t="s">
        <v>319</v>
      </c>
      <c r="F60" s="601" t="s">
        <v>319</v>
      </c>
      <c r="G60" s="601" t="s">
        <v>449</v>
      </c>
      <c r="H60" s="601" t="s">
        <v>325</v>
      </c>
      <c r="I60" s="601" t="s">
        <v>455</v>
      </c>
      <c r="J60" s="575"/>
      <c r="K60" s="575"/>
      <c r="L60" s="575"/>
      <c r="M60" s="575"/>
      <c r="N60" s="575"/>
      <c r="O60" s="575"/>
    </row>
    <row r="61" spans="1:15" x14ac:dyDescent="0.25">
      <c r="A61" s="601" t="s">
        <v>448</v>
      </c>
      <c r="B61" s="636">
        <v>2.4470000000000001</v>
      </c>
      <c r="C61" s="601"/>
      <c r="D61" s="601" t="s">
        <v>319</v>
      </c>
      <c r="E61" s="601" t="s">
        <v>319</v>
      </c>
      <c r="F61" s="601" t="s">
        <v>319</v>
      </c>
      <c r="G61" s="601" t="s">
        <v>449</v>
      </c>
      <c r="H61" s="601" t="s">
        <v>325</v>
      </c>
      <c r="I61" s="601" t="s">
        <v>456</v>
      </c>
      <c r="J61" s="575"/>
      <c r="K61" s="575"/>
      <c r="L61" s="575"/>
      <c r="M61" s="575"/>
      <c r="N61" s="575"/>
      <c r="O61" s="575"/>
    </row>
    <row r="62" spans="1:15" x14ac:dyDescent="0.25">
      <c r="A62" s="601" t="s">
        <v>448</v>
      </c>
      <c r="B62" s="636">
        <v>2.3420000000000001</v>
      </c>
      <c r="C62" s="601"/>
      <c r="D62" s="601" t="s">
        <v>319</v>
      </c>
      <c r="E62" s="601" t="s">
        <v>319</v>
      </c>
      <c r="F62" s="601" t="s">
        <v>319</v>
      </c>
      <c r="G62" s="601" t="s">
        <v>449</v>
      </c>
      <c r="H62" s="601" t="s">
        <v>325</v>
      </c>
      <c r="I62" s="601" t="s">
        <v>457</v>
      </c>
      <c r="J62" s="575"/>
      <c r="K62" s="575"/>
      <c r="L62" s="575"/>
      <c r="M62" s="575"/>
      <c r="N62" s="575"/>
      <c r="O62" s="575"/>
    </row>
    <row r="63" spans="1:15" x14ac:dyDescent="0.25">
      <c r="A63" s="601" t="s">
        <v>448</v>
      </c>
      <c r="B63" s="636">
        <v>2.25</v>
      </c>
      <c r="C63" s="601"/>
      <c r="D63" s="601" t="s">
        <v>319</v>
      </c>
      <c r="E63" s="601" t="s">
        <v>319</v>
      </c>
      <c r="F63" s="601" t="s">
        <v>319</v>
      </c>
      <c r="G63" s="601" t="s">
        <v>449</v>
      </c>
      <c r="H63" s="601" t="s">
        <v>325</v>
      </c>
      <c r="I63" s="601" t="s">
        <v>458</v>
      </c>
      <c r="J63" s="575"/>
      <c r="K63" s="575"/>
      <c r="L63" s="575"/>
      <c r="M63" s="575"/>
      <c r="N63" s="575"/>
      <c r="O63" s="575"/>
    </row>
    <row r="64" spans="1:15" x14ac:dyDescent="0.25">
      <c r="A64" s="601" t="s">
        <v>448</v>
      </c>
      <c r="B64" s="636">
        <v>2.105</v>
      </c>
      <c r="C64" s="601"/>
      <c r="D64" s="601" t="s">
        <v>319</v>
      </c>
      <c r="E64" s="601" t="s">
        <v>319</v>
      </c>
      <c r="F64" s="601" t="s">
        <v>319</v>
      </c>
      <c r="G64" s="601" t="s">
        <v>449</v>
      </c>
      <c r="H64" s="601" t="s">
        <v>325</v>
      </c>
      <c r="I64" s="601" t="s">
        <v>459</v>
      </c>
      <c r="J64" s="575"/>
      <c r="K64" s="575"/>
      <c r="L64" s="575"/>
      <c r="M64" s="575"/>
      <c r="N64" s="575"/>
      <c r="O64" s="575"/>
    </row>
    <row r="65" spans="1:15" x14ac:dyDescent="0.25">
      <c r="A65" s="601" t="s">
        <v>448</v>
      </c>
      <c r="B65" s="636">
        <v>1.889</v>
      </c>
      <c r="C65" s="601"/>
      <c r="D65" s="601" t="s">
        <v>319</v>
      </c>
      <c r="E65" s="601" t="s">
        <v>319</v>
      </c>
      <c r="F65" s="601" t="s">
        <v>319</v>
      </c>
      <c r="G65" s="601" t="s">
        <v>449</v>
      </c>
      <c r="H65" s="601" t="s">
        <v>325</v>
      </c>
      <c r="I65" s="601" t="s">
        <v>460</v>
      </c>
      <c r="J65" s="575"/>
      <c r="K65" s="575"/>
      <c r="L65" s="575"/>
      <c r="M65" s="575"/>
      <c r="N65" s="575"/>
      <c r="O65" s="575"/>
    </row>
    <row r="66" spans="1:15" x14ac:dyDescent="0.25">
      <c r="A66" s="601" t="s">
        <v>448</v>
      </c>
      <c r="B66" s="636">
        <v>1.6020000000000001</v>
      </c>
      <c r="C66" s="601"/>
      <c r="D66" s="601" t="s">
        <v>319</v>
      </c>
      <c r="E66" s="601" t="s">
        <v>319</v>
      </c>
      <c r="F66" s="601" t="s">
        <v>319</v>
      </c>
      <c r="G66" s="601" t="s">
        <v>449</v>
      </c>
      <c r="H66" s="601" t="s">
        <v>325</v>
      </c>
      <c r="I66" s="601" t="s">
        <v>461</v>
      </c>
      <c r="J66" s="575"/>
      <c r="K66" s="575"/>
      <c r="L66" s="575"/>
      <c r="M66" s="575"/>
      <c r="N66" s="575"/>
      <c r="O66" s="575"/>
    </row>
    <row r="67" spans="1:15" x14ac:dyDescent="0.25">
      <c r="A67" s="601" t="s">
        <v>448</v>
      </c>
      <c r="B67" s="636">
        <v>1.25</v>
      </c>
      <c r="C67" s="601"/>
      <c r="D67" s="601" t="s">
        <v>319</v>
      </c>
      <c r="E67" s="601" t="s">
        <v>319</v>
      </c>
      <c r="F67" s="601" t="s">
        <v>319</v>
      </c>
      <c r="G67" s="601" t="s">
        <v>449</v>
      </c>
      <c r="H67" s="601" t="s">
        <v>325</v>
      </c>
      <c r="I67" s="601" t="s">
        <v>462</v>
      </c>
      <c r="J67" s="575"/>
      <c r="K67" s="575"/>
      <c r="L67" s="575"/>
      <c r="M67" s="575"/>
      <c r="N67" s="575"/>
      <c r="O67" s="575"/>
    </row>
    <row r="68" spans="1:15" x14ac:dyDescent="0.25">
      <c r="A68" s="601" t="s">
        <v>448</v>
      </c>
      <c r="B68" s="636">
        <v>1.25</v>
      </c>
      <c r="C68" s="601"/>
      <c r="D68" s="601" t="s">
        <v>319</v>
      </c>
      <c r="E68" s="601" t="s">
        <v>319</v>
      </c>
      <c r="F68" s="601" t="s">
        <v>319</v>
      </c>
      <c r="G68" s="601" t="s">
        <v>449</v>
      </c>
      <c r="H68" s="601" t="s">
        <v>325</v>
      </c>
      <c r="I68" s="601" t="s">
        <v>463</v>
      </c>
      <c r="J68" s="575"/>
      <c r="K68" s="575"/>
      <c r="L68" s="575"/>
      <c r="M68" s="575"/>
      <c r="N68" s="575"/>
      <c r="O68" s="575"/>
    </row>
    <row r="69" spans="1:15" x14ac:dyDescent="0.25">
      <c r="A69" s="601" t="s">
        <v>448</v>
      </c>
      <c r="B69" s="636">
        <v>1.25</v>
      </c>
      <c r="C69" s="601"/>
      <c r="D69" s="601" t="s">
        <v>319</v>
      </c>
      <c r="E69" s="601" t="s">
        <v>319</v>
      </c>
      <c r="F69" s="601" t="s">
        <v>319</v>
      </c>
      <c r="G69" s="601" t="s">
        <v>449</v>
      </c>
      <c r="H69" s="601" t="s">
        <v>325</v>
      </c>
      <c r="I69" s="601" t="s">
        <v>464</v>
      </c>
      <c r="J69" s="575"/>
      <c r="K69" s="575"/>
      <c r="L69" s="575"/>
      <c r="M69" s="575"/>
      <c r="N69" s="575"/>
      <c r="O69" s="575"/>
    </row>
    <row r="70" spans="1:15" x14ac:dyDescent="0.25">
      <c r="A70" s="601" t="s">
        <v>448</v>
      </c>
      <c r="B70" s="636">
        <v>1.25</v>
      </c>
      <c r="C70" s="601"/>
      <c r="D70" s="601" t="s">
        <v>319</v>
      </c>
      <c r="E70" s="601" t="s">
        <v>319</v>
      </c>
      <c r="F70" s="601" t="s">
        <v>319</v>
      </c>
      <c r="G70" s="601" t="s">
        <v>449</v>
      </c>
      <c r="H70" s="601" t="s">
        <v>325</v>
      </c>
      <c r="I70" s="601" t="s">
        <v>465</v>
      </c>
      <c r="J70" s="575"/>
      <c r="K70" s="575"/>
      <c r="L70" s="575"/>
      <c r="M70" s="575"/>
      <c r="N70" s="575"/>
      <c r="O70" s="575"/>
    </row>
    <row r="71" spans="1:15" x14ac:dyDescent="0.25">
      <c r="A71" s="601" t="s">
        <v>448</v>
      </c>
      <c r="B71" s="636">
        <v>1.25</v>
      </c>
      <c r="C71" s="601"/>
      <c r="D71" s="601" t="s">
        <v>319</v>
      </c>
      <c r="E71" s="601" t="s">
        <v>319</v>
      </c>
      <c r="F71" s="601" t="s">
        <v>319</v>
      </c>
      <c r="G71" s="601" t="s">
        <v>449</v>
      </c>
      <c r="H71" s="601" t="s">
        <v>325</v>
      </c>
      <c r="I71" s="601" t="s">
        <v>466</v>
      </c>
      <c r="J71" s="575"/>
      <c r="K71" s="575"/>
      <c r="L71" s="575"/>
      <c r="M71" s="575"/>
      <c r="N71" s="575"/>
      <c r="O71" s="575"/>
    </row>
    <row r="72" spans="1:15" x14ac:dyDescent="0.25">
      <c r="A72" s="601" t="s">
        <v>448</v>
      </c>
      <c r="B72" s="636">
        <v>1.1499999999999999</v>
      </c>
      <c r="C72" s="601"/>
      <c r="D72" s="601" t="s">
        <v>319</v>
      </c>
      <c r="E72" s="601" t="s">
        <v>319</v>
      </c>
      <c r="F72" s="601" t="s">
        <v>319</v>
      </c>
      <c r="G72" s="601" t="s">
        <v>449</v>
      </c>
      <c r="H72" s="601" t="s">
        <v>325</v>
      </c>
      <c r="I72" s="601" t="s">
        <v>467</v>
      </c>
      <c r="J72" s="575"/>
      <c r="K72" s="575"/>
      <c r="L72" s="575"/>
      <c r="M72" s="575"/>
      <c r="N72" s="575"/>
      <c r="O72" s="575"/>
    </row>
    <row r="73" spans="1:15" x14ac:dyDescent="0.25">
      <c r="A73" s="601" t="s">
        <v>448</v>
      </c>
      <c r="B73" s="636">
        <v>1.1499999999999999</v>
      </c>
      <c r="C73" s="601"/>
      <c r="D73" s="601" t="s">
        <v>319</v>
      </c>
      <c r="E73" s="601" t="s">
        <v>319</v>
      </c>
      <c r="F73" s="601" t="s">
        <v>319</v>
      </c>
      <c r="G73" s="601" t="s">
        <v>449</v>
      </c>
      <c r="H73" s="601" t="s">
        <v>325</v>
      </c>
      <c r="I73" s="601" t="s">
        <v>468</v>
      </c>
      <c r="J73" s="575"/>
      <c r="K73" s="575"/>
      <c r="L73" s="575"/>
      <c r="M73" s="575"/>
      <c r="N73" s="575"/>
      <c r="O73" s="575"/>
    </row>
    <row r="74" spans="1:15" x14ac:dyDescent="0.25">
      <c r="A74" s="601" t="s">
        <v>448</v>
      </c>
      <c r="B74" s="636">
        <v>1.1499999999999999</v>
      </c>
      <c r="C74" s="601"/>
      <c r="D74" s="601" t="s">
        <v>319</v>
      </c>
      <c r="E74" s="601" t="s">
        <v>319</v>
      </c>
      <c r="F74" s="601" t="s">
        <v>319</v>
      </c>
      <c r="G74" s="601" t="s">
        <v>449</v>
      </c>
      <c r="H74" s="601" t="s">
        <v>325</v>
      </c>
      <c r="I74" s="601" t="s">
        <v>469</v>
      </c>
      <c r="J74" s="575"/>
      <c r="K74" s="575"/>
      <c r="L74" s="575"/>
      <c r="M74" s="575"/>
      <c r="N74" s="575"/>
      <c r="O74" s="575"/>
    </row>
    <row r="75" spans="1:15" x14ac:dyDescent="0.25">
      <c r="A75" s="601" t="s">
        <v>448</v>
      </c>
      <c r="B75" s="636">
        <v>1.1499999999999999</v>
      </c>
      <c r="C75" s="601"/>
      <c r="D75" s="601" t="s">
        <v>319</v>
      </c>
      <c r="E75" s="601" t="s">
        <v>319</v>
      </c>
      <c r="F75" s="601" t="s">
        <v>319</v>
      </c>
      <c r="G75" s="601" t="s">
        <v>449</v>
      </c>
      <c r="H75" s="601" t="s">
        <v>325</v>
      </c>
      <c r="I75" s="601" t="s">
        <v>470</v>
      </c>
      <c r="J75" s="575"/>
      <c r="K75" s="575"/>
      <c r="L75" s="575"/>
      <c r="M75" s="575"/>
      <c r="N75" s="575"/>
      <c r="O75" s="575"/>
    </row>
    <row r="76" spans="1:15" x14ac:dyDescent="0.25">
      <c r="A76" s="601" t="s">
        <v>448</v>
      </c>
      <c r="B76" s="636">
        <v>1.1499999999999999</v>
      </c>
      <c r="C76" s="601"/>
      <c r="D76" s="601" t="s">
        <v>319</v>
      </c>
      <c r="E76" s="601" t="s">
        <v>319</v>
      </c>
      <c r="F76" s="601" t="s">
        <v>319</v>
      </c>
      <c r="G76" s="601" t="s">
        <v>449</v>
      </c>
      <c r="H76" s="601" t="s">
        <v>325</v>
      </c>
      <c r="I76" s="601" t="s">
        <v>471</v>
      </c>
      <c r="J76" s="575"/>
      <c r="K76" s="575"/>
      <c r="L76" s="575"/>
      <c r="M76" s="575"/>
      <c r="N76" s="575"/>
      <c r="O76" s="575"/>
    </row>
    <row r="77" spans="1:15" x14ac:dyDescent="0.25">
      <c r="A77" s="601" t="s">
        <v>448</v>
      </c>
      <c r="B77" s="636">
        <v>1.05</v>
      </c>
      <c r="C77" s="601"/>
      <c r="D77" s="601" t="s">
        <v>319</v>
      </c>
      <c r="E77" s="601" t="s">
        <v>319</v>
      </c>
      <c r="F77" s="601" t="s">
        <v>319</v>
      </c>
      <c r="G77" s="601" t="s">
        <v>449</v>
      </c>
      <c r="H77" s="601" t="s">
        <v>325</v>
      </c>
      <c r="I77" s="601" t="s">
        <v>472</v>
      </c>
      <c r="J77" s="575"/>
      <c r="K77" s="575"/>
      <c r="L77" s="575"/>
      <c r="M77" s="575"/>
      <c r="N77" s="575"/>
      <c r="O77" s="575"/>
    </row>
    <row r="78" spans="1:15" x14ac:dyDescent="0.25">
      <c r="A78" s="601" t="s">
        <v>448</v>
      </c>
      <c r="B78" s="636">
        <v>1.05</v>
      </c>
      <c r="C78" s="601"/>
      <c r="D78" s="601" t="s">
        <v>319</v>
      </c>
      <c r="E78" s="601" t="s">
        <v>319</v>
      </c>
      <c r="F78" s="601" t="s">
        <v>319</v>
      </c>
      <c r="G78" s="601" t="s">
        <v>449</v>
      </c>
      <c r="H78" s="601" t="s">
        <v>325</v>
      </c>
      <c r="I78" s="601" t="s">
        <v>473</v>
      </c>
      <c r="J78" s="575"/>
      <c r="K78" s="575"/>
      <c r="L78" s="575"/>
      <c r="M78" s="575"/>
      <c r="N78" s="575"/>
      <c r="O78" s="575"/>
    </row>
    <row r="79" spans="1:15" x14ac:dyDescent="0.25">
      <c r="A79" s="601" t="s">
        <v>448</v>
      </c>
      <c r="B79" s="636">
        <v>1.05</v>
      </c>
      <c r="C79" s="601"/>
      <c r="D79" s="601" t="s">
        <v>319</v>
      </c>
      <c r="E79" s="601" t="s">
        <v>319</v>
      </c>
      <c r="F79" s="601" t="s">
        <v>319</v>
      </c>
      <c r="G79" s="601" t="s">
        <v>449</v>
      </c>
      <c r="H79" s="601" t="s">
        <v>325</v>
      </c>
      <c r="I79" s="601" t="s">
        <v>474</v>
      </c>
      <c r="J79" s="575"/>
      <c r="K79" s="575"/>
      <c r="L79" s="575"/>
      <c r="M79" s="575"/>
      <c r="N79" s="575"/>
      <c r="O79" s="575"/>
    </row>
    <row r="80" spans="1:15" x14ac:dyDescent="0.25">
      <c r="A80" s="601" t="s">
        <v>448</v>
      </c>
      <c r="B80" s="636">
        <v>1.05</v>
      </c>
      <c r="C80" s="601"/>
      <c r="D80" s="601" t="s">
        <v>319</v>
      </c>
      <c r="E80" s="601" t="s">
        <v>319</v>
      </c>
      <c r="F80" s="601" t="s">
        <v>319</v>
      </c>
      <c r="G80" s="601" t="s">
        <v>449</v>
      </c>
      <c r="H80" s="601" t="s">
        <v>325</v>
      </c>
      <c r="I80" s="601" t="s">
        <v>475</v>
      </c>
      <c r="J80" s="575"/>
      <c r="K80" s="575"/>
      <c r="L80" s="575"/>
      <c r="M80" s="575"/>
      <c r="N80" s="575"/>
      <c r="O80" s="575"/>
    </row>
    <row r="81" spans="1:15" x14ac:dyDescent="0.25">
      <c r="A81" s="601" t="s">
        <v>448</v>
      </c>
      <c r="B81" s="636">
        <v>1.05</v>
      </c>
      <c r="C81" s="601"/>
      <c r="D81" s="601" t="s">
        <v>319</v>
      </c>
      <c r="E81" s="601" t="s">
        <v>319</v>
      </c>
      <c r="F81" s="601" t="s">
        <v>319</v>
      </c>
      <c r="G81" s="601" t="s">
        <v>449</v>
      </c>
      <c r="H81" s="601" t="s">
        <v>325</v>
      </c>
      <c r="I81" s="601" t="s">
        <v>476</v>
      </c>
      <c r="J81" s="575"/>
      <c r="K81" s="575"/>
      <c r="L81" s="575"/>
      <c r="M81" s="575"/>
      <c r="N81" s="575"/>
      <c r="O81" s="575"/>
    </row>
    <row r="82" spans="1:15" x14ac:dyDescent="0.25">
      <c r="A82" s="601" t="s">
        <v>448</v>
      </c>
      <c r="B82" s="636">
        <v>1.0249999999999999</v>
      </c>
      <c r="C82" s="601"/>
      <c r="D82" s="601" t="s">
        <v>319</v>
      </c>
      <c r="E82" s="601" t="s">
        <v>319</v>
      </c>
      <c r="F82" s="601" t="s">
        <v>319</v>
      </c>
      <c r="G82" s="601" t="s">
        <v>449</v>
      </c>
      <c r="H82" s="601" t="s">
        <v>325</v>
      </c>
      <c r="I82" s="601" t="s">
        <v>477</v>
      </c>
      <c r="J82" s="575"/>
      <c r="K82" s="575"/>
      <c r="L82" s="575"/>
      <c r="M82" s="575"/>
      <c r="N82" s="575"/>
      <c r="O82" s="575"/>
    </row>
    <row r="83" spans="1:15" x14ac:dyDescent="0.25">
      <c r="A83" s="601" t="s">
        <v>448</v>
      </c>
      <c r="B83" s="636">
        <v>1.0249999999999999</v>
      </c>
      <c r="C83" s="601"/>
      <c r="D83" s="601" t="s">
        <v>319</v>
      </c>
      <c r="E83" s="601" t="s">
        <v>319</v>
      </c>
      <c r="F83" s="601" t="s">
        <v>319</v>
      </c>
      <c r="G83" s="601" t="s">
        <v>449</v>
      </c>
      <c r="H83" s="601" t="s">
        <v>325</v>
      </c>
      <c r="I83" s="601" t="s">
        <v>478</v>
      </c>
      <c r="J83" s="575"/>
      <c r="K83" s="575"/>
      <c r="L83" s="575"/>
      <c r="M83" s="575"/>
      <c r="N83" s="575"/>
      <c r="O83" s="575"/>
    </row>
    <row r="84" spans="1:15" x14ac:dyDescent="0.25">
      <c r="A84" s="601" t="s">
        <v>448</v>
      </c>
      <c r="B84" s="636">
        <v>1.0249999999999999</v>
      </c>
      <c r="C84" s="601"/>
      <c r="D84" s="601" t="s">
        <v>319</v>
      </c>
      <c r="E84" s="601" t="s">
        <v>319</v>
      </c>
      <c r="F84" s="601" t="s">
        <v>319</v>
      </c>
      <c r="G84" s="601" t="s">
        <v>449</v>
      </c>
      <c r="H84" s="601" t="s">
        <v>325</v>
      </c>
      <c r="I84" s="601" t="s">
        <v>479</v>
      </c>
      <c r="J84" s="575"/>
      <c r="K84" s="575"/>
      <c r="L84" s="575"/>
      <c r="M84" s="575"/>
      <c r="N84" s="575"/>
      <c r="O84" s="575"/>
    </row>
    <row r="85" spans="1:15" x14ac:dyDescent="0.25">
      <c r="A85" s="601" t="s">
        <v>448</v>
      </c>
      <c r="B85" s="636">
        <v>1.0249999999999999</v>
      </c>
      <c r="C85" s="601"/>
      <c r="D85" s="601" t="s">
        <v>319</v>
      </c>
      <c r="E85" s="601" t="s">
        <v>319</v>
      </c>
      <c r="F85" s="601" t="s">
        <v>319</v>
      </c>
      <c r="G85" s="601" t="s">
        <v>449</v>
      </c>
      <c r="H85" s="601" t="s">
        <v>325</v>
      </c>
      <c r="I85" s="601" t="s">
        <v>480</v>
      </c>
      <c r="J85" s="575"/>
      <c r="K85" s="575"/>
      <c r="L85" s="575"/>
      <c r="M85" s="575"/>
      <c r="N85" s="575"/>
      <c r="O85" s="575"/>
    </row>
    <row r="86" spans="1:15" x14ac:dyDescent="0.25">
      <c r="A86" s="601" t="s">
        <v>448</v>
      </c>
      <c r="B86" s="636">
        <v>1.0249999999999999</v>
      </c>
      <c r="C86" s="601"/>
      <c r="D86" s="601" t="s">
        <v>319</v>
      </c>
      <c r="E86" s="601" t="s">
        <v>319</v>
      </c>
      <c r="F86" s="601" t="s">
        <v>319</v>
      </c>
      <c r="G86" s="601" t="s">
        <v>449</v>
      </c>
      <c r="H86" s="601" t="s">
        <v>325</v>
      </c>
      <c r="I86" s="601" t="s">
        <v>481</v>
      </c>
      <c r="J86" s="575"/>
      <c r="K86" s="575"/>
      <c r="L86" s="575"/>
      <c r="M86" s="575"/>
      <c r="N86" s="575"/>
      <c r="O86" s="575"/>
    </row>
    <row r="87" spans="1:15" x14ac:dyDescent="0.25">
      <c r="A87" s="601" t="s">
        <v>448</v>
      </c>
      <c r="B87" s="636">
        <v>1</v>
      </c>
      <c r="C87" s="601"/>
      <c r="D87" s="601" t="s">
        <v>319</v>
      </c>
      <c r="E87" s="601" t="s">
        <v>319</v>
      </c>
      <c r="F87" s="601" t="s">
        <v>319</v>
      </c>
      <c r="G87" s="601" t="s">
        <v>449</v>
      </c>
      <c r="H87" s="601" t="s">
        <v>325</v>
      </c>
      <c r="I87" s="601" t="s">
        <v>482</v>
      </c>
      <c r="J87" s="575"/>
      <c r="K87" s="575"/>
      <c r="L87" s="575"/>
      <c r="M87" s="575"/>
      <c r="N87" s="575"/>
      <c r="O87" s="575"/>
    </row>
    <row r="88" spans="1:15" x14ac:dyDescent="0.25">
      <c r="A88" s="601" t="s">
        <v>448</v>
      </c>
      <c r="B88" s="636">
        <v>1</v>
      </c>
      <c r="C88" s="601"/>
      <c r="D88" s="601" t="s">
        <v>319</v>
      </c>
      <c r="E88" s="601" t="s">
        <v>319</v>
      </c>
      <c r="F88" s="601" t="s">
        <v>319</v>
      </c>
      <c r="G88" s="601" t="s">
        <v>449</v>
      </c>
      <c r="H88" s="601" t="s">
        <v>325</v>
      </c>
      <c r="I88" s="601" t="s">
        <v>483</v>
      </c>
      <c r="J88" s="575"/>
      <c r="K88" s="575"/>
      <c r="L88" s="575"/>
      <c r="M88" s="575"/>
      <c r="N88" s="575"/>
      <c r="O88" s="575"/>
    </row>
    <row r="89" spans="1:15" x14ac:dyDescent="0.25">
      <c r="A89" s="601" t="s">
        <v>448</v>
      </c>
      <c r="B89" s="636">
        <v>1</v>
      </c>
      <c r="C89" s="601"/>
      <c r="D89" s="601" t="s">
        <v>319</v>
      </c>
      <c r="E89" s="601" t="s">
        <v>319</v>
      </c>
      <c r="F89" s="601" t="s">
        <v>319</v>
      </c>
      <c r="G89" s="601" t="s">
        <v>449</v>
      </c>
      <c r="H89" s="601" t="s">
        <v>325</v>
      </c>
      <c r="I89" s="601" t="s">
        <v>484</v>
      </c>
      <c r="J89" s="575"/>
      <c r="K89" s="575"/>
      <c r="L89" s="575"/>
      <c r="M89" s="575"/>
      <c r="N89" s="575"/>
      <c r="O89" s="575"/>
    </row>
    <row r="90" spans="1:15" x14ac:dyDescent="0.25">
      <c r="A90" s="601" t="s">
        <v>448</v>
      </c>
      <c r="B90" s="636">
        <v>1</v>
      </c>
      <c r="C90" s="601"/>
      <c r="D90" s="601" t="s">
        <v>319</v>
      </c>
      <c r="E90" s="601" t="s">
        <v>319</v>
      </c>
      <c r="F90" s="601" t="s">
        <v>319</v>
      </c>
      <c r="G90" s="601" t="s">
        <v>449</v>
      </c>
      <c r="H90" s="601" t="s">
        <v>325</v>
      </c>
      <c r="I90" s="601" t="s">
        <v>485</v>
      </c>
      <c r="J90" s="575"/>
      <c r="K90" s="575"/>
      <c r="L90" s="575"/>
      <c r="M90" s="575"/>
      <c r="N90" s="575"/>
      <c r="O90" s="575"/>
    </row>
    <row r="91" spans="1:15" x14ac:dyDescent="0.25">
      <c r="A91" s="601" t="s">
        <v>448</v>
      </c>
      <c r="B91" s="636">
        <v>1</v>
      </c>
      <c r="C91" s="601"/>
      <c r="D91" s="601" t="s">
        <v>319</v>
      </c>
      <c r="E91" s="601" t="s">
        <v>319</v>
      </c>
      <c r="F91" s="601" t="s">
        <v>319</v>
      </c>
      <c r="G91" s="601" t="s">
        <v>449</v>
      </c>
      <c r="H91" s="601" t="s">
        <v>325</v>
      </c>
      <c r="I91" s="601" t="s">
        <v>486</v>
      </c>
      <c r="J91" s="575"/>
      <c r="K91" s="575"/>
      <c r="L91" s="575"/>
      <c r="M91" s="575"/>
      <c r="N91" s="575"/>
      <c r="O91" s="575"/>
    </row>
    <row r="92" spans="1:15" x14ac:dyDescent="0.25">
      <c r="A92" s="601" t="s">
        <v>448</v>
      </c>
      <c r="B92" s="636">
        <v>1</v>
      </c>
      <c r="C92" s="601"/>
      <c r="D92" s="601" t="s">
        <v>319</v>
      </c>
      <c r="E92" s="601" t="s">
        <v>319</v>
      </c>
      <c r="F92" s="601" t="s">
        <v>319</v>
      </c>
      <c r="G92" s="601" t="s">
        <v>449</v>
      </c>
      <c r="H92" s="601" t="s">
        <v>325</v>
      </c>
      <c r="I92" s="601" t="s">
        <v>487</v>
      </c>
      <c r="J92" s="575"/>
      <c r="K92" s="575"/>
      <c r="L92" s="575"/>
      <c r="M92" s="575"/>
      <c r="N92" s="575"/>
      <c r="O92" s="575"/>
    </row>
    <row r="93" spans="1:15" x14ac:dyDescent="0.25">
      <c r="A93" s="601" t="s">
        <v>448</v>
      </c>
      <c r="B93" s="636">
        <v>1</v>
      </c>
      <c r="C93" s="601"/>
      <c r="D93" s="601" t="s">
        <v>319</v>
      </c>
      <c r="E93" s="601" t="s">
        <v>319</v>
      </c>
      <c r="F93" s="601" t="s">
        <v>319</v>
      </c>
      <c r="G93" s="601" t="s">
        <v>449</v>
      </c>
      <c r="H93" s="601" t="s">
        <v>325</v>
      </c>
      <c r="I93" s="601" t="s">
        <v>488</v>
      </c>
      <c r="J93" s="575"/>
      <c r="K93" s="575"/>
      <c r="L93" s="575"/>
      <c r="M93" s="575"/>
      <c r="N93" s="575"/>
      <c r="O93" s="575"/>
    </row>
    <row r="94" spans="1:15" x14ac:dyDescent="0.25">
      <c r="A94" s="601" t="s">
        <v>448</v>
      </c>
      <c r="B94" s="636">
        <v>1</v>
      </c>
      <c r="C94" s="601"/>
      <c r="D94" s="601" t="s">
        <v>319</v>
      </c>
      <c r="E94" s="601" t="s">
        <v>319</v>
      </c>
      <c r="F94" s="601" t="s">
        <v>319</v>
      </c>
      <c r="G94" s="601" t="s">
        <v>449</v>
      </c>
      <c r="H94" s="601" t="s">
        <v>325</v>
      </c>
      <c r="I94" s="601" t="s">
        <v>489</v>
      </c>
      <c r="J94" s="575"/>
      <c r="K94" s="575"/>
      <c r="L94" s="575"/>
      <c r="M94" s="575"/>
      <c r="N94" s="575"/>
      <c r="O94" s="575"/>
    </row>
    <row r="95" spans="1:15" x14ac:dyDescent="0.25">
      <c r="A95" s="601" t="s">
        <v>448</v>
      </c>
      <c r="B95" s="636">
        <v>1</v>
      </c>
      <c r="C95" s="601"/>
      <c r="D95" s="601" t="s">
        <v>319</v>
      </c>
      <c r="E95" s="601" t="s">
        <v>319</v>
      </c>
      <c r="F95" s="601" t="s">
        <v>319</v>
      </c>
      <c r="G95" s="601" t="s">
        <v>449</v>
      </c>
      <c r="H95" s="601" t="s">
        <v>325</v>
      </c>
      <c r="I95" s="601" t="s">
        <v>490</v>
      </c>
      <c r="J95" s="575"/>
      <c r="K95" s="575"/>
      <c r="L95" s="575"/>
      <c r="M95" s="575"/>
      <c r="N95" s="575"/>
      <c r="O95" s="575"/>
    </row>
    <row r="96" spans="1:15" x14ac:dyDescent="0.25">
      <c r="A96" s="601" t="s">
        <v>448</v>
      </c>
      <c r="B96" s="636">
        <v>1</v>
      </c>
      <c r="C96" s="601"/>
      <c r="D96" s="601" t="s">
        <v>319</v>
      </c>
      <c r="E96" s="601" t="s">
        <v>319</v>
      </c>
      <c r="F96" s="601" t="s">
        <v>319</v>
      </c>
      <c r="G96" s="601" t="s">
        <v>449</v>
      </c>
      <c r="H96" s="601" t="s">
        <v>325</v>
      </c>
      <c r="I96" s="601" t="s">
        <v>491</v>
      </c>
      <c r="J96" s="575"/>
      <c r="K96" s="575"/>
      <c r="L96" s="575"/>
      <c r="M96" s="575"/>
      <c r="N96" s="575"/>
      <c r="O96" s="575"/>
    </row>
    <row r="97" spans="1:15" x14ac:dyDescent="0.25">
      <c r="A97" s="601" t="s">
        <v>448</v>
      </c>
      <c r="B97" s="636">
        <v>1</v>
      </c>
      <c r="C97" s="601"/>
      <c r="D97" s="601" t="s">
        <v>319</v>
      </c>
      <c r="E97" s="601" t="s">
        <v>319</v>
      </c>
      <c r="F97" s="601" t="s">
        <v>319</v>
      </c>
      <c r="G97" s="601" t="s">
        <v>449</v>
      </c>
      <c r="H97" s="601" t="s">
        <v>325</v>
      </c>
      <c r="I97" s="601" t="s">
        <v>492</v>
      </c>
      <c r="J97" s="575"/>
      <c r="K97" s="575"/>
      <c r="L97" s="575"/>
      <c r="M97" s="575"/>
      <c r="N97" s="575"/>
      <c r="O97" s="575"/>
    </row>
    <row r="98" spans="1:15" x14ac:dyDescent="0.25">
      <c r="A98" s="601" t="s">
        <v>448</v>
      </c>
      <c r="B98" s="636">
        <v>1</v>
      </c>
      <c r="C98" s="601"/>
      <c r="D98" s="601" t="s">
        <v>319</v>
      </c>
      <c r="E98" s="601" t="s">
        <v>319</v>
      </c>
      <c r="F98" s="601" t="s">
        <v>319</v>
      </c>
      <c r="G98" s="601" t="s">
        <v>449</v>
      </c>
      <c r="H98" s="601" t="s">
        <v>325</v>
      </c>
      <c r="I98" s="601" t="s">
        <v>493</v>
      </c>
      <c r="J98" s="575"/>
      <c r="K98" s="575"/>
      <c r="L98" s="575"/>
      <c r="M98" s="575"/>
      <c r="N98" s="575"/>
      <c r="O98" s="575"/>
    </row>
    <row r="99" spans="1:15" x14ac:dyDescent="0.25">
      <c r="A99" s="601" t="s">
        <v>448</v>
      </c>
      <c r="B99" s="636">
        <v>1</v>
      </c>
      <c r="C99" s="601"/>
      <c r="D99" s="601" t="s">
        <v>319</v>
      </c>
      <c r="E99" s="601" t="s">
        <v>319</v>
      </c>
      <c r="F99" s="601" t="s">
        <v>319</v>
      </c>
      <c r="G99" s="601" t="s">
        <v>449</v>
      </c>
      <c r="H99" s="601" t="s">
        <v>325</v>
      </c>
      <c r="I99" s="601" t="s">
        <v>494</v>
      </c>
      <c r="J99" s="575"/>
      <c r="K99" s="575"/>
      <c r="L99" s="575"/>
      <c r="M99" s="575"/>
      <c r="N99" s="575"/>
      <c r="O99" s="575"/>
    </row>
    <row r="100" spans="1:15" x14ac:dyDescent="0.25">
      <c r="A100" s="601" t="s">
        <v>448</v>
      </c>
      <c r="B100" s="636">
        <v>1</v>
      </c>
      <c r="C100" s="601"/>
      <c r="D100" s="601" t="s">
        <v>319</v>
      </c>
      <c r="E100" s="601" t="s">
        <v>319</v>
      </c>
      <c r="F100" s="601" t="s">
        <v>319</v>
      </c>
      <c r="G100" s="601" t="s">
        <v>449</v>
      </c>
      <c r="H100" s="601" t="s">
        <v>325</v>
      </c>
      <c r="I100" s="601" t="s">
        <v>495</v>
      </c>
      <c r="J100" s="575"/>
      <c r="K100" s="575"/>
      <c r="L100" s="575"/>
      <c r="M100" s="575"/>
      <c r="N100" s="575"/>
      <c r="O100" s="575"/>
    </row>
    <row r="101" spans="1:15" x14ac:dyDescent="0.25">
      <c r="A101" s="601" t="s">
        <v>448</v>
      </c>
      <c r="B101" s="636">
        <v>1</v>
      </c>
      <c r="C101" s="601"/>
      <c r="D101" s="601" t="s">
        <v>319</v>
      </c>
      <c r="E101" s="601" t="s">
        <v>319</v>
      </c>
      <c r="F101" s="601" t="s">
        <v>319</v>
      </c>
      <c r="G101" s="601" t="s">
        <v>449</v>
      </c>
      <c r="H101" s="601" t="s">
        <v>325</v>
      </c>
      <c r="I101" s="601" t="s">
        <v>496</v>
      </c>
      <c r="J101" s="575"/>
      <c r="K101" s="575"/>
      <c r="L101" s="575"/>
      <c r="M101" s="575"/>
      <c r="N101" s="575"/>
      <c r="O101" s="575"/>
    </row>
    <row r="102" spans="1:15" x14ac:dyDescent="0.25">
      <c r="A102" s="601" t="s">
        <v>448</v>
      </c>
      <c r="B102" s="636">
        <v>1</v>
      </c>
      <c r="C102" s="601"/>
      <c r="D102" s="601" t="s">
        <v>319</v>
      </c>
      <c r="E102" s="601" t="s">
        <v>319</v>
      </c>
      <c r="F102" s="601" t="s">
        <v>319</v>
      </c>
      <c r="G102" s="601" t="s">
        <v>449</v>
      </c>
      <c r="H102" s="601" t="s">
        <v>325</v>
      </c>
      <c r="I102" s="601" t="s">
        <v>497</v>
      </c>
      <c r="J102" s="575"/>
      <c r="K102" s="575"/>
      <c r="L102" s="575"/>
      <c r="M102" s="575"/>
      <c r="N102" s="575"/>
      <c r="O102" s="575"/>
    </row>
    <row r="103" spans="1:15" x14ac:dyDescent="0.25">
      <c r="A103" s="601" t="s">
        <v>448</v>
      </c>
      <c r="B103" s="636">
        <v>1</v>
      </c>
      <c r="C103" s="601"/>
      <c r="D103" s="601" t="s">
        <v>319</v>
      </c>
      <c r="E103" s="601" t="s">
        <v>319</v>
      </c>
      <c r="F103" s="601" t="s">
        <v>319</v>
      </c>
      <c r="G103" s="601" t="s">
        <v>449</v>
      </c>
      <c r="H103" s="601" t="s">
        <v>325</v>
      </c>
      <c r="I103" s="601" t="s">
        <v>498</v>
      </c>
      <c r="J103" s="575"/>
      <c r="K103" s="575"/>
      <c r="L103" s="575"/>
      <c r="M103" s="575"/>
      <c r="N103" s="575"/>
      <c r="O103" s="575"/>
    </row>
    <row r="104" spans="1:15" x14ac:dyDescent="0.25">
      <c r="A104" s="601" t="s">
        <v>448</v>
      </c>
      <c r="B104" s="636">
        <v>1</v>
      </c>
      <c r="C104" s="601"/>
      <c r="D104" s="601" t="s">
        <v>319</v>
      </c>
      <c r="E104" s="601" t="s">
        <v>319</v>
      </c>
      <c r="F104" s="601" t="s">
        <v>319</v>
      </c>
      <c r="G104" s="601" t="s">
        <v>449</v>
      </c>
      <c r="H104" s="601" t="s">
        <v>325</v>
      </c>
      <c r="I104" s="601" t="s">
        <v>499</v>
      </c>
      <c r="J104" s="575"/>
      <c r="K104" s="575"/>
      <c r="L104" s="575"/>
      <c r="M104" s="575"/>
      <c r="N104" s="575"/>
      <c r="O104" s="575"/>
    </row>
    <row r="105" spans="1:15" x14ac:dyDescent="0.25">
      <c r="A105" s="601" t="s">
        <v>448</v>
      </c>
      <c r="B105" s="636">
        <v>1</v>
      </c>
      <c r="C105" s="601"/>
      <c r="D105" s="601" t="s">
        <v>319</v>
      </c>
      <c r="E105" s="601" t="s">
        <v>319</v>
      </c>
      <c r="F105" s="601" t="s">
        <v>319</v>
      </c>
      <c r="G105" s="601" t="s">
        <v>449</v>
      </c>
      <c r="H105" s="601" t="s">
        <v>325</v>
      </c>
      <c r="I105" s="601" t="s">
        <v>500</v>
      </c>
      <c r="J105" s="575"/>
      <c r="K105" s="575"/>
      <c r="L105" s="575"/>
      <c r="M105" s="575"/>
      <c r="N105" s="575"/>
      <c r="O105" s="575"/>
    </row>
    <row r="106" spans="1:15" x14ac:dyDescent="0.25">
      <c r="A106" s="601" t="s">
        <v>448</v>
      </c>
      <c r="B106" s="636">
        <v>1</v>
      </c>
      <c r="C106" s="601"/>
      <c r="D106" s="601" t="s">
        <v>319</v>
      </c>
      <c r="E106" s="601" t="s">
        <v>319</v>
      </c>
      <c r="F106" s="601" t="s">
        <v>319</v>
      </c>
      <c r="G106" s="601" t="s">
        <v>449</v>
      </c>
      <c r="H106" s="601" t="s">
        <v>325</v>
      </c>
      <c r="I106" s="601" t="s">
        <v>501</v>
      </c>
      <c r="J106" s="575"/>
      <c r="K106" s="575"/>
      <c r="L106" s="575"/>
      <c r="M106" s="575"/>
      <c r="N106" s="575"/>
      <c r="O106" s="575"/>
    </row>
    <row r="107" spans="1:15" x14ac:dyDescent="0.25">
      <c r="A107" s="601" t="s">
        <v>448</v>
      </c>
      <c r="B107" s="636">
        <v>1</v>
      </c>
      <c r="C107" s="601"/>
      <c r="D107" s="601" t="s">
        <v>319</v>
      </c>
      <c r="E107" s="601" t="s">
        <v>319</v>
      </c>
      <c r="F107" s="601" t="s">
        <v>319</v>
      </c>
      <c r="G107" s="601" t="s">
        <v>449</v>
      </c>
      <c r="H107" s="601" t="s">
        <v>325</v>
      </c>
      <c r="I107" s="601" t="s">
        <v>502</v>
      </c>
      <c r="J107" s="575"/>
      <c r="K107" s="575"/>
      <c r="L107" s="575"/>
      <c r="M107" s="575"/>
      <c r="N107" s="575"/>
      <c r="O107" s="575"/>
    </row>
    <row r="108" spans="1:15" x14ac:dyDescent="0.25">
      <c r="A108" s="601" t="s">
        <v>448</v>
      </c>
      <c r="B108" s="636">
        <v>1</v>
      </c>
      <c r="C108" s="601"/>
      <c r="D108" s="601" t="s">
        <v>319</v>
      </c>
      <c r="E108" s="601" t="s">
        <v>319</v>
      </c>
      <c r="F108" s="601" t="s">
        <v>319</v>
      </c>
      <c r="G108" s="601" t="s">
        <v>449</v>
      </c>
      <c r="H108" s="601" t="s">
        <v>325</v>
      </c>
      <c r="I108" s="601" t="s">
        <v>503</v>
      </c>
      <c r="J108" s="575"/>
      <c r="K108" s="575"/>
      <c r="L108" s="575"/>
      <c r="M108" s="575"/>
      <c r="N108" s="575"/>
      <c r="O108" s="575"/>
    </row>
    <row r="109" spans="1:15" x14ac:dyDescent="0.25">
      <c r="A109" s="601" t="s">
        <v>448</v>
      </c>
      <c r="B109" s="636">
        <v>1</v>
      </c>
      <c r="C109" s="601"/>
      <c r="D109" s="601" t="s">
        <v>319</v>
      </c>
      <c r="E109" s="601" t="s">
        <v>319</v>
      </c>
      <c r="F109" s="601" t="s">
        <v>319</v>
      </c>
      <c r="G109" s="601" t="s">
        <v>449</v>
      </c>
      <c r="H109" s="601" t="s">
        <v>325</v>
      </c>
      <c r="I109" s="601" t="s">
        <v>504</v>
      </c>
      <c r="J109" s="575"/>
      <c r="K109" s="575"/>
      <c r="L109" s="575"/>
      <c r="M109" s="575"/>
      <c r="N109" s="575"/>
      <c r="O109" s="575"/>
    </row>
  </sheetData>
  <autoFilter ref="A1:O1" xr:uid="{7980213A-A305-4FBE-9FAC-46A1C6042A2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6D66-396F-44C8-B91F-7483E68C27F2}">
  <sheetPr filterMode="1">
    <tabColor rgb="FFFFFF00"/>
  </sheetPr>
  <dimension ref="A1:O283"/>
  <sheetViews>
    <sheetView workbookViewId="0">
      <pane ySplit="1" topLeftCell="A279" activePane="bottomLeft" state="frozen"/>
      <selection activeCell="P38" sqref="P38"/>
      <selection pane="bottomLeft" activeCell="A282" sqref="A1:O283"/>
    </sheetView>
  </sheetViews>
  <sheetFormatPr defaultColWidth="9.1796875" defaultRowHeight="10.5" x14ac:dyDescent="0.25"/>
  <cols>
    <col min="1" max="1" width="15.54296875" style="570" bestFit="1" customWidth="1"/>
    <col min="2" max="2" width="10.7265625" style="573" bestFit="1" customWidth="1"/>
    <col min="3" max="3" width="4.7265625" style="570" customWidth="1"/>
    <col min="4" max="4" width="5.7265625" style="570" customWidth="1"/>
    <col min="5" max="5" width="5.26953125" style="570" customWidth="1"/>
    <col min="6" max="6" width="6.4531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hidden="1"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hidden="1"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hidden="1"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hidden="1"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hidden="1"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hidden="1"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hidden="1"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hidden="1"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hidden="1"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hidden="1"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hidden="1"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hidden="1"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hidden="1"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hidden="1"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hidden="1"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hidden="1"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hidden="1"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hidden="1"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hidden="1"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hidden="1"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hidden="1"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hidden="1"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hidden="1"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hidden="1" x14ac:dyDescent="0.25">
      <c r="A25" s="601" t="s">
        <v>327</v>
      </c>
      <c r="B25" s="602">
        <v>0.25180000000000002</v>
      </c>
      <c r="C25" s="601"/>
      <c r="D25" s="601" t="s">
        <v>319</v>
      </c>
      <c r="E25" s="601" t="s">
        <v>319</v>
      </c>
      <c r="F25" s="601" t="s">
        <v>319</v>
      </c>
      <c r="G25" s="601" t="s">
        <v>327</v>
      </c>
      <c r="H25" s="601" t="s">
        <v>322</v>
      </c>
      <c r="I25" s="603" t="s">
        <v>328</v>
      </c>
      <c r="J25" s="577"/>
      <c r="K25" s="577"/>
      <c r="L25" s="577"/>
      <c r="M25" s="577"/>
      <c r="N25" s="577"/>
      <c r="O25" s="577"/>
    </row>
    <row r="26" spans="1:15" hidden="1" x14ac:dyDescent="0.25">
      <c r="A26" s="601" t="s">
        <v>327</v>
      </c>
      <c r="B26" s="602">
        <v>0.27500000000000002</v>
      </c>
      <c r="C26" s="601"/>
      <c r="D26" s="601" t="s">
        <v>319</v>
      </c>
      <c r="E26" s="601" t="s">
        <v>319</v>
      </c>
      <c r="F26" s="601" t="s">
        <v>319</v>
      </c>
      <c r="G26" s="601" t="s">
        <v>327</v>
      </c>
      <c r="H26" s="601" t="s">
        <v>322</v>
      </c>
      <c r="I26" s="603" t="s">
        <v>329</v>
      </c>
      <c r="J26" s="577"/>
      <c r="K26" s="577"/>
      <c r="L26" s="577"/>
      <c r="M26" s="577"/>
      <c r="N26" s="577"/>
      <c r="O26" s="577"/>
    </row>
    <row r="27" spans="1:15" hidden="1" x14ac:dyDescent="0.25">
      <c r="A27" s="601" t="s">
        <v>327</v>
      </c>
      <c r="B27" s="602">
        <v>0.50119999999999998</v>
      </c>
      <c r="C27" s="601"/>
      <c r="D27" s="601" t="s">
        <v>319</v>
      </c>
      <c r="E27" s="601" t="s">
        <v>319</v>
      </c>
      <c r="F27" s="601" t="s">
        <v>319</v>
      </c>
      <c r="G27" s="601" t="s">
        <v>327</v>
      </c>
      <c r="H27" s="601" t="s">
        <v>322</v>
      </c>
      <c r="I27" s="603" t="s">
        <v>330</v>
      </c>
      <c r="J27" s="577"/>
      <c r="K27" s="577"/>
      <c r="L27" s="577"/>
      <c r="M27" s="577"/>
      <c r="N27" s="577"/>
      <c r="O27" s="577"/>
    </row>
    <row r="28" spans="1:15" hidden="1" x14ac:dyDescent="0.25">
      <c r="A28" s="601" t="s">
        <v>327</v>
      </c>
      <c r="B28" s="602">
        <v>1</v>
      </c>
      <c r="C28" s="601"/>
      <c r="D28" s="601" t="s">
        <v>319</v>
      </c>
      <c r="E28" s="601" t="s">
        <v>319</v>
      </c>
      <c r="F28" s="601" t="s">
        <v>319</v>
      </c>
      <c r="G28" s="601" t="s">
        <v>327</v>
      </c>
      <c r="H28" s="601" t="s">
        <v>322</v>
      </c>
      <c r="I28" s="603" t="s">
        <v>331</v>
      </c>
      <c r="J28" s="577"/>
      <c r="K28" s="577"/>
      <c r="L28" s="577"/>
      <c r="M28" s="577"/>
      <c r="N28" s="577"/>
      <c r="O28" s="577"/>
    </row>
    <row r="29" spans="1:15" hidden="1" x14ac:dyDescent="0.25">
      <c r="A29" s="601" t="s">
        <v>327</v>
      </c>
      <c r="B29" s="602">
        <v>1.3</v>
      </c>
      <c r="C29" s="601"/>
      <c r="D29" s="601" t="s">
        <v>319</v>
      </c>
      <c r="E29" s="601" t="s">
        <v>319</v>
      </c>
      <c r="F29" s="601" t="s">
        <v>319</v>
      </c>
      <c r="G29" s="601" t="s">
        <v>327</v>
      </c>
      <c r="H29" s="601" t="s">
        <v>322</v>
      </c>
      <c r="I29" s="603" t="s">
        <v>332</v>
      </c>
      <c r="J29" s="577"/>
      <c r="K29" s="577"/>
      <c r="L29" s="577"/>
      <c r="M29" s="577"/>
      <c r="N29" s="577"/>
      <c r="O29" s="577"/>
    </row>
    <row r="30" spans="1:15" hidden="1" x14ac:dyDescent="0.25">
      <c r="A30" s="601" t="s">
        <v>327</v>
      </c>
      <c r="B30" s="602">
        <v>1.35</v>
      </c>
      <c r="C30" s="601"/>
      <c r="D30" s="601" t="s">
        <v>319</v>
      </c>
      <c r="E30" s="601" t="s">
        <v>319</v>
      </c>
      <c r="F30" s="601" t="s">
        <v>319</v>
      </c>
      <c r="G30" s="601" t="s">
        <v>327</v>
      </c>
      <c r="H30" s="601" t="s">
        <v>322</v>
      </c>
      <c r="I30" s="603" t="s">
        <v>333</v>
      </c>
      <c r="J30" s="577"/>
      <c r="K30" s="577"/>
      <c r="L30" s="577"/>
      <c r="M30" s="577"/>
      <c r="N30" s="577"/>
      <c r="O30" s="577"/>
    </row>
    <row r="31" spans="1:15" hidden="1" x14ac:dyDescent="0.25">
      <c r="A31" s="601" t="s">
        <v>327</v>
      </c>
      <c r="B31" s="602">
        <v>1.7529999999999999</v>
      </c>
      <c r="C31" s="601"/>
      <c r="D31" s="601" t="s">
        <v>319</v>
      </c>
      <c r="E31" s="601" t="s">
        <v>319</v>
      </c>
      <c r="F31" s="601" t="s">
        <v>319</v>
      </c>
      <c r="G31" s="601" t="s">
        <v>327</v>
      </c>
      <c r="H31" s="601" t="s">
        <v>322</v>
      </c>
      <c r="I31" s="603" t="s">
        <v>334</v>
      </c>
      <c r="J31" s="577"/>
      <c r="K31" s="577"/>
      <c r="L31" s="577"/>
      <c r="M31" s="577"/>
      <c r="N31" s="577"/>
      <c r="O31" s="577"/>
    </row>
    <row r="32" spans="1:15" hidden="1" x14ac:dyDescent="0.25">
      <c r="A32" s="601" t="s">
        <v>327</v>
      </c>
      <c r="B32" s="602">
        <v>2.0024000000000002</v>
      </c>
      <c r="C32" s="601"/>
      <c r="D32" s="601" t="s">
        <v>319</v>
      </c>
      <c r="E32" s="601" t="s">
        <v>319</v>
      </c>
      <c r="F32" s="601" t="s">
        <v>319</v>
      </c>
      <c r="G32" s="601" t="s">
        <v>327</v>
      </c>
      <c r="H32" s="601" t="s">
        <v>322</v>
      </c>
      <c r="I32" s="603" t="s">
        <v>335</v>
      </c>
      <c r="J32" s="577"/>
      <c r="K32" s="577"/>
      <c r="L32" s="577"/>
      <c r="M32" s="577"/>
      <c r="N32" s="577"/>
      <c r="O32" s="577"/>
    </row>
    <row r="33" spans="1:15" hidden="1" x14ac:dyDescent="0.25">
      <c r="A33" s="630" t="s">
        <v>336</v>
      </c>
      <c r="B33" s="629">
        <v>1.02</v>
      </c>
      <c r="C33" s="630"/>
      <c r="D33" s="630" t="s">
        <v>319</v>
      </c>
      <c r="E33" s="630" t="s">
        <v>319</v>
      </c>
      <c r="F33" s="630" t="s">
        <v>319</v>
      </c>
      <c r="G33" s="630" t="s">
        <v>324</v>
      </c>
      <c r="H33" s="601" t="s">
        <v>325</v>
      </c>
      <c r="I33" s="601" t="s">
        <v>337</v>
      </c>
      <c r="J33" s="630" t="s">
        <v>338</v>
      </c>
      <c r="K33" s="630" t="s">
        <v>339</v>
      </c>
      <c r="L33" s="630" t="s">
        <v>320</v>
      </c>
      <c r="M33" s="630" t="s">
        <v>321</v>
      </c>
      <c r="N33" s="630" t="s">
        <v>340</v>
      </c>
      <c r="O33" s="630" t="s">
        <v>341</v>
      </c>
    </row>
    <row r="34" spans="1:15" hidden="1" x14ac:dyDescent="0.25">
      <c r="A34" s="630" t="s">
        <v>336</v>
      </c>
      <c r="B34" s="629">
        <v>1.02</v>
      </c>
      <c r="C34" s="630"/>
      <c r="D34" s="630" t="s">
        <v>319</v>
      </c>
      <c r="E34" s="630" t="s">
        <v>319</v>
      </c>
      <c r="F34" s="630" t="s">
        <v>319</v>
      </c>
      <c r="G34" s="630" t="s">
        <v>324</v>
      </c>
      <c r="H34" s="601" t="s">
        <v>325</v>
      </c>
      <c r="I34" s="601" t="s">
        <v>342</v>
      </c>
      <c r="J34" s="630" t="s">
        <v>338</v>
      </c>
      <c r="K34" s="630" t="s">
        <v>339</v>
      </c>
      <c r="L34" s="630" t="s">
        <v>320</v>
      </c>
      <c r="M34" s="630" t="s">
        <v>321</v>
      </c>
      <c r="N34" s="630" t="s">
        <v>340</v>
      </c>
      <c r="O34" s="630" t="s">
        <v>341</v>
      </c>
    </row>
    <row r="35" spans="1:15" hidden="1" x14ac:dyDescent="0.25">
      <c r="A35" s="630" t="s">
        <v>336</v>
      </c>
      <c r="B35" s="629">
        <v>1.02</v>
      </c>
      <c r="C35" s="630"/>
      <c r="D35" s="630" t="s">
        <v>319</v>
      </c>
      <c r="E35" s="630" t="s">
        <v>319</v>
      </c>
      <c r="F35" s="630" t="s">
        <v>319</v>
      </c>
      <c r="G35" s="630" t="s">
        <v>324</v>
      </c>
      <c r="H35" s="601" t="s">
        <v>325</v>
      </c>
      <c r="I35" s="601" t="s">
        <v>343</v>
      </c>
      <c r="J35" s="630" t="s">
        <v>338</v>
      </c>
      <c r="K35" s="630" t="s">
        <v>339</v>
      </c>
      <c r="L35" s="630" t="s">
        <v>320</v>
      </c>
      <c r="M35" s="630" t="s">
        <v>321</v>
      </c>
      <c r="N35" s="630" t="s">
        <v>340</v>
      </c>
      <c r="O35" s="630" t="s">
        <v>341</v>
      </c>
    </row>
    <row r="36" spans="1:15" hidden="1" x14ac:dyDescent="0.25">
      <c r="A36" s="630" t="s">
        <v>336</v>
      </c>
      <c r="B36" s="629">
        <v>1.02</v>
      </c>
      <c r="C36" s="630"/>
      <c r="D36" s="630" t="s">
        <v>319</v>
      </c>
      <c r="E36" s="630" t="s">
        <v>319</v>
      </c>
      <c r="F36" s="630" t="s">
        <v>319</v>
      </c>
      <c r="G36" s="630" t="s">
        <v>324</v>
      </c>
      <c r="H36" s="601" t="s">
        <v>325</v>
      </c>
      <c r="I36" s="601" t="s">
        <v>344</v>
      </c>
      <c r="J36" s="630" t="s">
        <v>338</v>
      </c>
      <c r="K36" s="630" t="s">
        <v>339</v>
      </c>
      <c r="L36" s="630" t="s">
        <v>320</v>
      </c>
      <c r="M36" s="630" t="s">
        <v>321</v>
      </c>
      <c r="N36" s="630" t="s">
        <v>340</v>
      </c>
      <c r="O36" s="630" t="s">
        <v>341</v>
      </c>
    </row>
    <row r="37" spans="1:15" hidden="1" x14ac:dyDescent="0.25">
      <c r="A37" s="630" t="s">
        <v>336</v>
      </c>
      <c r="B37" s="629">
        <v>1.02</v>
      </c>
      <c r="C37" s="630"/>
      <c r="D37" s="630" t="s">
        <v>319</v>
      </c>
      <c r="E37" s="630" t="s">
        <v>319</v>
      </c>
      <c r="F37" s="630" t="s">
        <v>319</v>
      </c>
      <c r="G37" s="630" t="s">
        <v>324</v>
      </c>
      <c r="H37" s="601" t="s">
        <v>325</v>
      </c>
      <c r="I37" s="601" t="s">
        <v>345</v>
      </c>
      <c r="J37" s="630" t="s">
        <v>338</v>
      </c>
      <c r="K37" s="630" t="s">
        <v>339</v>
      </c>
      <c r="L37" s="630" t="s">
        <v>320</v>
      </c>
      <c r="M37" s="630" t="s">
        <v>321</v>
      </c>
      <c r="N37" s="630" t="s">
        <v>340</v>
      </c>
      <c r="O37" s="630" t="s">
        <v>341</v>
      </c>
    </row>
    <row r="38" spans="1:15" hidden="1" x14ac:dyDescent="0.25">
      <c r="A38" s="630" t="s">
        <v>336</v>
      </c>
      <c r="B38" s="629">
        <v>1.08</v>
      </c>
      <c r="C38" s="630"/>
      <c r="D38" s="630" t="s">
        <v>319</v>
      </c>
      <c r="E38" s="630" t="s">
        <v>319</v>
      </c>
      <c r="F38" s="630" t="s">
        <v>319</v>
      </c>
      <c r="G38" s="630" t="s">
        <v>324</v>
      </c>
      <c r="H38" s="601" t="s">
        <v>325</v>
      </c>
      <c r="I38" s="601" t="s">
        <v>346</v>
      </c>
      <c r="J38" s="630" t="s">
        <v>338</v>
      </c>
      <c r="K38" s="630" t="s">
        <v>339</v>
      </c>
      <c r="L38" s="630" t="s">
        <v>320</v>
      </c>
      <c r="M38" s="630" t="s">
        <v>321</v>
      </c>
      <c r="N38" s="630" t="s">
        <v>340</v>
      </c>
      <c r="O38" s="630" t="s">
        <v>341</v>
      </c>
    </row>
    <row r="39" spans="1:15" hidden="1" x14ac:dyDescent="0.25">
      <c r="A39" s="630" t="s">
        <v>336</v>
      </c>
      <c r="B39" s="629">
        <v>1.08</v>
      </c>
      <c r="C39" s="630"/>
      <c r="D39" s="630" t="s">
        <v>319</v>
      </c>
      <c r="E39" s="630" t="s">
        <v>319</v>
      </c>
      <c r="F39" s="630" t="s">
        <v>319</v>
      </c>
      <c r="G39" s="630" t="s">
        <v>324</v>
      </c>
      <c r="H39" s="601" t="s">
        <v>325</v>
      </c>
      <c r="I39" s="601" t="s">
        <v>347</v>
      </c>
      <c r="J39" s="630" t="s">
        <v>338</v>
      </c>
      <c r="K39" s="630" t="s">
        <v>339</v>
      </c>
      <c r="L39" s="630" t="s">
        <v>320</v>
      </c>
      <c r="M39" s="630" t="s">
        <v>321</v>
      </c>
      <c r="N39" s="630" t="s">
        <v>340</v>
      </c>
      <c r="O39" s="630" t="s">
        <v>341</v>
      </c>
    </row>
    <row r="40" spans="1:15" hidden="1" x14ac:dyDescent="0.25">
      <c r="A40" s="630" t="s">
        <v>336</v>
      </c>
      <c r="B40" s="629">
        <v>1.08</v>
      </c>
      <c r="C40" s="630"/>
      <c r="D40" s="630" t="s">
        <v>319</v>
      </c>
      <c r="E40" s="630" t="s">
        <v>319</v>
      </c>
      <c r="F40" s="630" t="s">
        <v>319</v>
      </c>
      <c r="G40" s="630" t="s">
        <v>324</v>
      </c>
      <c r="H40" s="601" t="s">
        <v>325</v>
      </c>
      <c r="I40" s="601" t="s">
        <v>348</v>
      </c>
      <c r="J40" s="630" t="s">
        <v>338</v>
      </c>
      <c r="K40" s="630" t="s">
        <v>339</v>
      </c>
      <c r="L40" s="630" t="s">
        <v>320</v>
      </c>
      <c r="M40" s="630" t="s">
        <v>321</v>
      </c>
      <c r="N40" s="630" t="s">
        <v>340</v>
      </c>
      <c r="O40" s="630" t="s">
        <v>341</v>
      </c>
    </row>
    <row r="41" spans="1:15" hidden="1" x14ac:dyDescent="0.25">
      <c r="A41" s="630" t="s">
        <v>336</v>
      </c>
      <c r="B41" s="629">
        <v>1.08</v>
      </c>
      <c r="C41" s="630"/>
      <c r="D41" s="630" t="s">
        <v>319</v>
      </c>
      <c r="E41" s="630" t="s">
        <v>319</v>
      </c>
      <c r="F41" s="630" t="s">
        <v>319</v>
      </c>
      <c r="G41" s="630" t="s">
        <v>324</v>
      </c>
      <c r="H41" s="601" t="s">
        <v>325</v>
      </c>
      <c r="I41" s="601" t="s">
        <v>349</v>
      </c>
      <c r="J41" s="630" t="s">
        <v>338</v>
      </c>
      <c r="K41" s="630" t="s">
        <v>339</v>
      </c>
      <c r="L41" s="630" t="s">
        <v>320</v>
      </c>
      <c r="M41" s="630" t="s">
        <v>321</v>
      </c>
      <c r="N41" s="630" t="s">
        <v>340</v>
      </c>
      <c r="O41" s="630" t="s">
        <v>341</v>
      </c>
    </row>
    <row r="42" spans="1:15" hidden="1" x14ac:dyDescent="0.25">
      <c r="A42" s="630" t="s">
        <v>336</v>
      </c>
      <c r="B42" s="629">
        <v>1.08</v>
      </c>
      <c r="C42" s="630"/>
      <c r="D42" s="630" t="s">
        <v>319</v>
      </c>
      <c r="E42" s="630" t="s">
        <v>319</v>
      </c>
      <c r="F42" s="630" t="s">
        <v>319</v>
      </c>
      <c r="G42" s="630" t="s">
        <v>324</v>
      </c>
      <c r="H42" s="601" t="s">
        <v>325</v>
      </c>
      <c r="I42" s="601" t="s">
        <v>350</v>
      </c>
      <c r="J42" s="630" t="s">
        <v>338</v>
      </c>
      <c r="K42" s="630" t="s">
        <v>339</v>
      </c>
      <c r="L42" s="630" t="s">
        <v>320</v>
      </c>
      <c r="M42" s="630" t="s">
        <v>321</v>
      </c>
      <c r="N42" s="630" t="s">
        <v>340</v>
      </c>
      <c r="O42" s="630" t="s">
        <v>341</v>
      </c>
    </row>
    <row r="43" spans="1:15" hidden="1" x14ac:dyDescent="0.25">
      <c r="A43" s="630" t="s">
        <v>336</v>
      </c>
      <c r="B43" s="629">
        <v>1.08</v>
      </c>
      <c r="C43" s="630"/>
      <c r="D43" s="630" t="s">
        <v>319</v>
      </c>
      <c r="E43" s="630" t="s">
        <v>319</v>
      </c>
      <c r="F43" s="630" t="s">
        <v>319</v>
      </c>
      <c r="G43" s="630" t="s">
        <v>324</v>
      </c>
      <c r="H43" s="601" t="s">
        <v>325</v>
      </c>
      <c r="I43" s="601" t="s">
        <v>351</v>
      </c>
      <c r="J43" s="630" t="s">
        <v>338</v>
      </c>
      <c r="K43" s="630" t="s">
        <v>339</v>
      </c>
      <c r="L43" s="630" t="s">
        <v>320</v>
      </c>
      <c r="M43" s="630" t="s">
        <v>321</v>
      </c>
      <c r="N43" s="630" t="s">
        <v>340</v>
      </c>
      <c r="O43" s="630" t="s">
        <v>341</v>
      </c>
    </row>
    <row r="44" spans="1:15" hidden="1" x14ac:dyDescent="0.25">
      <c r="A44" s="630" t="s">
        <v>336</v>
      </c>
      <c r="B44" s="629">
        <v>1.08</v>
      </c>
      <c r="C44" s="630"/>
      <c r="D44" s="630" t="s">
        <v>319</v>
      </c>
      <c r="E44" s="630" t="s">
        <v>319</v>
      </c>
      <c r="F44" s="630" t="s">
        <v>319</v>
      </c>
      <c r="G44" s="630" t="s">
        <v>324</v>
      </c>
      <c r="H44" s="601" t="s">
        <v>325</v>
      </c>
      <c r="I44" s="601" t="s">
        <v>352</v>
      </c>
      <c r="J44" s="630" t="s">
        <v>338</v>
      </c>
      <c r="K44" s="630" t="s">
        <v>339</v>
      </c>
      <c r="L44" s="630" t="s">
        <v>320</v>
      </c>
      <c r="M44" s="630" t="s">
        <v>321</v>
      </c>
      <c r="N44" s="630" t="s">
        <v>340</v>
      </c>
      <c r="O44" s="630" t="s">
        <v>341</v>
      </c>
    </row>
    <row r="45" spans="1:15" hidden="1" x14ac:dyDescent="0.25">
      <c r="A45" s="630" t="s">
        <v>336</v>
      </c>
      <c r="B45" s="629">
        <v>1.08</v>
      </c>
      <c r="C45" s="630"/>
      <c r="D45" s="630" t="s">
        <v>319</v>
      </c>
      <c r="E45" s="630" t="s">
        <v>319</v>
      </c>
      <c r="F45" s="630" t="s">
        <v>319</v>
      </c>
      <c r="G45" s="630" t="s">
        <v>324</v>
      </c>
      <c r="H45" s="601" t="s">
        <v>325</v>
      </c>
      <c r="I45" s="601" t="s">
        <v>353</v>
      </c>
      <c r="J45" s="630" t="s">
        <v>338</v>
      </c>
      <c r="K45" s="630" t="s">
        <v>339</v>
      </c>
      <c r="L45" s="630" t="s">
        <v>320</v>
      </c>
      <c r="M45" s="630" t="s">
        <v>321</v>
      </c>
      <c r="N45" s="630" t="s">
        <v>340</v>
      </c>
      <c r="O45" s="630" t="s">
        <v>341</v>
      </c>
    </row>
    <row r="46" spans="1:15" hidden="1" x14ac:dyDescent="0.25">
      <c r="A46" s="630" t="s">
        <v>336</v>
      </c>
      <c r="B46" s="629">
        <v>1.08</v>
      </c>
      <c r="C46" s="630"/>
      <c r="D46" s="630" t="s">
        <v>319</v>
      </c>
      <c r="E46" s="630" t="s">
        <v>319</v>
      </c>
      <c r="F46" s="630" t="s">
        <v>319</v>
      </c>
      <c r="G46" s="630" t="s">
        <v>324</v>
      </c>
      <c r="H46" s="601" t="s">
        <v>325</v>
      </c>
      <c r="I46" s="601" t="s">
        <v>354</v>
      </c>
      <c r="J46" s="630" t="s">
        <v>338</v>
      </c>
      <c r="K46" s="630" t="s">
        <v>339</v>
      </c>
      <c r="L46" s="630" t="s">
        <v>320</v>
      </c>
      <c r="M46" s="630" t="s">
        <v>321</v>
      </c>
      <c r="N46" s="630" t="s">
        <v>340</v>
      </c>
      <c r="O46" s="630" t="s">
        <v>341</v>
      </c>
    </row>
    <row r="47" spans="1:15" hidden="1" x14ac:dyDescent="0.25">
      <c r="A47" s="630" t="s">
        <v>336</v>
      </c>
      <c r="B47" s="629">
        <v>1.08</v>
      </c>
      <c r="C47" s="630"/>
      <c r="D47" s="630" t="s">
        <v>319</v>
      </c>
      <c r="E47" s="630" t="s">
        <v>319</v>
      </c>
      <c r="F47" s="630" t="s">
        <v>319</v>
      </c>
      <c r="G47" s="630" t="s">
        <v>324</v>
      </c>
      <c r="H47" s="601" t="s">
        <v>325</v>
      </c>
      <c r="I47" s="601" t="s">
        <v>355</v>
      </c>
      <c r="J47" s="630" t="s">
        <v>338</v>
      </c>
      <c r="K47" s="630" t="s">
        <v>339</v>
      </c>
      <c r="L47" s="630" t="s">
        <v>320</v>
      </c>
      <c r="M47" s="630" t="s">
        <v>321</v>
      </c>
      <c r="N47" s="630" t="s">
        <v>340</v>
      </c>
      <c r="O47" s="630" t="s">
        <v>341</v>
      </c>
    </row>
    <row r="48" spans="1:15" hidden="1" x14ac:dyDescent="0.25">
      <c r="A48" s="630" t="s">
        <v>336</v>
      </c>
      <c r="B48" s="629">
        <v>1.2</v>
      </c>
      <c r="C48" s="630"/>
      <c r="D48" s="630" t="s">
        <v>319</v>
      </c>
      <c r="E48" s="630" t="s">
        <v>319</v>
      </c>
      <c r="F48" s="630" t="s">
        <v>319</v>
      </c>
      <c r="G48" s="630" t="s">
        <v>324</v>
      </c>
      <c r="H48" s="601" t="s">
        <v>325</v>
      </c>
      <c r="I48" s="601" t="s">
        <v>356</v>
      </c>
      <c r="J48" s="630" t="s">
        <v>338</v>
      </c>
      <c r="K48" s="630" t="s">
        <v>339</v>
      </c>
      <c r="L48" s="630" t="s">
        <v>320</v>
      </c>
      <c r="M48" s="630" t="s">
        <v>321</v>
      </c>
      <c r="N48" s="630" t="s">
        <v>340</v>
      </c>
      <c r="O48" s="630" t="s">
        <v>341</v>
      </c>
    </row>
    <row r="49" spans="1:15" hidden="1" x14ac:dyDescent="0.25">
      <c r="A49" s="630" t="s">
        <v>336</v>
      </c>
      <c r="B49" s="629">
        <v>1.2</v>
      </c>
      <c r="C49" s="630"/>
      <c r="D49" s="630" t="s">
        <v>319</v>
      </c>
      <c r="E49" s="630" t="s">
        <v>319</v>
      </c>
      <c r="F49" s="630" t="s">
        <v>319</v>
      </c>
      <c r="G49" s="630" t="s">
        <v>324</v>
      </c>
      <c r="H49" s="601" t="s">
        <v>325</v>
      </c>
      <c r="I49" s="601" t="s">
        <v>357</v>
      </c>
      <c r="J49" s="630" t="s">
        <v>338</v>
      </c>
      <c r="K49" s="630" t="s">
        <v>339</v>
      </c>
      <c r="L49" s="630" t="s">
        <v>320</v>
      </c>
      <c r="M49" s="630" t="s">
        <v>321</v>
      </c>
      <c r="N49" s="630" t="s">
        <v>340</v>
      </c>
      <c r="O49" s="630" t="s">
        <v>341</v>
      </c>
    </row>
    <row r="50" spans="1:15" hidden="1" x14ac:dyDescent="0.25">
      <c r="A50" s="630" t="s">
        <v>336</v>
      </c>
      <c r="B50" s="629">
        <v>1.2</v>
      </c>
      <c r="C50" s="630"/>
      <c r="D50" s="630" t="s">
        <v>319</v>
      </c>
      <c r="E50" s="630" t="s">
        <v>319</v>
      </c>
      <c r="F50" s="630" t="s">
        <v>319</v>
      </c>
      <c r="G50" s="630" t="s">
        <v>324</v>
      </c>
      <c r="H50" s="601" t="s">
        <v>325</v>
      </c>
      <c r="I50" s="601" t="s">
        <v>358</v>
      </c>
      <c r="J50" s="630" t="s">
        <v>338</v>
      </c>
      <c r="K50" s="630" t="s">
        <v>339</v>
      </c>
      <c r="L50" s="630" t="s">
        <v>320</v>
      </c>
      <c r="M50" s="630" t="s">
        <v>321</v>
      </c>
      <c r="N50" s="630" t="s">
        <v>340</v>
      </c>
      <c r="O50" s="630" t="s">
        <v>341</v>
      </c>
    </row>
    <row r="51" spans="1:15" hidden="1" x14ac:dyDescent="0.25">
      <c r="A51" s="630" t="s">
        <v>336</v>
      </c>
      <c r="B51" s="629">
        <v>1.2</v>
      </c>
      <c r="C51" s="630"/>
      <c r="D51" s="630" t="s">
        <v>319</v>
      </c>
      <c r="E51" s="630" t="s">
        <v>319</v>
      </c>
      <c r="F51" s="630" t="s">
        <v>319</v>
      </c>
      <c r="G51" s="630" t="s">
        <v>324</v>
      </c>
      <c r="H51" s="601" t="s">
        <v>325</v>
      </c>
      <c r="I51" s="601" t="s">
        <v>359</v>
      </c>
      <c r="J51" s="630" t="s">
        <v>338</v>
      </c>
      <c r="K51" s="630" t="s">
        <v>339</v>
      </c>
      <c r="L51" s="630" t="s">
        <v>320</v>
      </c>
      <c r="M51" s="630" t="s">
        <v>321</v>
      </c>
      <c r="N51" s="630" t="s">
        <v>340</v>
      </c>
      <c r="O51" s="630" t="s">
        <v>341</v>
      </c>
    </row>
    <row r="52" spans="1:15" hidden="1" x14ac:dyDescent="0.25">
      <c r="A52" s="630" t="s">
        <v>336</v>
      </c>
      <c r="B52" s="629">
        <v>1.2</v>
      </c>
      <c r="C52" s="630"/>
      <c r="D52" s="630" t="s">
        <v>319</v>
      </c>
      <c r="E52" s="630" t="s">
        <v>319</v>
      </c>
      <c r="F52" s="630" t="s">
        <v>319</v>
      </c>
      <c r="G52" s="630" t="s">
        <v>324</v>
      </c>
      <c r="H52" s="601" t="s">
        <v>325</v>
      </c>
      <c r="I52" s="601" t="s">
        <v>360</v>
      </c>
      <c r="J52" s="630" t="s">
        <v>338</v>
      </c>
      <c r="K52" s="630" t="s">
        <v>339</v>
      </c>
      <c r="L52" s="630" t="s">
        <v>320</v>
      </c>
      <c r="M52" s="630" t="s">
        <v>321</v>
      </c>
      <c r="N52" s="630" t="s">
        <v>340</v>
      </c>
      <c r="O52" s="630" t="s">
        <v>341</v>
      </c>
    </row>
    <row r="53" spans="1:15" hidden="1" x14ac:dyDescent="0.25">
      <c r="A53" s="630" t="s">
        <v>336</v>
      </c>
      <c r="B53" s="629">
        <v>1.2</v>
      </c>
      <c r="C53" s="630"/>
      <c r="D53" s="630" t="s">
        <v>319</v>
      </c>
      <c r="E53" s="630" t="s">
        <v>319</v>
      </c>
      <c r="F53" s="630" t="s">
        <v>319</v>
      </c>
      <c r="G53" s="630" t="s">
        <v>324</v>
      </c>
      <c r="H53" s="601" t="s">
        <v>325</v>
      </c>
      <c r="I53" s="601" t="s">
        <v>361</v>
      </c>
      <c r="J53" s="630" t="s">
        <v>338</v>
      </c>
      <c r="K53" s="630" t="s">
        <v>339</v>
      </c>
      <c r="L53" s="630" t="s">
        <v>320</v>
      </c>
      <c r="M53" s="630" t="s">
        <v>321</v>
      </c>
      <c r="N53" s="630" t="s">
        <v>340</v>
      </c>
      <c r="O53" s="630" t="s">
        <v>341</v>
      </c>
    </row>
    <row r="54" spans="1:15" hidden="1" x14ac:dyDescent="0.25">
      <c r="A54" s="630" t="s">
        <v>336</v>
      </c>
      <c r="B54" s="629">
        <v>1.2</v>
      </c>
      <c r="C54" s="630"/>
      <c r="D54" s="630" t="s">
        <v>319</v>
      </c>
      <c r="E54" s="630" t="s">
        <v>319</v>
      </c>
      <c r="F54" s="630" t="s">
        <v>319</v>
      </c>
      <c r="G54" s="630" t="s">
        <v>324</v>
      </c>
      <c r="H54" s="601" t="s">
        <v>325</v>
      </c>
      <c r="I54" s="601" t="s">
        <v>362</v>
      </c>
      <c r="J54" s="630" t="s">
        <v>338</v>
      </c>
      <c r="K54" s="630" t="s">
        <v>339</v>
      </c>
      <c r="L54" s="630" t="s">
        <v>320</v>
      </c>
      <c r="M54" s="630" t="s">
        <v>321</v>
      </c>
      <c r="N54" s="630" t="s">
        <v>340</v>
      </c>
      <c r="O54" s="630" t="s">
        <v>341</v>
      </c>
    </row>
    <row r="55" spans="1:15" hidden="1" x14ac:dyDescent="0.25">
      <c r="A55" s="630" t="s">
        <v>336</v>
      </c>
      <c r="B55" s="629">
        <v>1.2</v>
      </c>
      <c r="C55" s="630"/>
      <c r="D55" s="630" t="s">
        <v>319</v>
      </c>
      <c r="E55" s="630" t="s">
        <v>319</v>
      </c>
      <c r="F55" s="630" t="s">
        <v>319</v>
      </c>
      <c r="G55" s="630" t="s">
        <v>324</v>
      </c>
      <c r="H55" s="601" t="s">
        <v>325</v>
      </c>
      <c r="I55" s="601" t="s">
        <v>363</v>
      </c>
      <c r="J55" s="630" t="s">
        <v>338</v>
      </c>
      <c r="K55" s="630" t="s">
        <v>339</v>
      </c>
      <c r="L55" s="630" t="s">
        <v>320</v>
      </c>
      <c r="M55" s="630" t="s">
        <v>321</v>
      </c>
      <c r="N55" s="630" t="s">
        <v>340</v>
      </c>
      <c r="O55" s="630" t="s">
        <v>341</v>
      </c>
    </row>
    <row r="56" spans="1:15" hidden="1" x14ac:dyDescent="0.25">
      <c r="A56" s="630" t="s">
        <v>336</v>
      </c>
      <c r="B56" s="629">
        <v>1.2</v>
      </c>
      <c r="C56" s="630"/>
      <c r="D56" s="630" t="s">
        <v>319</v>
      </c>
      <c r="E56" s="630" t="s">
        <v>319</v>
      </c>
      <c r="F56" s="630" t="s">
        <v>319</v>
      </c>
      <c r="G56" s="630" t="s">
        <v>324</v>
      </c>
      <c r="H56" s="601" t="s">
        <v>325</v>
      </c>
      <c r="I56" s="601" t="s">
        <v>364</v>
      </c>
      <c r="J56" s="630" t="s">
        <v>338</v>
      </c>
      <c r="K56" s="630" t="s">
        <v>339</v>
      </c>
      <c r="L56" s="630" t="s">
        <v>320</v>
      </c>
      <c r="M56" s="630" t="s">
        <v>321</v>
      </c>
      <c r="N56" s="630" t="s">
        <v>340</v>
      </c>
      <c r="O56" s="630" t="s">
        <v>341</v>
      </c>
    </row>
    <row r="57" spans="1:15" hidden="1" x14ac:dyDescent="0.25">
      <c r="A57" s="630" t="s">
        <v>336</v>
      </c>
      <c r="B57" s="629">
        <v>1.2</v>
      </c>
      <c r="C57" s="630"/>
      <c r="D57" s="630" t="s">
        <v>319</v>
      </c>
      <c r="E57" s="630" t="s">
        <v>319</v>
      </c>
      <c r="F57" s="630" t="s">
        <v>319</v>
      </c>
      <c r="G57" s="630" t="s">
        <v>324</v>
      </c>
      <c r="H57" s="601" t="s">
        <v>325</v>
      </c>
      <c r="I57" s="601" t="s">
        <v>365</v>
      </c>
      <c r="J57" s="630" t="s">
        <v>338</v>
      </c>
      <c r="K57" s="630" t="s">
        <v>339</v>
      </c>
      <c r="L57" s="630" t="s">
        <v>320</v>
      </c>
      <c r="M57" s="630" t="s">
        <v>321</v>
      </c>
      <c r="N57" s="630" t="s">
        <v>340</v>
      </c>
      <c r="O57" s="630" t="s">
        <v>341</v>
      </c>
    </row>
    <row r="58" spans="1:15" hidden="1" x14ac:dyDescent="0.25">
      <c r="A58" s="630" t="s">
        <v>336</v>
      </c>
      <c r="B58" s="629">
        <v>1.38</v>
      </c>
      <c r="C58" s="630"/>
      <c r="D58" s="630" t="s">
        <v>319</v>
      </c>
      <c r="E58" s="630" t="s">
        <v>319</v>
      </c>
      <c r="F58" s="630" t="s">
        <v>319</v>
      </c>
      <c r="G58" s="630" t="s">
        <v>324</v>
      </c>
      <c r="H58" s="601" t="s">
        <v>325</v>
      </c>
      <c r="I58" s="601" t="s">
        <v>366</v>
      </c>
      <c r="J58" s="630" t="s">
        <v>338</v>
      </c>
      <c r="K58" s="630" t="s">
        <v>339</v>
      </c>
      <c r="L58" s="630" t="s">
        <v>320</v>
      </c>
      <c r="M58" s="630" t="s">
        <v>321</v>
      </c>
      <c r="N58" s="630" t="s">
        <v>340</v>
      </c>
      <c r="O58" s="630" t="s">
        <v>341</v>
      </c>
    </row>
    <row r="59" spans="1:15" hidden="1" x14ac:dyDescent="0.25">
      <c r="A59" s="630" t="s">
        <v>336</v>
      </c>
      <c r="B59" s="629">
        <v>1.38</v>
      </c>
      <c r="C59" s="630"/>
      <c r="D59" s="630" t="s">
        <v>319</v>
      </c>
      <c r="E59" s="630" t="s">
        <v>319</v>
      </c>
      <c r="F59" s="630" t="s">
        <v>319</v>
      </c>
      <c r="G59" s="630" t="s">
        <v>324</v>
      </c>
      <c r="H59" s="601" t="s">
        <v>325</v>
      </c>
      <c r="I59" s="601" t="s">
        <v>367</v>
      </c>
      <c r="J59" s="630" t="s">
        <v>338</v>
      </c>
      <c r="K59" s="630" t="s">
        <v>339</v>
      </c>
      <c r="L59" s="630" t="s">
        <v>320</v>
      </c>
      <c r="M59" s="630" t="s">
        <v>321</v>
      </c>
      <c r="N59" s="630" t="s">
        <v>340</v>
      </c>
      <c r="O59" s="630" t="s">
        <v>341</v>
      </c>
    </row>
    <row r="60" spans="1:15" hidden="1" x14ac:dyDescent="0.25">
      <c r="A60" s="630" t="s">
        <v>336</v>
      </c>
      <c r="B60" s="629">
        <v>1.38</v>
      </c>
      <c r="C60" s="630"/>
      <c r="D60" s="630" t="s">
        <v>319</v>
      </c>
      <c r="E60" s="630" t="s">
        <v>319</v>
      </c>
      <c r="F60" s="630" t="s">
        <v>319</v>
      </c>
      <c r="G60" s="630" t="s">
        <v>324</v>
      </c>
      <c r="H60" s="601" t="s">
        <v>325</v>
      </c>
      <c r="I60" s="601" t="s">
        <v>368</v>
      </c>
      <c r="J60" s="630" t="s">
        <v>338</v>
      </c>
      <c r="K60" s="630" t="s">
        <v>339</v>
      </c>
      <c r="L60" s="630" t="s">
        <v>320</v>
      </c>
      <c r="M60" s="630" t="s">
        <v>321</v>
      </c>
      <c r="N60" s="630" t="s">
        <v>340</v>
      </c>
      <c r="O60" s="630" t="s">
        <v>341</v>
      </c>
    </row>
    <row r="61" spans="1:15" hidden="1" x14ac:dyDescent="0.25">
      <c r="A61" s="630" t="s">
        <v>336</v>
      </c>
      <c r="B61" s="629">
        <v>1.38</v>
      </c>
      <c r="C61" s="630"/>
      <c r="D61" s="630" t="s">
        <v>319</v>
      </c>
      <c r="E61" s="630" t="s">
        <v>319</v>
      </c>
      <c r="F61" s="630" t="s">
        <v>319</v>
      </c>
      <c r="G61" s="630" t="s">
        <v>324</v>
      </c>
      <c r="H61" s="601" t="s">
        <v>325</v>
      </c>
      <c r="I61" s="601" t="s">
        <v>369</v>
      </c>
      <c r="J61" s="630" t="s">
        <v>338</v>
      </c>
      <c r="K61" s="630" t="s">
        <v>339</v>
      </c>
      <c r="L61" s="630" t="s">
        <v>320</v>
      </c>
      <c r="M61" s="630" t="s">
        <v>321</v>
      </c>
      <c r="N61" s="630" t="s">
        <v>340</v>
      </c>
      <c r="O61" s="630" t="s">
        <v>341</v>
      </c>
    </row>
    <row r="62" spans="1:15" hidden="1" x14ac:dyDescent="0.25">
      <c r="A62" s="630" t="s">
        <v>336</v>
      </c>
      <c r="B62" s="629">
        <v>1.38</v>
      </c>
      <c r="C62" s="630"/>
      <c r="D62" s="630" t="s">
        <v>319</v>
      </c>
      <c r="E62" s="630" t="s">
        <v>319</v>
      </c>
      <c r="F62" s="630" t="s">
        <v>319</v>
      </c>
      <c r="G62" s="630" t="s">
        <v>324</v>
      </c>
      <c r="H62" s="601" t="s">
        <v>325</v>
      </c>
      <c r="I62" s="601" t="s">
        <v>370</v>
      </c>
      <c r="J62" s="630" t="s">
        <v>338</v>
      </c>
      <c r="K62" s="630" t="s">
        <v>339</v>
      </c>
      <c r="L62" s="630" t="s">
        <v>320</v>
      </c>
      <c r="M62" s="630" t="s">
        <v>321</v>
      </c>
      <c r="N62" s="630" t="s">
        <v>340</v>
      </c>
      <c r="O62" s="630" t="s">
        <v>341</v>
      </c>
    </row>
    <row r="63" spans="1:15" hidden="1" x14ac:dyDescent="0.25">
      <c r="A63" s="630" t="s">
        <v>336</v>
      </c>
      <c r="B63" s="629">
        <v>1.38</v>
      </c>
      <c r="C63" s="630"/>
      <c r="D63" s="630" t="s">
        <v>319</v>
      </c>
      <c r="E63" s="630" t="s">
        <v>319</v>
      </c>
      <c r="F63" s="630" t="s">
        <v>319</v>
      </c>
      <c r="G63" s="630" t="s">
        <v>324</v>
      </c>
      <c r="H63" s="601" t="s">
        <v>325</v>
      </c>
      <c r="I63" s="601" t="s">
        <v>371</v>
      </c>
      <c r="J63" s="630" t="s">
        <v>338</v>
      </c>
      <c r="K63" s="630" t="s">
        <v>339</v>
      </c>
      <c r="L63" s="630" t="s">
        <v>320</v>
      </c>
      <c r="M63" s="630" t="s">
        <v>321</v>
      </c>
      <c r="N63" s="630" t="s">
        <v>340</v>
      </c>
      <c r="O63" s="630" t="s">
        <v>341</v>
      </c>
    </row>
    <row r="64" spans="1:15" hidden="1" x14ac:dyDescent="0.25">
      <c r="A64" s="630" t="s">
        <v>336</v>
      </c>
      <c r="B64" s="629">
        <v>1.38</v>
      </c>
      <c r="C64" s="630"/>
      <c r="D64" s="630" t="s">
        <v>319</v>
      </c>
      <c r="E64" s="630" t="s">
        <v>319</v>
      </c>
      <c r="F64" s="630" t="s">
        <v>319</v>
      </c>
      <c r="G64" s="630" t="s">
        <v>324</v>
      </c>
      <c r="H64" s="601" t="s">
        <v>325</v>
      </c>
      <c r="I64" s="601" t="s">
        <v>372</v>
      </c>
      <c r="J64" s="630" t="s">
        <v>338</v>
      </c>
      <c r="K64" s="630" t="s">
        <v>339</v>
      </c>
      <c r="L64" s="630" t="s">
        <v>320</v>
      </c>
      <c r="M64" s="630" t="s">
        <v>321</v>
      </c>
      <c r="N64" s="630" t="s">
        <v>340</v>
      </c>
      <c r="O64" s="630" t="s">
        <v>341</v>
      </c>
    </row>
    <row r="65" spans="1:15" hidden="1" x14ac:dyDescent="0.25">
      <c r="A65" s="630" t="s">
        <v>336</v>
      </c>
      <c r="B65" s="629">
        <v>1.38</v>
      </c>
      <c r="C65" s="630"/>
      <c r="D65" s="630" t="s">
        <v>319</v>
      </c>
      <c r="E65" s="630" t="s">
        <v>319</v>
      </c>
      <c r="F65" s="630" t="s">
        <v>319</v>
      </c>
      <c r="G65" s="630" t="s">
        <v>324</v>
      </c>
      <c r="H65" s="601" t="s">
        <v>325</v>
      </c>
      <c r="I65" s="601" t="s">
        <v>373</v>
      </c>
      <c r="J65" s="630" t="s">
        <v>338</v>
      </c>
      <c r="K65" s="630" t="s">
        <v>339</v>
      </c>
      <c r="L65" s="630" t="s">
        <v>320</v>
      </c>
      <c r="M65" s="630" t="s">
        <v>321</v>
      </c>
      <c r="N65" s="630" t="s">
        <v>340</v>
      </c>
      <c r="O65" s="630" t="s">
        <v>341</v>
      </c>
    </row>
    <row r="66" spans="1:15" hidden="1" x14ac:dyDescent="0.25">
      <c r="A66" s="630" t="s">
        <v>336</v>
      </c>
      <c r="B66" s="629">
        <v>1.38</v>
      </c>
      <c r="C66" s="630"/>
      <c r="D66" s="630" t="s">
        <v>319</v>
      </c>
      <c r="E66" s="630" t="s">
        <v>319</v>
      </c>
      <c r="F66" s="630" t="s">
        <v>319</v>
      </c>
      <c r="G66" s="630" t="s">
        <v>324</v>
      </c>
      <c r="H66" s="601" t="s">
        <v>325</v>
      </c>
      <c r="I66" s="601" t="s">
        <v>374</v>
      </c>
      <c r="J66" s="630" t="s">
        <v>338</v>
      </c>
      <c r="K66" s="630" t="s">
        <v>339</v>
      </c>
      <c r="L66" s="630" t="s">
        <v>320</v>
      </c>
      <c r="M66" s="630" t="s">
        <v>321</v>
      </c>
      <c r="N66" s="630" t="s">
        <v>340</v>
      </c>
      <c r="O66" s="630" t="s">
        <v>341</v>
      </c>
    </row>
    <row r="67" spans="1:15" hidden="1" x14ac:dyDescent="0.25">
      <c r="A67" s="630" t="s">
        <v>336</v>
      </c>
      <c r="B67" s="629">
        <v>1.38</v>
      </c>
      <c r="C67" s="630"/>
      <c r="D67" s="630" t="s">
        <v>319</v>
      </c>
      <c r="E67" s="630" t="s">
        <v>319</v>
      </c>
      <c r="F67" s="630" t="s">
        <v>319</v>
      </c>
      <c r="G67" s="630" t="s">
        <v>324</v>
      </c>
      <c r="H67" s="601" t="s">
        <v>325</v>
      </c>
      <c r="I67" s="601" t="s">
        <v>375</v>
      </c>
      <c r="J67" s="630" t="s">
        <v>338</v>
      </c>
      <c r="K67" s="630" t="s">
        <v>339</v>
      </c>
      <c r="L67" s="630" t="s">
        <v>320</v>
      </c>
      <c r="M67" s="630" t="s">
        <v>321</v>
      </c>
      <c r="N67" s="630" t="s">
        <v>340</v>
      </c>
      <c r="O67" s="630" t="s">
        <v>341</v>
      </c>
    </row>
    <row r="68" spans="1:15" hidden="1" x14ac:dyDescent="0.25">
      <c r="A68" s="630" t="s">
        <v>336</v>
      </c>
      <c r="B68" s="629">
        <v>2.4</v>
      </c>
      <c r="C68" s="630"/>
      <c r="D68" s="630" t="s">
        <v>319</v>
      </c>
      <c r="E68" s="630" t="s">
        <v>319</v>
      </c>
      <c r="F68" s="630" t="s">
        <v>319</v>
      </c>
      <c r="G68" s="630" t="s">
        <v>324</v>
      </c>
      <c r="H68" s="601" t="s">
        <v>325</v>
      </c>
      <c r="I68" s="601" t="s">
        <v>376</v>
      </c>
      <c r="J68" s="630" t="s">
        <v>338</v>
      </c>
      <c r="K68" s="630" t="s">
        <v>339</v>
      </c>
      <c r="L68" s="630" t="s">
        <v>320</v>
      </c>
      <c r="M68" s="630" t="s">
        <v>321</v>
      </c>
      <c r="N68" s="630" t="s">
        <v>340</v>
      </c>
      <c r="O68" s="630" t="s">
        <v>341</v>
      </c>
    </row>
    <row r="69" spans="1:15" hidden="1" x14ac:dyDescent="0.25">
      <c r="A69" s="630" t="s">
        <v>336</v>
      </c>
      <c r="B69" s="629">
        <v>2.4</v>
      </c>
      <c r="C69" s="630"/>
      <c r="D69" s="630" t="s">
        <v>319</v>
      </c>
      <c r="E69" s="630" t="s">
        <v>319</v>
      </c>
      <c r="F69" s="630" t="s">
        <v>319</v>
      </c>
      <c r="G69" s="630" t="s">
        <v>324</v>
      </c>
      <c r="H69" s="601" t="s">
        <v>325</v>
      </c>
      <c r="I69" s="601" t="s">
        <v>377</v>
      </c>
      <c r="J69" s="630" t="s">
        <v>338</v>
      </c>
      <c r="K69" s="630" t="s">
        <v>339</v>
      </c>
      <c r="L69" s="630" t="s">
        <v>320</v>
      </c>
      <c r="M69" s="630" t="s">
        <v>321</v>
      </c>
      <c r="N69" s="630" t="s">
        <v>340</v>
      </c>
      <c r="O69" s="630" t="s">
        <v>341</v>
      </c>
    </row>
    <row r="70" spans="1:15" hidden="1" x14ac:dyDescent="0.25">
      <c r="A70" s="630" t="s">
        <v>336</v>
      </c>
      <c r="B70" s="629">
        <v>2.4</v>
      </c>
      <c r="C70" s="630"/>
      <c r="D70" s="630" t="s">
        <v>319</v>
      </c>
      <c r="E70" s="630" t="s">
        <v>319</v>
      </c>
      <c r="F70" s="630" t="s">
        <v>319</v>
      </c>
      <c r="G70" s="630" t="s">
        <v>324</v>
      </c>
      <c r="H70" s="601" t="s">
        <v>325</v>
      </c>
      <c r="I70" s="601" t="s">
        <v>378</v>
      </c>
      <c r="J70" s="630" t="s">
        <v>338</v>
      </c>
      <c r="K70" s="630" t="s">
        <v>339</v>
      </c>
      <c r="L70" s="630" t="s">
        <v>320</v>
      </c>
      <c r="M70" s="630" t="s">
        <v>321</v>
      </c>
      <c r="N70" s="630" t="s">
        <v>340</v>
      </c>
      <c r="O70" s="630" t="s">
        <v>341</v>
      </c>
    </row>
    <row r="71" spans="1:15" hidden="1" x14ac:dyDescent="0.25">
      <c r="A71" s="630" t="s">
        <v>336</v>
      </c>
      <c r="B71" s="629">
        <v>2.4</v>
      </c>
      <c r="C71" s="630"/>
      <c r="D71" s="630" t="s">
        <v>319</v>
      </c>
      <c r="E71" s="630" t="s">
        <v>319</v>
      </c>
      <c r="F71" s="630" t="s">
        <v>319</v>
      </c>
      <c r="G71" s="630" t="s">
        <v>324</v>
      </c>
      <c r="H71" s="601" t="s">
        <v>325</v>
      </c>
      <c r="I71" s="601" t="s">
        <v>379</v>
      </c>
      <c r="J71" s="630" t="s">
        <v>338</v>
      </c>
      <c r="K71" s="630" t="s">
        <v>339</v>
      </c>
      <c r="L71" s="630" t="s">
        <v>320</v>
      </c>
      <c r="M71" s="630" t="s">
        <v>321</v>
      </c>
      <c r="N71" s="630" t="s">
        <v>340</v>
      </c>
      <c r="O71" s="630" t="s">
        <v>341</v>
      </c>
    </row>
    <row r="72" spans="1:15" hidden="1" x14ac:dyDescent="0.25">
      <c r="A72" s="630" t="s">
        <v>336</v>
      </c>
      <c r="B72" s="629">
        <v>2.4</v>
      </c>
      <c r="C72" s="630"/>
      <c r="D72" s="630" t="s">
        <v>319</v>
      </c>
      <c r="E72" s="630" t="s">
        <v>319</v>
      </c>
      <c r="F72" s="630" t="s">
        <v>319</v>
      </c>
      <c r="G72" s="630" t="s">
        <v>324</v>
      </c>
      <c r="H72" s="601" t="s">
        <v>325</v>
      </c>
      <c r="I72" s="601" t="s">
        <v>380</v>
      </c>
      <c r="J72" s="630" t="s">
        <v>338</v>
      </c>
      <c r="K72" s="630" t="s">
        <v>339</v>
      </c>
      <c r="L72" s="630" t="s">
        <v>320</v>
      </c>
      <c r="M72" s="630" t="s">
        <v>321</v>
      </c>
      <c r="N72" s="630" t="s">
        <v>340</v>
      </c>
      <c r="O72" s="630" t="s">
        <v>341</v>
      </c>
    </row>
    <row r="73" spans="1:15" hidden="1" x14ac:dyDescent="0.25">
      <c r="A73" s="630" t="s">
        <v>336</v>
      </c>
      <c r="B73" s="629">
        <v>2.4</v>
      </c>
      <c r="C73" s="630"/>
      <c r="D73" s="630" t="s">
        <v>319</v>
      </c>
      <c r="E73" s="630" t="s">
        <v>319</v>
      </c>
      <c r="F73" s="630" t="s">
        <v>319</v>
      </c>
      <c r="G73" s="630" t="s">
        <v>324</v>
      </c>
      <c r="H73" s="601" t="s">
        <v>325</v>
      </c>
      <c r="I73" s="601" t="s">
        <v>381</v>
      </c>
      <c r="J73" s="630" t="s">
        <v>338</v>
      </c>
      <c r="K73" s="630" t="s">
        <v>339</v>
      </c>
      <c r="L73" s="630" t="s">
        <v>320</v>
      </c>
      <c r="M73" s="630" t="s">
        <v>321</v>
      </c>
      <c r="N73" s="630" t="s">
        <v>340</v>
      </c>
      <c r="O73" s="630" t="s">
        <v>341</v>
      </c>
    </row>
    <row r="74" spans="1:15" hidden="1" x14ac:dyDescent="0.25">
      <c r="A74" s="630" t="s">
        <v>336</v>
      </c>
      <c r="B74" s="629">
        <v>2.4</v>
      </c>
      <c r="C74" s="630"/>
      <c r="D74" s="630" t="s">
        <v>319</v>
      </c>
      <c r="E74" s="630" t="s">
        <v>319</v>
      </c>
      <c r="F74" s="630" t="s">
        <v>319</v>
      </c>
      <c r="G74" s="630" t="s">
        <v>324</v>
      </c>
      <c r="H74" s="601" t="s">
        <v>325</v>
      </c>
      <c r="I74" s="601" t="s">
        <v>382</v>
      </c>
      <c r="J74" s="630" t="s">
        <v>338</v>
      </c>
      <c r="K74" s="630" t="s">
        <v>339</v>
      </c>
      <c r="L74" s="630" t="s">
        <v>320</v>
      </c>
      <c r="M74" s="630" t="s">
        <v>321</v>
      </c>
      <c r="N74" s="630" t="s">
        <v>340</v>
      </c>
      <c r="O74" s="630" t="s">
        <v>341</v>
      </c>
    </row>
    <row r="75" spans="1:15" hidden="1" x14ac:dyDescent="0.25">
      <c r="A75" s="630" t="s">
        <v>336</v>
      </c>
      <c r="B75" s="629">
        <v>2.4</v>
      </c>
      <c r="C75" s="630"/>
      <c r="D75" s="630" t="s">
        <v>319</v>
      </c>
      <c r="E75" s="630" t="s">
        <v>319</v>
      </c>
      <c r="F75" s="630" t="s">
        <v>319</v>
      </c>
      <c r="G75" s="630" t="s">
        <v>324</v>
      </c>
      <c r="H75" s="601" t="s">
        <v>325</v>
      </c>
      <c r="I75" s="601" t="s">
        <v>383</v>
      </c>
      <c r="J75" s="630" t="s">
        <v>338</v>
      </c>
      <c r="K75" s="630" t="s">
        <v>339</v>
      </c>
      <c r="L75" s="630" t="s">
        <v>320</v>
      </c>
      <c r="M75" s="630" t="s">
        <v>321</v>
      </c>
      <c r="N75" s="630" t="s">
        <v>340</v>
      </c>
      <c r="O75" s="630" t="s">
        <v>341</v>
      </c>
    </row>
    <row r="76" spans="1:15" hidden="1" x14ac:dyDescent="0.25">
      <c r="A76" s="630" t="s">
        <v>336</v>
      </c>
      <c r="B76" s="629">
        <v>2.4</v>
      </c>
      <c r="C76" s="630"/>
      <c r="D76" s="630" t="s">
        <v>319</v>
      </c>
      <c r="E76" s="630" t="s">
        <v>319</v>
      </c>
      <c r="F76" s="630" t="s">
        <v>319</v>
      </c>
      <c r="G76" s="630" t="s">
        <v>324</v>
      </c>
      <c r="H76" s="601" t="s">
        <v>325</v>
      </c>
      <c r="I76" s="601" t="s">
        <v>384</v>
      </c>
      <c r="J76" s="630" t="s">
        <v>338</v>
      </c>
      <c r="K76" s="630" t="s">
        <v>339</v>
      </c>
      <c r="L76" s="630" t="s">
        <v>320</v>
      </c>
      <c r="M76" s="630" t="s">
        <v>321</v>
      </c>
      <c r="N76" s="630" t="s">
        <v>340</v>
      </c>
      <c r="O76" s="630" t="s">
        <v>341</v>
      </c>
    </row>
    <row r="77" spans="1:15" hidden="1" x14ac:dyDescent="0.25">
      <c r="A77" s="630" t="s">
        <v>336</v>
      </c>
      <c r="B77" s="629">
        <v>2.4</v>
      </c>
      <c r="C77" s="630"/>
      <c r="D77" s="630" t="s">
        <v>319</v>
      </c>
      <c r="E77" s="630" t="s">
        <v>319</v>
      </c>
      <c r="F77" s="630" t="s">
        <v>319</v>
      </c>
      <c r="G77" s="630" t="s">
        <v>324</v>
      </c>
      <c r="H77" s="601" t="s">
        <v>325</v>
      </c>
      <c r="I77" s="601" t="s">
        <v>385</v>
      </c>
      <c r="J77" s="630" t="s">
        <v>338</v>
      </c>
      <c r="K77" s="630" t="s">
        <v>339</v>
      </c>
      <c r="L77" s="630" t="s">
        <v>320</v>
      </c>
      <c r="M77" s="630" t="s">
        <v>321</v>
      </c>
      <c r="N77" s="630" t="s">
        <v>340</v>
      </c>
      <c r="O77" s="630" t="s">
        <v>341</v>
      </c>
    </row>
    <row r="78" spans="1:15" hidden="1" x14ac:dyDescent="0.25">
      <c r="A78" s="630" t="s">
        <v>336</v>
      </c>
      <c r="B78" s="629">
        <v>3</v>
      </c>
      <c r="C78" s="630"/>
      <c r="D78" s="630" t="s">
        <v>319</v>
      </c>
      <c r="E78" s="630" t="s">
        <v>319</v>
      </c>
      <c r="F78" s="630" t="s">
        <v>319</v>
      </c>
      <c r="G78" s="630" t="s">
        <v>324</v>
      </c>
      <c r="H78" s="601" t="s">
        <v>325</v>
      </c>
      <c r="I78" s="601" t="s">
        <v>386</v>
      </c>
      <c r="J78" s="630" t="s">
        <v>338</v>
      </c>
      <c r="K78" s="630" t="s">
        <v>339</v>
      </c>
      <c r="L78" s="630" t="s">
        <v>320</v>
      </c>
      <c r="M78" s="630" t="s">
        <v>321</v>
      </c>
      <c r="N78" s="630" t="s">
        <v>340</v>
      </c>
      <c r="O78" s="630" t="s">
        <v>341</v>
      </c>
    </row>
    <row r="79" spans="1:15" hidden="1" x14ac:dyDescent="0.25">
      <c r="A79" s="630" t="s">
        <v>336</v>
      </c>
      <c r="B79" s="629">
        <v>3</v>
      </c>
      <c r="C79" s="630"/>
      <c r="D79" s="630" t="s">
        <v>319</v>
      </c>
      <c r="E79" s="630" t="s">
        <v>319</v>
      </c>
      <c r="F79" s="630" t="s">
        <v>319</v>
      </c>
      <c r="G79" s="630" t="s">
        <v>324</v>
      </c>
      <c r="H79" s="601" t="s">
        <v>325</v>
      </c>
      <c r="I79" s="601" t="s">
        <v>387</v>
      </c>
      <c r="J79" s="630" t="s">
        <v>338</v>
      </c>
      <c r="K79" s="630" t="s">
        <v>339</v>
      </c>
      <c r="L79" s="630" t="s">
        <v>320</v>
      </c>
      <c r="M79" s="630" t="s">
        <v>321</v>
      </c>
      <c r="N79" s="630" t="s">
        <v>340</v>
      </c>
      <c r="O79" s="630" t="s">
        <v>341</v>
      </c>
    </row>
    <row r="80" spans="1:15" hidden="1" x14ac:dyDescent="0.25">
      <c r="A80" s="630" t="s">
        <v>336</v>
      </c>
      <c r="B80" s="629">
        <v>3</v>
      </c>
      <c r="C80" s="630"/>
      <c r="D80" s="630" t="s">
        <v>319</v>
      </c>
      <c r="E80" s="630" t="s">
        <v>319</v>
      </c>
      <c r="F80" s="630" t="s">
        <v>319</v>
      </c>
      <c r="G80" s="630" t="s">
        <v>324</v>
      </c>
      <c r="H80" s="601" t="s">
        <v>325</v>
      </c>
      <c r="I80" s="601" t="s">
        <v>388</v>
      </c>
      <c r="J80" s="630" t="s">
        <v>338</v>
      </c>
      <c r="K80" s="630" t="s">
        <v>339</v>
      </c>
      <c r="L80" s="630" t="s">
        <v>320</v>
      </c>
      <c r="M80" s="630" t="s">
        <v>321</v>
      </c>
      <c r="N80" s="630" t="s">
        <v>340</v>
      </c>
      <c r="O80" s="630" t="s">
        <v>341</v>
      </c>
    </row>
    <row r="81" spans="1:15" hidden="1" x14ac:dyDescent="0.25">
      <c r="A81" s="630" t="s">
        <v>336</v>
      </c>
      <c r="B81" s="629">
        <v>3</v>
      </c>
      <c r="C81" s="630"/>
      <c r="D81" s="630" t="s">
        <v>319</v>
      </c>
      <c r="E81" s="630" t="s">
        <v>319</v>
      </c>
      <c r="F81" s="630" t="s">
        <v>319</v>
      </c>
      <c r="G81" s="630" t="s">
        <v>324</v>
      </c>
      <c r="H81" s="601" t="s">
        <v>325</v>
      </c>
      <c r="I81" s="601" t="s">
        <v>389</v>
      </c>
      <c r="J81" s="630" t="s">
        <v>338</v>
      </c>
      <c r="K81" s="630" t="s">
        <v>339</v>
      </c>
      <c r="L81" s="630" t="s">
        <v>320</v>
      </c>
      <c r="M81" s="630" t="s">
        <v>321</v>
      </c>
      <c r="N81" s="630" t="s">
        <v>340</v>
      </c>
      <c r="O81" s="630" t="s">
        <v>341</v>
      </c>
    </row>
    <row r="82" spans="1:15" hidden="1" x14ac:dyDescent="0.25">
      <c r="A82" s="630" t="s">
        <v>336</v>
      </c>
      <c r="B82" s="629">
        <v>3</v>
      </c>
      <c r="C82" s="630"/>
      <c r="D82" s="630" t="s">
        <v>319</v>
      </c>
      <c r="E82" s="630" t="s">
        <v>319</v>
      </c>
      <c r="F82" s="630" t="s">
        <v>319</v>
      </c>
      <c r="G82" s="630" t="s">
        <v>324</v>
      </c>
      <c r="H82" s="601" t="s">
        <v>325</v>
      </c>
      <c r="I82" s="601" t="s">
        <v>390</v>
      </c>
      <c r="J82" s="630" t="s">
        <v>338</v>
      </c>
      <c r="K82" s="630" t="s">
        <v>339</v>
      </c>
      <c r="L82" s="630" t="s">
        <v>320</v>
      </c>
      <c r="M82" s="630" t="s">
        <v>321</v>
      </c>
      <c r="N82" s="630" t="s">
        <v>340</v>
      </c>
      <c r="O82" s="630" t="s">
        <v>341</v>
      </c>
    </row>
    <row r="83" spans="1:15" hidden="1" x14ac:dyDescent="0.25">
      <c r="A83" s="630" t="s">
        <v>336</v>
      </c>
      <c r="B83" s="629">
        <v>3</v>
      </c>
      <c r="C83" s="630"/>
      <c r="D83" s="630" t="s">
        <v>319</v>
      </c>
      <c r="E83" s="630" t="s">
        <v>319</v>
      </c>
      <c r="F83" s="630" t="s">
        <v>319</v>
      </c>
      <c r="G83" s="630" t="s">
        <v>324</v>
      </c>
      <c r="H83" s="601" t="s">
        <v>325</v>
      </c>
      <c r="I83" s="601" t="s">
        <v>391</v>
      </c>
      <c r="J83" s="630" t="s">
        <v>338</v>
      </c>
      <c r="K83" s="630" t="s">
        <v>339</v>
      </c>
      <c r="L83" s="630" t="s">
        <v>320</v>
      </c>
      <c r="M83" s="630" t="s">
        <v>321</v>
      </c>
      <c r="N83" s="630" t="s">
        <v>340</v>
      </c>
      <c r="O83" s="630" t="s">
        <v>341</v>
      </c>
    </row>
    <row r="84" spans="1:15" hidden="1" x14ac:dyDescent="0.25">
      <c r="A84" s="630" t="s">
        <v>336</v>
      </c>
      <c r="B84" s="629">
        <v>3</v>
      </c>
      <c r="C84" s="630"/>
      <c r="D84" s="630" t="s">
        <v>319</v>
      </c>
      <c r="E84" s="630" t="s">
        <v>319</v>
      </c>
      <c r="F84" s="630" t="s">
        <v>319</v>
      </c>
      <c r="G84" s="630" t="s">
        <v>324</v>
      </c>
      <c r="H84" s="601" t="s">
        <v>325</v>
      </c>
      <c r="I84" s="601" t="s">
        <v>392</v>
      </c>
      <c r="J84" s="630" t="s">
        <v>338</v>
      </c>
      <c r="K84" s="630" t="s">
        <v>339</v>
      </c>
      <c r="L84" s="630" t="s">
        <v>320</v>
      </c>
      <c r="M84" s="630" t="s">
        <v>321</v>
      </c>
      <c r="N84" s="630" t="s">
        <v>340</v>
      </c>
      <c r="O84" s="630" t="s">
        <v>341</v>
      </c>
    </row>
    <row r="85" spans="1:15" hidden="1" x14ac:dyDescent="0.25">
      <c r="A85" s="630" t="s">
        <v>336</v>
      </c>
      <c r="B85" s="629">
        <v>3</v>
      </c>
      <c r="C85" s="630"/>
      <c r="D85" s="630" t="s">
        <v>319</v>
      </c>
      <c r="E85" s="630" t="s">
        <v>319</v>
      </c>
      <c r="F85" s="630" t="s">
        <v>319</v>
      </c>
      <c r="G85" s="630" t="s">
        <v>324</v>
      </c>
      <c r="H85" s="601" t="s">
        <v>325</v>
      </c>
      <c r="I85" s="601" t="s">
        <v>393</v>
      </c>
      <c r="J85" s="630" t="s">
        <v>338</v>
      </c>
      <c r="K85" s="630" t="s">
        <v>339</v>
      </c>
      <c r="L85" s="630" t="s">
        <v>320</v>
      </c>
      <c r="M85" s="630" t="s">
        <v>321</v>
      </c>
      <c r="N85" s="630" t="s">
        <v>340</v>
      </c>
      <c r="O85" s="630" t="s">
        <v>341</v>
      </c>
    </row>
    <row r="86" spans="1:15" hidden="1" x14ac:dyDescent="0.25">
      <c r="A86" s="630" t="s">
        <v>336</v>
      </c>
      <c r="B86" s="629">
        <v>3</v>
      </c>
      <c r="C86" s="630"/>
      <c r="D86" s="630" t="s">
        <v>319</v>
      </c>
      <c r="E86" s="630" t="s">
        <v>319</v>
      </c>
      <c r="F86" s="630" t="s">
        <v>319</v>
      </c>
      <c r="G86" s="630" t="s">
        <v>324</v>
      </c>
      <c r="H86" s="601" t="s">
        <v>325</v>
      </c>
      <c r="I86" s="601" t="s">
        <v>394</v>
      </c>
      <c r="J86" s="630" t="s">
        <v>338</v>
      </c>
      <c r="K86" s="630" t="s">
        <v>339</v>
      </c>
      <c r="L86" s="630" t="s">
        <v>320</v>
      </c>
      <c r="M86" s="630" t="s">
        <v>321</v>
      </c>
      <c r="N86" s="630" t="s">
        <v>340</v>
      </c>
      <c r="O86" s="630" t="s">
        <v>341</v>
      </c>
    </row>
    <row r="87" spans="1:15" hidden="1" x14ac:dyDescent="0.25">
      <c r="A87" s="630" t="s">
        <v>336</v>
      </c>
      <c r="B87" s="629">
        <v>3</v>
      </c>
      <c r="C87" s="630"/>
      <c r="D87" s="630" t="s">
        <v>319</v>
      </c>
      <c r="E87" s="630" t="s">
        <v>319</v>
      </c>
      <c r="F87" s="630" t="s">
        <v>319</v>
      </c>
      <c r="G87" s="630" t="s">
        <v>324</v>
      </c>
      <c r="H87" s="601" t="s">
        <v>325</v>
      </c>
      <c r="I87" s="601" t="s">
        <v>395</v>
      </c>
      <c r="J87" s="630" t="s">
        <v>338</v>
      </c>
      <c r="K87" s="630" t="s">
        <v>339</v>
      </c>
      <c r="L87" s="630" t="s">
        <v>320</v>
      </c>
      <c r="M87" s="630" t="s">
        <v>321</v>
      </c>
      <c r="N87" s="630" t="s">
        <v>340</v>
      </c>
      <c r="O87" s="630" t="s">
        <v>341</v>
      </c>
    </row>
    <row r="88" spans="1:15" hidden="1" x14ac:dyDescent="0.25">
      <c r="A88" s="630" t="s">
        <v>336</v>
      </c>
      <c r="B88" s="629">
        <v>3</v>
      </c>
      <c r="C88" s="630"/>
      <c r="D88" s="630" t="s">
        <v>319</v>
      </c>
      <c r="E88" s="630" t="s">
        <v>319</v>
      </c>
      <c r="F88" s="630" t="s">
        <v>319</v>
      </c>
      <c r="G88" s="630" t="s">
        <v>324</v>
      </c>
      <c r="H88" s="601" t="s">
        <v>325</v>
      </c>
      <c r="I88" s="601" t="s">
        <v>396</v>
      </c>
      <c r="J88" s="630" t="s">
        <v>338</v>
      </c>
      <c r="K88" s="630" t="s">
        <v>339</v>
      </c>
      <c r="L88" s="630" t="s">
        <v>320</v>
      </c>
      <c r="M88" s="630" t="s">
        <v>321</v>
      </c>
      <c r="N88" s="630" t="s">
        <v>340</v>
      </c>
      <c r="O88" s="630" t="s">
        <v>341</v>
      </c>
    </row>
    <row r="89" spans="1:15" hidden="1" x14ac:dyDescent="0.25">
      <c r="A89" s="630" t="s">
        <v>336</v>
      </c>
      <c r="B89" s="629">
        <v>3</v>
      </c>
      <c r="C89" s="630"/>
      <c r="D89" s="630" t="s">
        <v>319</v>
      </c>
      <c r="E89" s="630" t="s">
        <v>319</v>
      </c>
      <c r="F89" s="630" t="s">
        <v>319</v>
      </c>
      <c r="G89" s="630" t="s">
        <v>324</v>
      </c>
      <c r="H89" s="601" t="s">
        <v>325</v>
      </c>
      <c r="I89" s="601" t="s">
        <v>397</v>
      </c>
      <c r="J89" s="630" t="s">
        <v>338</v>
      </c>
      <c r="K89" s="630" t="s">
        <v>339</v>
      </c>
      <c r="L89" s="630" t="s">
        <v>320</v>
      </c>
      <c r="M89" s="630" t="s">
        <v>321</v>
      </c>
      <c r="N89" s="630" t="s">
        <v>340</v>
      </c>
      <c r="O89" s="630" t="s">
        <v>341</v>
      </c>
    </row>
    <row r="90" spans="1:15" hidden="1" x14ac:dyDescent="0.25">
      <c r="A90" s="630" t="s">
        <v>336</v>
      </c>
      <c r="B90" s="629">
        <v>3</v>
      </c>
      <c r="C90" s="630"/>
      <c r="D90" s="630" t="s">
        <v>319</v>
      </c>
      <c r="E90" s="630" t="s">
        <v>319</v>
      </c>
      <c r="F90" s="630" t="s">
        <v>319</v>
      </c>
      <c r="G90" s="630" t="s">
        <v>324</v>
      </c>
      <c r="H90" s="601" t="s">
        <v>325</v>
      </c>
      <c r="I90" s="601" t="s">
        <v>398</v>
      </c>
      <c r="J90" s="630" t="s">
        <v>338</v>
      </c>
      <c r="K90" s="630" t="s">
        <v>339</v>
      </c>
      <c r="L90" s="630" t="s">
        <v>320</v>
      </c>
      <c r="M90" s="630" t="s">
        <v>321</v>
      </c>
      <c r="N90" s="630" t="s">
        <v>340</v>
      </c>
      <c r="O90" s="630" t="s">
        <v>341</v>
      </c>
    </row>
    <row r="91" spans="1:15" hidden="1" x14ac:dyDescent="0.25">
      <c r="A91" s="630" t="s">
        <v>336</v>
      </c>
      <c r="B91" s="629">
        <v>3</v>
      </c>
      <c r="C91" s="630"/>
      <c r="D91" s="630" t="s">
        <v>319</v>
      </c>
      <c r="E91" s="630" t="s">
        <v>319</v>
      </c>
      <c r="F91" s="630" t="s">
        <v>319</v>
      </c>
      <c r="G91" s="630" t="s">
        <v>324</v>
      </c>
      <c r="H91" s="601" t="s">
        <v>325</v>
      </c>
      <c r="I91" s="601" t="s">
        <v>399</v>
      </c>
      <c r="J91" s="630" t="s">
        <v>338</v>
      </c>
      <c r="K91" s="630" t="s">
        <v>339</v>
      </c>
      <c r="L91" s="630" t="s">
        <v>320</v>
      </c>
      <c r="M91" s="630" t="s">
        <v>321</v>
      </c>
      <c r="N91" s="630" t="s">
        <v>340</v>
      </c>
      <c r="O91" s="630" t="s">
        <v>341</v>
      </c>
    </row>
    <row r="92" spans="1:15" hidden="1" x14ac:dyDescent="0.25">
      <c r="A92" s="630" t="s">
        <v>336</v>
      </c>
      <c r="B92" s="629">
        <v>3</v>
      </c>
      <c r="C92" s="630"/>
      <c r="D92" s="630" t="s">
        <v>319</v>
      </c>
      <c r="E92" s="630" t="s">
        <v>319</v>
      </c>
      <c r="F92" s="630" t="s">
        <v>319</v>
      </c>
      <c r="G92" s="630" t="s">
        <v>324</v>
      </c>
      <c r="H92" s="601" t="s">
        <v>325</v>
      </c>
      <c r="I92" s="601" t="s">
        <v>400</v>
      </c>
      <c r="J92" s="630" t="s">
        <v>338</v>
      </c>
      <c r="K92" s="630" t="s">
        <v>339</v>
      </c>
      <c r="L92" s="630" t="s">
        <v>320</v>
      </c>
      <c r="M92" s="630" t="s">
        <v>321</v>
      </c>
      <c r="N92" s="630" t="s">
        <v>340</v>
      </c>
      <c r="O92" s="630" t="s">
        <v>341</v>
      </c>
    </row>
    <row r="93" spans="1:15" hidden="1" x14ac:dyDescent="0.25">
      <c r="A93" s="630" t="s">
        <v>336</v>
      </c>
      <c r="B93" s="629">
        <v>3</v>
      </c>
      <c r="C93" s="630"/>
      <c r="D93" s="630" t="s">
        <v>319</v>
      </c>
      <c r="E93" s="630" t="s">
        <v>319</v>
      </c>
      <c r="F93" s="630" t="s">
        <v>319</v>
      </c>
      <c r="G93" s="630" t="s">
        <v>324</v>
      </c>
      <c r="H93" s="601" t="s">
        <v>325</v>
      </c>
      <c r="I93" s="601" t="s">
        <v>401</v>
      </c>
      <c r="J93" s="630" t="s">
        <v>338</v>
      </c>
      <c r="K93" s="630" t="s">
        <v>339</v>
      </c>
      <c r="L93" s="630" t="s">
        <v>320</v>
      </c>
      <c r="M93" s="630" t="s">
        <v>321</v>
      </c>
      <c r="N93" s="630" t="s">
        <v>340</v>
      </c>
      <c r="O93" s="630" t="s">
        <v>341</v>
      </c>
    </row>
    <row r="94" spans="1:15" hidden="1" x14ac:dyDescent="0.25">
      <c r="A94" s="630" t="s">
        <v>336</v>
      </c>
      <c r="B94" s="629">
        <v>3</v>
      </c>
      <c r="C94" s="630"/>
      <c r="D94" s="630" t="s">
        <v>319</v>
      </c>
      <c r="E94" s="630" t="s">
        <v>319</v>
      </c>
      <c r="F94" s="630" t="s">
        <v>319</v>
      </c>
      <c r="G94" s="630" t="s">
        <v>324</v>
      </c>
      <c r="H94" s="601" t="s">
        <v>325</v>
      </c>
      <c r="I94" s="601" t="s">
        <v>402</v>
      </c>
      <c r="J94" s="630" t="s">
        <v>338</v>
      </c>
      <c r="K94" s="630" t="s">
        <v>339</v>
      </c>
      <c r="L94" s="630" t="s">
        <v>320</v>
      </c>
      <c r="M94" s="630" t="s">
        <v>321</v>
      </c>
      <c r="N94" s="630" t="s">
        <v>340</v>
      </c>
      <c r="O94" s="630" t="s">
        <v>341</v>
      </c>
    </row>
    <row r="95" spans="1:15" hidden="1" x14ac:dyDescent="0.25">
      <c r="A95" s="630" t="s">
        <v>336</v>
      </c>
      <c r="B95" s="629">
        <v>3</v>
      </c>
      <c r="C95" s="630"/>
      <c r="D95" s="630" t="s">
        <v>319</v>
      </c>
      <c r="E95" s="630" t="s">
        <v>319</v>
      </c>
      <c r="F95" s="630" t="s">
        <v>319</v>
      </c>
      <c r="G95" s="630" t="s">
        <v>324</v>
      </c>
      <c r="H95" s="601" t="s">
        <v>325</v>
      </c>
      <c r="I95" s="601" t="s">
        <v>403</v>
      </c>
      <c r="J95" s="630" t="s">
        <v>338</v>
      </c>
      <c r="K95" s="630" t="s">
        <v>339</v>
      </c>
      <c r="L95" s="630" t="s">
        <v>320</v>
      </c>
      <c r="M95" s="630" t="s">
        <v>321</v>
      </c>
      <c r="N95" s="630" t="s">
        <v>340</v>
      </c>
      <c r="O95" s="630" t="s">
        <v>341</v>
      </c>
    </row>
    <row r="96" spans="1:15" hidden="1" x14ac:dyDescent="0.25">
      <c r="A96" s="630" t="s">
        <v>336</v>
      </c>
      <c r="B96" s="629">
        <v>3</v>
      </c>
      <c r="C96" s="630"/>
      <c r="D96" s="630" t="s">
        <v>319</v>
      </c>
      <c r="E96" s="630" t="s">
        <v>319</v>
      </c>
      <c r="F96" s="630" t="s">
        <v>319</v>
      </c>
      <c r="G96" s="630" t="s">
        <v>324</v>
      </c>
      <c r="H96" s="601" t="s">
        <v>325</v>
      </c>
      <c r="I96" s="601" t="s">
        <v>404</v>
      </c>
      <c r="J96" s="630" t="s">
        <v>338</v>
      </c>
      <c r="K96" s="630" t="s">
        <v>339</v>
      </c>
      <c r="L96" s="630" t="s">
        <v>320</v>
      </c>
      <c r="M96" s="630" t="s">
        <v>321</v>
      </c>
      <c r="N96" s="630" t="s">
        <v>340</v>
      </c>
      <c r="O96" s="630" t="s">
        <v>341</v>
      </c>
    </row>
    <row r="97" spans="1:15" hidden="1" x14ac:dyDescent="0.25">
      <c r="A97" s="630" t="s">
        <v>336</v>
      </c>
      <c r="B97" s="629">
        <v>3</v>
      </c>
      <c r="C97" s="630"/>
      <c r="D97" s="630" t="s">
        <v>319</v>
      </c>
      <c r="E97" s="630" t="s">
        <v>319</v>
      </c>
      <c r="F97" s="630" t="s">
        <v>319</v>
      </c>
      <c r="G97" s="630" t="s">
        <v>324</v>
      </c>
      <c r="H97" s="601" t="s">
        <v>325</v>
      </c>
      <c r="I97" s="601" t="s">
        <v>405</v>
      </c>
      <c r="J97" s="630" t="s">
        <v>338</v>
      </c>
      <c r="K97" s="630" t="s">
        <v>339</v>
      </c>
      <c r="L97" s="630" t="s">
        <v>320</v>
      </c>
      <c r="M97" s="630" t="s">
        <v>321</v>
      </c>
      <c r="N97" s="630" t="s">
        <v>340</v>
      </c>
      <c r="O97" s="630" t="s">
        <v>341</v>
      </c>
    </row>
    <row r="98" spans="1:15" hidden="1" x14ac:dyDescent="0.25">
      <c r="A98" s="630" t="s">
        <v>336</v>
      </c>
      <c r="B98" s="629">
        <v>3</v>
      </c>
      <c r="C98" s="630"/>
      <c r="D98" s="630" t="s">
        <v>319</v>
      </c>
      <c r="E98" s="630" t="s">
        <v>319</v>
      </c>
      <c r="F98" s="630" t="s">
        <v>319</v>
      </c>
      <c r="G98" s="630" t="s">
        <v>324</v>
      </c>
      <c r="H98" s="601" t="s">
        <v>325</v>
      </c>
      <c r="I98" s="601" t="s">
        <v>406</v>
      </c>
      <c r="J98" s="630" t="s">
        <v>338</v>
      </c>
      <c r="K98" s="630" t="s">
        <v>339</v>
      </c>
      <c r="L98" s="630" t="s">
        <v>320</v>
      </c>
      <c r="M98" s="630" t="s">
        <v>321</v>
      </c>
      <c r="N98" s="630" t="s">
        <v>340</v>
      </c>
      <c r="O98" s="630" t="s">
        <v>341</v>
      </c>
    </row>
    <row r="99" spans="1:15" hidden="1" x14ac:dyDescent="0.25">
      <c r="A99" s="630" t="s">
        <v>336</v>
      </c>
      <c r="B99" s="629">
        <v>3</v>
      </c>
      <c r="C99" s="630"/>
      <c r="D99" s="630" t="s">
        <v>319</v>
      </c>
      <c r="E99" s="630" t="s">
        <v>319</v>
      </c>
      <c r="F99" s="630" t="s">
        <v>319</v>
      </c>
      <c r="G99" s="630" t="s">
        <v>324</v>
      </c>
      <c r="H99" s="601" t="s">
        <v>325</v>
      </c>
      <c r="I99" s="601" t="s">
        <v>407</v>
      </c>
      <c r="J99" s="630" t="s">
        <v>338</v>
      </c>
      <c r="K99" s="630" t="s">
        <v>339</v>
      </c>
      <c r="L99" s="630" t="s">
        <v>320</v>
      </c>
      <c r="M99" s="630" t="s">
        <v>321</v>
      </c>
      <c r="N99" s="630" t="s">
        <v>340</v>
      </c>
      <c r="O99" s="630" t="s">
        <v>341</v>
      </c>
    </row>
    <row r="100" spans="1:15" hidden="1" x14ac:dyDescent="0.25">
      <c r="A100" s="630" t="s">
        <v>336</v>
      </c>
      <c r="B100" s="629">
        <v>3</v>
      </c>
      <c r="C100" s="630"/>
      <c r="D100" s="630" t="s">
        <v>319</v>
      </c>
      <c r="E100" s="630" t="s">
        <v>319</v>
      </c>
      <c r="F100" s="630" t="s">
        <v>319</v>
      </c>
      <c r="G100" s="630" t="s">
        <v>324</v>
      </c>
      <c r="H100" s="601" t="s">
        <v>325</v>
      </c>
      <c r="I100" s="601" t="s">
        <v>408</v>
      </c>
      <c r="J100" s="630" t="s">
        <v>338</v>
      </c>
      <c r="K100" s="630" t="s">
        <v>339</v>
      </c>
      <c r="L100" s="630" t="s">
        <v>320</v>
      </c>
      <c r="M100" s="630" t="s">
        <v>321</v>
      </c>
      <c r="N100" s="630" t="s">
        <v>340</v>
      </c>
      <c r="O100" s="630" t="s">
        <v>341</v>
      </c>
    </row>
    <row r="101" spans="1:15" hidden="1" x14ac:dyDescent="0.25">
      <c r="A101" s="630" t="s">
        <v>336</v>
      </c>
      <c r="B101" s="629">
        <v>3</v>
      </c>
      <c r="C101" s="630"/>
      <c r="D101" s="630" t="s">
        <v>319</v>
      </c>
      <c r="E101" s="630" t="s">
        <v>319</v>
      </c>
      <c r="F101" s="630" t="s">
        <v>319</v>
      </c>
      <c r="G101" s="630" t="s">
        <v>324</v>
      </c>
      <c r="H101" s="601" t="s">
        <v>325</v>
      </c>
      <c r="I101" s="601" t="s">
        <v>409</v>
      </c>
      <c r="J101" s="630" t="s">
        <v>338</v>
      </c>
      <c r="K101" s="630" t="s">
        <v>339</v>
      </c>
      <c r="L101" s="630" t="s">
        <v>320</v>
      </c>
      <c r="M101" s="630" t="s">
        <v>321</v>
      </c>
      <c r="N101" s="630" t="s">
        <v>340</v>
      </c>
      <c r="O101" s="630" t="s">
        <v>341</v>
      </c>
    </row>
    <row r="102" spans="1:15" hidden="1" x14ac:dyDescent="0.25">
      <c r="A102" s="630" t="s">
        <v>336</v>
      </c>
      <c r="B102" s="629">
        <v>3</v>
      </c>
      <c r="C102" s="630"/>
      <c r="D102" s="630" t="s">
        <v>319</v>
      </c>
      <c r="E102" s="630" t="s">
        <v>319</v>
      </c>
      <c r="F102" s="630" t="s">
        <v>319</v>
      </c>
      <c r="G102" s="630" t="s">
        <v>324</v>
      </c>
      <c r="H102" s="601" t="s">
        <v>325</v>
      </c>
      <c r="I102" s="601" t="s">
        <v>410</v>
      </c>
      <c r="J102" s="630" t="s">
        <v>338</v>
      </c>
      <c r="K102" s="630" t="s">
        <v>339</v>
      </c>
      <c r="L102" s="630" t="s">
        <v>320</v>
      </c>
      <c r="M102" s="630" t="s">
        <v>321</v>
      </c>
      <c r="N102" s="630" t="s">
        <v>340</v>
      </c>
      <c r="O102" s="630" t="s">
        <v>341</v>
      </c>
    </row>
    <row r="103" spans="1:15" hidden="1" x14ac:dyDescent="0.25">
      <c r="A103" s="630" t="s">
        <v>336</v>
      </c>
      <c r="B103" s="629">
        <v>3</v>
      </c>
      <c r="C103" s="630"/>
      <c r="D103" s="630" t="s">
        <v>319</v>
      </c>
      <c r="E103" s="630" t="s">
        <v>319</v>
      </c>
      <c r="F103" s="630" t="s">
        <v>319</v>
      </c>
      <c r="G103" s="630" t="s">
        <v>324</v>
      </c>
      <c r="H103" s="601" t="s">
        <v>325</v>
      </c>
      <c r="I103" s="601" t="s">
        <v>411</v>
      </c>
      <c r="J103" s="630" t="s">
        <v>338</v>
      </c>
      <c r="K103" s="630" t="s">
        <v>339</v>
      </c>
      <c r="L103" s="630" t="s">
        <v>320</v>
      </c>
      <c r="M103" s="630" t="s">
        <v>321</v>
      </c>
      <c r="N103" s="630" t="s">
        <v>340</v>
      </c>
      <c r="O103" s="630" t="s">
        <v>341</v>
      </c>
    </row>
    <row r="104" spans="1:15" hidden="1" x14ac:dyDescent="0.25">
      <c r="A104" s="630" t="s">
        <v>336</v>
      </c>
      <c r="B104" s="629">
        <v>3</v>
      </c>
      <c r="C104" s="630"/>
      <c r="D104" s="630" t="s">
        <v>319</v>
      </c>
      <c r="E104" s="630" t="s">
        <v>319</v>
      </c>
      <c r="F104" s="630" t="s">
        <v>319</v>
      </c>
      <c r="G104" s="630" t="s">
        <v>324</v>
      </c>
      <c r="H104" s="601" t="s">
        <v>325</v>
      </c>
      <c r="I104" s="601" t="s">
        <v>412</v>
      </c>
      <c r="J104" s="630" t="s">
        <v>338</v>
      </c>
      <c r="K104" s="630" t="s">
        <v>339</v>
      </c>
      <c r="L104" s="630" t="s">
        <v>320</v>
      </c>
      <c r="M104" s="630" t="s">
        <v>321</v>
      </c>
      <c r="N104" s="630" t="s">
        <v>340</v>
      </c>
      <c r="O104" s="630" t="s">
        <v>341</v>
      </c>
    </row>
    <row r="105" spans="1:15" hidden="1" x14ac:dyDescent="0.25">
      <c r="A105" s="630" t="s">
        <v>336</v>
      </c>
      <c r="B105" s="629">
        <v>3</v>
      </c>
      <c r="C105" s="630"/>
      <c r="D105" s="630" t="s">
        <v>319</v>
      </c>
      <c r="E105" s="630" t="s">
        <v>319</v>
      </c>
      <c r="F105" s="630" t="s">
        <v>319</v>
      </c>
      <c r="G105" s="630" t="s">
        <v>324</v>
      </c>
      <c r="H105" s="601" t="s">
        <v>325</v>
      </c>
      <c r="I105" s="601" t="s">
        <v>413</v>
      </c>
      <c r="J105" s="630" t="s">
        <v>338</v>
      </c>
      <c r="K105" s="630" t="s">
        <v>339</v>
      </c>
      <c r="L105" s="630" t="s">
        <v>320</v>
      </c>
      <c r="M105" s="630" t="s">
        <v>321</v>
      </c>
      <c r="N105" s="630" t="s">
        <v>340</v>
      </c>
      <c r="O105" s="630" t="s">
        <v>341</v>
      </c>
    </row>
    <row r="106" spans="1:15" hidden="1" x14ac:dyDescent="0.25">
      <c r="A106" s="630" t="s">
        <v>336</v>
      </c>
      <c r="B106" s="629">
        <v>3</v>
      </c>
      <c r="C106" s="630"/>
      <c r="D106" s="630" t="s">
        <v>319</v>
      </c>
      <c r="E106" s="630" t="s">
        <v>319</v>
      </c>
      <c r="F106" s="630" t="s">
        <v>319</v>
      </c>
      <c r="G106" s="630" t="s">
        <v>324</v>
      </c>
      <c r="H106" s="601" t="s">
        <v>325</v>
      </c>
      <c r="I106" s="601" t="s">
        <v>414</v>
      </c>
      <c r="J106" s="630" t="s">
        <v>338</v>
      </c>
      <c r="K106" s="630" t="s">
        <v>339</v>
      </c>
      <c r="L106" s="630" t="s">
        <v>320</v>
      </c>
      <c r="M106" s="630" t="s">
        <v>321</v>
      </c>
      <c r="N106" s="630" t="s">
        <v>340</v>
      </c>
      <c r="O106" s="630" t="s">
        <v>341</v>
      </c>
    </row>
    <row r="107" spans="1:15" hidden="1" x14ac:dyDescent="0.25">
      <c r="A107" s="630" t="s">
        <v>336</v>
      </c>
      <c r="B107" s="629">
        <v>3</v>
      </c>
      <c r="C107" s="630"/>
      <c r="D107" s="630" t="s">
        <v>319</v>
      </c>
      <c r="E107" s="630" t="s">
        <v>319</v>
      </c>
      <c r="F107" s="630" t="s">
        <v>319</v>
      </c>
      <c r="G107" s="630" t="s">
        <v>324</v>
      </c>
      <c r="H107" s="601" t="s">
        <v>325</v>
      </c>
      <c r="I107" s="601" t="s">
        <v>415</v>
      </c>
      <c r="J107" s="630" t="s">
        <v>338</v>
      </c>
      <c r="K107" s="630" t="s">
        <v>339</v>
      </c>
      <c r="L107" s="630" t="s">
        <v>320</v>
      </c>
      <c r="M107" s="630" t="s">
        <v>321</v>
      </c>
      <c r="N107" s="630" t="s">
        <v>340</v>
      </c>
      <c r="O107" s="630" t="s">
        <v>341</v>
      </c>
    </row>
    <row r="108" spans="1:15" hidden="1" x14ac:dyDescent="0.25">
      <c r="A108" s="630" t="s">
        <v>336</v>
      </c>
      <c r="B108" s="629">
        <v>3</v>
      </c>
      <c r="C108" s="630"/>
      <c r="D108" s="630" t="s">
        <v>319</v>
      </c>
      <c r="E108" s="630" t="s">
        <v>319</v>
      </c>
      <c r="F108" s="630" t="s">
        <v>319</v>
      </c>
      <c r="G108" s="630" t="s">
        <v>324</v>
      </c>
      <c r="H108" s="601" t="s">
        <v>325</v>
      </c>
      <c r="I108" s="601" t="s">
        <v>416</v>
      </c>
      <c r="J108" s="630" t="s">
        <v>338</v>
      </c>
      <c r="K108" s="630" t="s">
        <v>339</v>
      </c>
      <c r="L108" s="630" t="s">
        <v>320</v>
      </c>
      <c r="M108" s="630" t="s">
        <v>321</v>
      </c>
      <c r="N108" s="630" t="s">
        <v>340</v>
      </c>
      <c r="O108" s="630" t="s">
        <v>341</v>
      </c>
    </row>
    <row r="109" spans="1:15" hidden="1" x14ac:dyDescent="0.25">
      <c r="A109" s="630" t="s">
        <v>336</v>
      </c>
      <c r="B109" s="629">
        <v>0.85</v>
      </c>
      <c r="C109" s="630"/>
      <c r="D109" s="630" t="s">
        <v>319</v>
      </c>
      <c r="E109" s="630" t="s">
        <v>319</v>
      </c>
      <c r="F109" s="630" t="s">
        <v>319</v>
      </c>
      <c r="G109" s="630" t="s">
        <v>324</v>
      </c>
      <c r="H109" s="601" t="s">
        <v>325</v>
      </c>
      <c r="I109" s="601" t="s">
        <v>337</v>
      </c>
      <c r="J109" s="630" t="s">
        <v>338</v>
      </c>
      <c r="K109" s="630" t="s">
        <v>339</v>
      </c>
      <c r="L109" s="630" t="b">
        <v>0</v>
      </c>
      <c r="M109" s="630" t="s">
        <v>321</v>
      </c>
      <c r="N109" s="630" t="s">
        <v>340</v>
      </c>
      <c r="O109" s="630" t="s">
        <v>341</v>
      </c>
    </row>
    <row r="110" spans="1:15" hidden="1" x14ac:dyDescent="0.25">
      <c r="A110" s="630" t="s">
        <v>336</v>
      </c>
      <c r="B110" s="629">
        <v>0.85</v>
      </c>
      <c r="C110" s="630"/>
      <c r="D110" s="630" t="s">
        <v>319</v>
      </c>
      <c r="E110" s="630" t="s">
        <v>319</v>
      </c>
      <c r="F110" s="630" t="s">
        <v>319</v>
      </c>
      <c r="G110" s="630" t="s">
        <v>324</v>
      </c>
      <c r="H110" s="601" t="s">
        <v>325</v>
      </c>
      <c r="I110" s="601" t="s">
        <v>342</v>
      </c>
      <c r="J110" s="630" t="s">
        <v>338</v>
      </c>
      <c r="K110" s="630" t="s">
        <v>339</v>
      </c>
      <c r="L110" s="630" t="b">
        <v>0</v>
      </c>
      <c r="M110" s="630" t="s">
        <v>321</v>
      </c>
      <c r="N110" s="630" t="s">
        <v>340</v>
      </c>
      <c r="O110" s="630" t="s">
        <v>341</v>
      </c>
    </row>
    <row r="111" spans="1:15" hidden="1" x14ac:dyDescent="0.25">
      <c r="A111" s="630" t="s">
        <v>336</v>
      </c>
      <c r="B111" s="629">
        <v>0.85</v>
      </c>
      <c r="C111" s="630"/>
      <c r="D111" s="630" t="s">
        <v>319</v>
      </c>
      <c r="E111" s="630" t="s">
        <v>319</v>
      </c>
      <c r="F111" s="630" t="s">
        <v>319</v>
      </c>
      <c r="G111" s="630" t="s">
        <v>324</v>
      </c>
      <c r="H111" s="601" t="s">
        <v>325</v>
      </c>
      <c r="I111" s="601" t="s">
        <v>343</v>
      </c>
      <c r="J111" s="630" t="s">
        <v>338</v>
      </c>
      <c r="K111" s="630" t="s">
        <v>339</v>
      </c>
      <c r="L111" s="630" t="b">
        <v>0</v>
      </c>
      <c r="M111" s="630" t="s">
        <v>321</v>
      </c>
      <c r="N111" s="630" t="s">
        <v>340</v>
      </c>
      <c r="O111" s="630" t="s">
        <v>341</v>
      </c>
    </row>
    <row r="112" spans="1:15" hidden="1" x14ac:dyDescent="0.25">
      <c r="A112" s="630" t="s">
        <v>336</v>
      </c>
      <c r="B112" s="629">
        <v>0.85</v>
      </c>
      <c r="C112" s="630"/>
      <c r="D112" s="630" t="s">
        <v>319</v>
      </c>
      <c r="E112" s="630" t="s">
        <v>319</v>
      </c>
      <c r="F112" s="630" t="s">
        <v>319</v>
      </c>
      <c r="G112" s="630" t="s">
        <v>324</v>
      </c>
      <c r="H112" s="601" t="s">
        <v>325</v>
      </c>
      <c r="I112" s="601" t="s">
        <v>344</v>
      </c>
      <c r="J112" s="630" t="s">
        <v>338</v>
      </c>
      <c r="K112" s="630" t="s">
        <v>339</v>
      </c>
      <c r="L112" s="630" t="b">
        <v>0</v>
      </c>
      <c r="M112" s="630" t="s">
        <v>321</v>
      </c>
      <c r="N112" s="630" t="s">
        <v>340</v>
      </c>
      <c r="O112" s="630" t="s">
        <v>341</v>
      </c>
    </row>
    <row r="113" spans="1:15" hidden="1" x14ac:dyDescent="0.25">
      <c r="A113" s="630" t="s">
        <v>336</v>
      </c>
      <c r="B113" s="629">
        <v>0.85</v>
      </c>
      <c r="C113" s="630"/>
      <c r="D113" s="630" t="s">
        <v>319</v>
      </c>
      <c r="E113" s="630" t="s">
        <v>319</v>
      </c>
      <c r="F113" s="630" t="s">
        <v>319</v>
      </c>
      <c r="G113" s="630" t="s">
        <v>324</v>
      </c>
      <c r="H113" s="601" t="s">
        <v>325</v>
      </c>
      <c r="I113" s="601" t="s">
        <v>345</v>
      </c>
      <c r="J113" s="630" t="s">
        <v>338</v>
      </c>
      <c r="K113" s="630" t="s">
        <v>339</v>
      </c>
      <c r="L113" s="630" t="b">
        <v>0</v>
      </c>
      <c r="M113" s="630" t="s">
        <v>321</v>
      </c>
      <c r="N113" s="630" t="s">
        <v>340</v>
      </c>
      <c r="O113" s="630" t="s">
        <v>341</v>
      </c>
    </row>
    <row r="114" spans="1:15" hidden="1" x14ac:dyDescent="0.25">
      <c r="A114" s="630" t="s">
        <v>336</v>
      </c>
      <c r="B114" s="629">
        <v>0.9</v>
      </c>
      <c r="C114" s="630"/>
      <c r="D114" s="630" t="s">
        <v>319</v>
      </c>
      <c r="E114" s="630" t="s">
        <v>319</v>
      </c>
      <c r="F114" s="630" t="s">
        <v>319</v>
      </c>
      <c r="G114" s="630" t="s">
        <v>324</v>
      </c>
      <c r="H114" s="601" t="s">
        <v>325</v>
      </c>
      <c r="I114" s="601" t="s">
        <v>346</v>
      </c>
      <c r="J114" s="630" t="s">
        <v>338</v>
      </c>
      <c r="K114" s="630" t="s">
        <v>339</v>
      </c>
      <c r="L114" s="630" t="b">
        <v>0</v>
      </c>
      <c r="M114" s="630" t="s">
        <v>321</v>
      </c>
      <c r="N114" s="630" t="s">
        <v>340</v>
      </c>
      <c r="O114" s="630" t="s">
        <v>341</v>
      </c>
    </row>
    <row r="115" spans="1:15" hidden="1" x14ac:dyDescent="0.25">
      <c r="A115" s="630" t="s">
        <v>336</v>
      </c>
      <c r="B115" s="629">
        <v>0.9</v>
      </c>
      <c r="C115" s="630"/>
      <c r="D115" s="630" t="s">
        <v>319</v>
      </c>
      <c r="E115" s="630" t="s">
        <v>319</v>
      </c>
      <c r="F115" s="630" t="s">
        <v>319</v>
      </c>
      <c r="G115" s="630" t="s">
        <v>324</v>
      </c>
      <c r="H115" s="601" t="s">
        <v>325</v>
      </c>
      <c r="I115" s="601" t="s">
        <v>347</v>
      </c>
      <c r="J115" s="630" t="s">
        <v>338</v>
      </c>
      <c r="K115" s="630" t="s">
        <v>339</v>
      </c>
      <c r="L115" s="630" t="b">
        <v>0</v>
      </c>
      <c r="M115" s="630" t="s">
        <v>321</v>
      </c>
      <c r="N115" s="630" t="s">
        <v>340</v>
      </c>
      <c r="O115" s="630" t="s">
        <v>341</v>
      </c>
    </row>
    <row r="116" spans="1:15" hidden="1" x14ac:dyDescent="0.25">
      <c r="A116" s="630" t="s">
        <v>336</v>
      </c>
      <c r="B116" s="629">
        <v>0.9</v>
      </c>
      <c r="C116" s="630"/>
      <c r="D116" s="630" t="s">
        <v>319</v>
      </c>
      <c r="E116" s="630" t="s">
        <v>319</v>
      </c>
      <c r="F116" s="630" t="s">
        <v>319</v>
      </c>
      <c r="G116" s="630" t="s">
        <v>324</v>
      </c>
      <c r="H116" s="601" t="s">
        <v>325</v>
      </c>
      <c r="I116" s="601" t="s">
        <v>348</v>
      </c>
      <c r="J116" s="630" t="s">
        <v>338</v>
      </c>
      <c r="K116" s="630" t="s">
        <v>339</v>
      </c>
      <c r="L116" s="630" t="b">
        <v>0</v>
      </c>
      <c r="M116" s="630" t="s">
        <v>321</v>
      </c>
      <c r="N116" s="630" t="s">
        <v>340</v>
      </c>
      <c r="O116" s="630" t="s">
        <v>341</v>
      </c>
    </row>
    <row r="117" spans="1:15" hidden="1" x14ac:dyDescent="0.25">
      <c r="A117" s="630" t="s">
        <v>336</v>
      </c>
      <c r="B117" s="629">
        <v>0.9</v>
      </c>
      <c r="C117" s="630"/>
      <c r="D117" s="630" t="s">
        <v>319</v>
      </c>
      <c r="E117" s="630" t="s">
        <v>319</v>
      </c>
      <c r="F117" s="630" t="s">
        <v>319</v>
      </c>
      <c r="G117" s="630" t="s">
        <v>324</v>
      </c>
      <c r="H117" s="601" t="s">
        <v>325</v>
      </c>
      <c r="I117" s="601" t="s">
        <v>349</v>
      </c>
      <c r="J117" s="630" t="s">
        <v>338</v>
      </c>
      <c r="K117" s="630" t="s">
        <v>339</v>
      </c>
      <c r="L117" s="630" t="b">
        <v>0</v>
      </c>
      <c r="M117" s="630" t="s">
        <v>321</v>
      </c>
      <c r="N117" s="630" t="s">
        <v>340</v>
      </c>
      <c r="O117" s="630" t="s">
        <v>341</v>
      </c>
    </row>
    <row r="118" spans="1:15" hidden="1" x14ac:dyDescent="0.25">
      <c r="A118" s="630" t="s">
        <v>336</v>
      </c>
      <c r="B118" s="629">
        <v>0.9</v>
      </c>
      <c r="C118" s="630"/>
      <c r="D118" s="630" t="s">
        <v>319</v>
      </c>
      <c r="E118" s="630" t="s">
        <v>319</v>
      </c>
      <c r="F118" s="630" t="s">
        <v>319</v>
      </c>
      <c r="G118" s="630" t="s">
        <v>324</v>
      </c>
      <c r="H118" s="601" t="s">
        <v>325</v>
      </c>
      <c r="I118" s="601" t="s">
        <v>350</v>
      </c>
      <c r="J118" s="630" t="s">
        <v>338</v>
      </c>
      <c r="K118" s="630" t="s">
        <v>339</v>
      </c>
      <c r="L118" s="630" t="b">
        <v>0</v>
      </c>
      <c r="M118" s="630" t="s">
        <v>321</v>
      </c>
      <c r="N118" s="630" t="s">
        <v>340</v>
      </c>
      <c r="O118" s="630" t="s">
        <v>341</v>
      </c>
    </row>
    <row r="119" spans="1:15" hidden="1" x14ac:dyDescent="0.25">
      <c r="A119" s="630" t="s">
        <v>336</v>
      </c>
      <c r="B119" s="629">
        <v>0.9</v>
      </c>
      <c r="C119" s="630"/>
      <c r="D119" s="630" t="s">
        <v>319</v>
      </c>
      <c r="E119" s="630" t="s">
        <v>319</v>
      </c>
      <c r="F119" s="630" t="s">
        <v>319</v>
      </c>
      <c r="G119" s="630" t="s">
        <v>324</v>
      </c>
      <c r="H119" s="601" t="s">
        <v>325</v>
      </c>
      <c r="I119" s="601" t="s">
        <v>351</v>
      </c>
      <c r="J119" s="630" t="s">
        <v>338</v>
      </c>
      <c r="K119" s="630" t="s">
        <v>339</v>
      </c>
      <c r="L119" s="630" t="b">
        <v>0</v>
      </c>
      <c r="M119" s="630" t="s">
        <v>321</v>
      </c>
      <c r="N119" s="630" t="s">
        <v>340</v>
      </c>
      <c r="O119" s="630" t="s">
        <v>341</v>
      </c>
    </row>
    <row r="120" spans="1:15" hidden="1" x14ac:dyDescent="0.25">
      <c r="A120" s="630" t="s">
        <v>336</v>
      </c>
      <c r="B120" s="629">
        <v>0.9</v>
      </c>
      <c r="C120" s="630"/>
      <c r="D120" s="630" t="s">
        <v>319</v>
      </c>
      <c r="E120" s="630" t="s">
        <v>319</v>
      </c>
      <c r="F120" s="630" t="s">
        <v>319</v>
      </c>
      <c r="G120" s="630" t="s">
        <v>324</v>
      </c>
      <c r="H120" s="601" t="s">
        <v>325</v>
      </c>
      <c r="I120" s="601" t="s">
        <v>352</v>
      </c>
      <c r="J120" s="630" t="s">
        <v>338</v>
      </c>
      <c r="K120" s="630" t="s">
        <v>339</v>
      </c>
      <c r="L120" s="630" t="b">
        <v>0</v>
      </c>
      <c r="M120" s="630" t="s">
        <v>321</v>
      </c>
      <c r="N120" s="630" t="s">
        <v>340</v>
      </c>
      <c r="O120" s="630" t="s">
        <v>341</v>
      </c>
    </row>
    <row r="121" spans="1:15" hidden="1" x14ac:dyDescent="0.25">
      <c r="A121" s="630" t="s">
        <v>336</v>
      </c>
      <c r="B121" s="629">
        <v>0.9</v>
      </c>
      <c r="C121" s="630"/>
      <c r="D121" s="630" t="s">
        <v>319</v>
      </c>
      <c r="E121" s="630" t="s">
        <v>319</v>
      </c>
      <c r="F121" s="630" t="s">
        <v>319</v>
      </c>
      <c r="G121" s="630" t="s">
        <v>324</v>
      </c>
      <c r="H121" s="601" t="s">
        <v>325</v>
      </c>
      <c r="I121" s="601" t="s">
        <v>353</v>
      </c>
      <c r="J121" s="630" t="s">
        <v>338</v>
      </c>
      <c r="K121" s="630" t="s">
        <v>339</v>
      </c>
      <c r="L121" s="630" t="b">
        <v>0</v>
      </c>
      <c r="M121" s="630" t="s">
        <v>321</v>
      </c>
      <c r="N121" s="630" t="s">
        <v>340</v>
      </c>
      <c r="O121" s="630" t="s">
        <v>341</v>
      </c>
    </row>
    <row r="122" spans="1:15" hidden="1" x14ac:dyDescent="0.25">
      <c r="A122" s="630" t="s">
        <v>336</v>
      </c>
      <c r="B122" s="629">
        <v>0.9</v>
      </c>
      <c r="C122" s="630"/>
      <c r="D122" s="630" t="s">
        <v>319</v>
      </c>
      <c r="E122" s="630" t="s">
        <v>319</v>
      </c>
      <c r="F122" s="630" t="s">
        <v>319</v>
      </c>
      <c r="G122" s="630" t="s">
        <v>324</v>
      </c>
      <c r="H122" s="601" t="s">
        <v>325</v>
      </c>
      <c r="I122" s="601" t="s">
        <v>354</v>
      </c>
      <c r="J122" s="630" t="s">
        <v>338</v>
      </c>
      <c r="K122" s="630" t="s">
        <v>339</v>
      </c>
      <c r="L122" s="630" t="b">
        <v>0</v>
      </c>
      <c r="M122" s="630" t="s">
        <v>321</v>
      </c>
      <c r="N122" s="630" t="s">
        <v>340</v>
      </c>
      <c r="O122" s="630" t="s">
        <v>341</v>
      </c>
    </row>
    <row r="123" spans="1:15" hidden="1" x14ac:dyDescent="0.25">
      <c r="A123" s="630" t="s">
        <v>336</v>
      </c>
      <c r="B123" s="629">
        <v>0.9</v>
      </c>
      <c r="C123" s="630"/>
      <c r="D123" s="630" t="s">
        <v>319</v>
      </c>
      <c r="E123" s="630" t="s">
        <v>319</v>
      </c>
      <c r="F123" s="630" t="s">
        <v>319</v>
      </c>
      <c r="G123" s="630" t="s">
        <v>324</v>
      </c>
      <c r="H123" s="601" t="s">
        <v>325</v>
      </c>
      <c r="I123" s="601" t="s">
        <v>355</v>
      </c>
      <c r="J123" s="630" t="s">
        <v>338</v>
      </c>
      <c r="K123" s="630" t="s">
        <v>339</v>
      </c>
      <c r="L123" s="630" t="b">
        <v>0</v>
      </c>
      <c r="M123" s="630" t="s">
        <v>321</v>
      </c>
      <c r="N123" s="630" t="s">
        <v>340</v>
      </c>
      <c r="O123" s="630" t="s">
        <v>341</v>
      </c>
    </row>
    <row r="124" spans="1:15" hidden="1" x14ac:dyDescent="0.25">
      <c r="A124" s="630" t="s">
        <v>336</v>
      </c>
      <c r="B124" s="629">
        <v>1</v>
      </c>
      <c r="C124" s="630"/>
      <c r="D124" s="630" t="s">
        <v>319</v>
      </c>
      <c r="E124" s="630" t="s">
        <v>319</v>
      </c>
      <c r="F124" s="630" t="s">
        <v>319</v>
      </c>
      <c r="G124" s="630" t="s">
        <v>324</v>
      </c>
      <c r="H124" s="601" t="s">
        <v>325</v>
      </c>
      <c r="I124" s="601" t="s">
        <v>356</v>
      </c>
      <c r="J124" s="630" t="s">
        <v>338</v>
      </c>
      <c r="K124" s="630" t="s">
        <v>339</v>
      </c>
      <c r="L124" s="630" t="b">
        <v>0</v>
      </c>
      <c r="M124" s="630" t="s">
        <v>321</v>
      </c>
      <c r="N124" s="630" t="s">
        <v>340</v>
      </c>
      <c r="O124" s="630" t="s">
        <v>341</v>
      </c>
    </row>
    <row r="125" spans="1:15" hidden="1" x14ac:dyDescent="0.25">
      <c r="A125" s="630" t="s">
        <v>336</v>
      </c>
      <c r="B125" s="629">
        <v>1</v>
      </c>
      <c r="C125" s="630"/>
      <c r="D125" s="630" t="s">
        <v>319</v>
      </c>
      <c r="E125" s="630" t="s">
        <v>319</v>
      </c>
      <c r="F125" s="630" t="s">
        <v>319</v>
      </c>
      <c r="G125" s="630" t="s">
        <v>324</v>
      </c>
      <c r="H125" s="601" t="s">
        <v>325</v>
      </c>
      <c r="I125" s="601" t="s">
        <v>357</v>
      </c>
      <c r="J125" s="630" t="s">
        <v>338</v>
      </c>
      <c r="K125" s="630" t="s">
        <v>339</v>
      </c>
      <c r="L125" s="630" t="b">
        <v>0</v>
      </c>
      <c r="M125" s="630" t="s">
        <v>321</v>
      </c>
      <c r="N125" s="630" t="s">
        <v>340</v>
      </c>
      <c r="O125" s="630" t="s">
        <v>341</v>
      </c>
    </row>
    <row r="126" spans="1:15" hidden="1" x14ac:dyDescent="0.25">
      <c r="A126" s="630" t="s">
        <v>336</v>
      </c>
      <c r="B126" s="629">
        <v>1</v>
      </c>
      <c r="C126" s="630"/>
      <c r="D126" s="630" t="s">
        <v>319</v>
      </c>
      <c r="E126" s="630" t="s">
        <v>319</v>
      </c>
      <c r="F126" s="630" t="s">
        <v>319</v>
      </c>
      <c r="G126" s="630" t="s">
        <v>324</v>
      </c>
      <c r="H126" s="601" t="s">
        <v>325</v>
      </c>
      <c r="I126" s="601" t="s">
        <v>358</v>
      </c>
      <c r="J126" s="630" t="s">
        <v>338</v>
      </c>
      <c r="K126" s="630" t="s">
        <v>339</v>
      </c>
      <c r="L126" s="630" t="b">
        <v>0</v>
      </c>
      <c r="M126" s="630" t="s">
        <v>321</v>
      </c>
      <c r="N126" s="630" t="s">
        <v>340</v>
      </c>
      <c r="O126" s="630" t="s">
        <v>341</v>
      </c>
    </row>
    <row r="127" spans="1:15" hidden="1" x14ac:dyDescent="0.25">
      <c r="A127" s="630" t="s">
        <v>336</v>
      </c>
      <c r="B127" s="629">
        <v>1</v>
      </c>
      <c r="C127" s="630"/>
      <c r="D127" s="630" t="s">
        <v>319</v>
      </c>
      <c r="E127" s="630" t="s">
        <v>319</v>
      </c>
      <c r="F127" s="630" t="s">
        <v>319</v>
      </c>
      <c r="G127" s="630" t="s">
        <v>324</v>
      </c>
      <c r="H127" s="601" t="s">
        <v>325</v>
      </c>
      <c r="I127" s="601" t="s">
        <v>359</v>
      </c>
      <c r="J127" s="630" t="s">
        <v>338</v>
      </c>
      <c r="K127" s="630" t="s">
        <v>339</v>
      </c>
      <c r="L127" s="630" t="b">
        <v>0</v>
      </c>
      <c r="M127" s="630" t="s">
        <v>321</v>
      </c>
      <c r="N127" s="630" t="s">
        <v>340</v>
      </c>
      <c r="O127" s="630" t="s">
        <v>341</v>
      </c>
    </row>
    <row r="128" spans="1:15" hidden="1" x14ac:dyDescent="0.25">
      <c r="A128" s="630" t="s">
        <v>336</v>
      </c>
      <c r="B128" s="629">
        <v>1</v>
      </c>
      <c r="C128" s="630"/>
      <c r="D128" s="630" t="s">
        <v>319</v>
      </c>
      <c r="E128" s="630" t="s">
        <v>319</v>
      </c>
      <c r="F128" s="630" t="s">
        <v>319</v>
      </c>
      <c r="G128" s="630" t="s">
        <v>324</v>
      </c>
      <c r="H128" s="601" t="s">
        <v>325</v>
      </c>
      <c r="I128" s="601" t="s">
        <v>360</v>
      </c>
      <c r="J128" s="630" t="s">
        <v>338</v>
      </c>
      <c r="K128" s="630" t="s">
        <v>339</v>
      </c>
      <c r="L128" s="630" t="b">
        <v>0</v>
      </c>
      <c r="M128" s="630" t="s">
        <v>321</v>
      </c>
      <c r="N128" s="630" t="s">
        <v>340</v>
      </c>
      <c r="O128" s="630" t="s">
        <v>341</v>
      </c>
    </row>
    <row r="129" spans="1:15" hidden="1" x14ac:dyDescent="0.25">
      <c r="A129" s="630" t="s">
        <v>336</v>
      </c>
      <c r="B129" s="629">
        <v>1</v>
      </c>
      <c r="C129" s="630"/>
      <c r="D129" s="630" t="s">
        <v>319</v>
      </c>
      <c r="E129" s="630" t="s">
        <v>319</v>
      </c>
      <c r="F129" s="630" t="s">
        <v>319</v>
      </c>
      <c r="G129" s="630" t="s">
        <v>324</v>
      </c>
      <c r="H129" s="601" t="s">
        <v>325</v>
      </c>
      <c r="I129" s="601" t="s">
        <v>361</v>
      </c>
      <c r="J129" s="630" t="s">
        <v>338</v>
      </c>
      <c r="K129" s="630" t="s">
        <v>339</v>
      </c>
      <c r="L129" s="630" t="b">
        <v>0</v>
      </c>
      <c r="M129" s="630" t="s">
        <v>321</v>
      </c>
      <c r="N129" s="630" t="s">
        <v>340</v>
      </c>
      <c r="O129" s="630" t="s">
        <v>341</v>
      </c>
    </row>
    <row r="130" spans="1:15" hidden="1" x14ac:dyDescent="0.25">
      <c r="A130" s="630" t="s">
        <v>336</v>
      </c>
      <c r="B130" s="629">
        <v>1</v>
      </c>
      <c r="C130" s="630"/>
      <c r="D130" s="630" t="s">
        <v>319</v>
      </c>
      <c r="E130" s="630" t="s">
        <v>319</v>
      </c>
      <c r="F130" s="630" t="s">
        <v>319</v>
      </c>
      <c r="G130" s="630" t="s">
        <v>324</v>
      </c>
      <c r="H130" s="601" t="s">
        <v>325</v>
      </c>
      <c r="I130" s="601" t="s">
        <v>362</v>
      </c>
      <c r="J130" s="630" t="s">
        <v>338</v>
      </c>
      <c r="K130" s="630" t="s">
        <v>339</v>
      </c>
      <c r="L130" s="630" t="b">
        <v>0</v>
      </c>
      <c r="M130" s="630" t="s">
        <v>321</v>
      </c>
      <c r="N130" s="630" t="s">
        <v>340</v>
      </c>
      <c r="O130" s="630" t="s">
        <v>341</v>
      </c>
    </row>
    <row r="131" spans="1:15" hidden="1" x14ac:dyDescent="0.25">
      <c r="A131" s="630" t="s">
        <v>336</v>
      </c>
      <c r="B131" s="629">
        <v>1</v>
      </c>
      <c r="C131" s="630"/>
      <c r="D131" s="630" t="s">
        <v>319</v>
      </c>
      <c r="E131" s="630" t="s">
        <v>319</v>
      </c>
      <c r="F131" s="630" t="s">
        <v>319</v>
      </c>
      <c r="G131" s="630" t="s">
        <v>324</v>
      </c>
      <c r="H131" s="601" t="s">
        <v>325</v>
      </c>
      <c r="I131" s="601" t="s">
        <v>363</v>
      </c>
      <c r="J131" s="630" t="s">
        <v>338</v>
      </c>
      <c r="K131" s="630" t="s">
        <v>339</v>
      </c>
      <c r="L131" s="630" t="b">
        <v>0</v>
      </c>
      <c r="M131" s="630" t="s">
        <v>321</v>
      </c>
      <c r="N131" s="630" t="s">
        <v>340</v>
      </c>
      <c r="O131" s="630" t="s">
        <v>341</v>
      </c>
    </row>
    <row r="132" spans="1:15" hidden="1" x14ac:dyDescent="0.25">
      <c r="A132" s="630" t="s">
        <v>336</v>
      </c>
      <c r="B132" s="629">
        <v>1</v>
      </c>
      <c r="C132" s="630"/>
      <c r="D132" s="630" t="s">
        <v>319</v>
      </c>
      <c r="E132" s="630" t="s">
        <v>319</v>
      </c>
      <c r="F132" s="630" t="s">
        <v>319</v>
      </c>
      <c r="G132" s="630" t="s">
        <v>324</v>
      </c>
      <c r="H132" s="601" t="s">
        <v>325</v>
      </c>
      <c r="I132" s="601" t="s">
        <v>364</v>
      </c>
      <c r="J132" s="630" t="s">
        <v>338</v>
      </c>
      <c r="K132" s="630" t="s">
        <v>339</v>
      </c>
      <c r="L132" s="630" t="b">
        <v>0</v>
      </c>
      <c r="M132" s="630" t="s">
        <v>321</v>
      </c>
      <c r="N132" s="630" t="s">
        <v>340</v>
      </c>
      <c r="O132" s="630" t="s">
        <v>341</v>
      </c>
    </row>
    <row r="133" spans="1:15" hidden="1" x14ac:dyDescent="0.25">
      <c r="A133" s="630" t="s">
        <v>336</v>
      </c>
      <c r="B133" s="629">
        <v>1</v>
      </c>
      <c r="C133" s="630"/>
      <c r="D133" s="630" t="s">
        <v>319</v>
      </c>
      <c r="E133" s="630" t="s">
        <v>319</v>
      </c>
      <c r="F133" s="630" t="s">
        <v>319</v>
      </c>
      <c r="G133" s="630" t="s">
        <v>324</v>
      </c>
      <c r="H133" s="601" t="s">
        <v>325</v>
      </c>
      <c r="I133" s="601" t="s">
        <v>365</v>
      </c>
      <c r="J133" s="630" t="s">
        <v>338</v>
      </c>
      <c r="K133" s="630" t="s">
        <v>339</v>
      </c>
      <c r="L133" s="630" t="b">
        <v>0</v>
      </c>
      <c r="M133" s="630" t="s">
        <v>321</v>
      </c>
      <c r="N133" s="630" t="s">
        <v>340</v>
      </c>
      <c r="O133" s="630" t="s">
        <v>341</v>
      </c>
    </row>
    <row r="134" spans="1:15" hidden="1" x14ac:dyDescent="0.25">
      <c r="A134" s="630" t="s">
        <v>336</v>
      </c>
      <c r="B134" s="629">
        <v>1.1499999999999999</v>
      </c>
      <c r="C134" s="630"/>
      <c r="D134" s="630" t="s">
        <v>319</v>
      </c>
      <c r="E134" s="630" t="s">
        <v>319</v>
      </c>
      <c r="F134" s="630" t="s">
        <v>319</v>
      </c>
      <c r="G134" s="630" t="s">
        <v>324</v>
      </c>
      <c r="H134" s="601" t="s">
        <v>325</v>
      </c>
      <c r="I134" s="601" t="s">
        <v>366</v>
      </c>
      <c r="J134" s="630" t="s">
        <v>338</v>
      </c>
      <c r="K134" s="630" t="s">
        <v>339</v>
      </c>
      <c r="L134" s="630" t="b">
        <v>0</v>
      </c>
      <c r="M134" s="630" t="s">
        <v>321</v>
      </c>
      <c r="N134" s="630" t="s">
        <v>340</v>
      </c>
      <c r="O134" s="630" t="s">
        <v>341</v>
      </c>
    </row>
    <row r="135" spans="1:15" hidden="1" x14ac:dyDescent="0.25">
      <c r="A135" s="630" t="s">
        <v>336</v>
      </c>
      <c r="B135" s="629">
        <v>1.1499999999999999</v>
      </c>
      <c r="C135" s="630"/>
      <c r="D135" s="630" t="s">
        <v>319</v>
      </c>
      <c r="E135" s="630" t="s">
        <v>319</v>
      </c>
      <c r="F135" s="630" t="s">
        <v>319</v>
      </c>
      <c r="G135" s="630" t="s">
        <v>324</v>
      </c>
      <c r="H135" s="601" t="s">
        <v>325</v>
      </c>
      <c r="I135" s="601" t="s">
        <v>367</v>
      </c>
      <c r="J135" s="630" t="s">
        <v>338</v>
      </c>
      <c r="K135" s="630" t="s">
        <v>339</v>
      </c>
      <c r="L135" s="630" t="b">
        <v>0</v>
      </c>
      <c r="M135" s="630" t="s">
        <v>321</v>
      </c>
      <c r="N135" s="630" t="s">
        <v>340</v>
      </c>
      <c r="O135" s="630" t="s">
        <v>341</v>
      </c>
    </row>
    <row r="136" spans="1:15" hidden="1" x14ac:dyDescent="0.25">
      <c r="A136" s="630" t="s">
        <v>336</v>
      </c>
      <c r="B136" s="629">
        <v>1.1499999999999999</v>
      </c>
      <c r="C136" s="630"/>
      <c r="D136" s="630" t="s">
        <v>319</v>
      </c>
      <c r="E136" s="630" t="s">
        <v>319</v>
      </c>
      <c r="F136" s="630" t="s">
        <v>319</v>
      </c>
      <c r="G136" s="630" t="s">
        <v>324</v>
      </c>
      <c r="H136" s="601" t="s">
        <v>325</v>
      </c>
      <c r="I136" s="601" t="s">
        <v>368</v>
      </c>
      <c r="J136" s="630" t="s">
        <v>338</v>
      </c>
      <c r="K136" s="630" t="s">
        <v>339</v>
      </c>
      <c r="L136" s="630" t="b">
        <v>0</v>
      </c>
      <c r="M136" s="630" t="s">
        <v>321</v>
      </c>
      <c r="N136" s="630" t="s">
        <v>340</v>
      </c>
      <c r="O136" s="630" t="s">
        <v>341</v>
      </c>
    </row>
    <row r="137" spans="1:15" hidden="1" x14ac:dyDescent="0.25">
      <c r="A137" s="630" t="s">
        <v>336</v>
      </c>
      <c r="B137" s="629">
        <v>1.1499999999999999</v>
      </c>
      <c r="C137" s="630"/>
      <c r="D137" s="630" t="s">
        <v>319</v>
      </c>
      <c r="E137" s="630" t="s">
        <v>319</v>
      </c>
      <c r="F137" s="630" t="s">
        <v>319</v>
      </c>
      <c r="G137" s="630" t="s">
        <v>324</v>
      </c>
      <c r="H137" s="601" t="s">
        <v>325</v>
      </c>
      <c r="I137" s="601" t="s">
        <v>369</v>
      </c>
      <c r="J137" s="630" t="s">
        <v>338</v>
      </c>
      <c r="K137" s="630" t="s">
        <v>339</v>
      </c>
      <c r="L137" s="630" t="b">
        <v>0</v>
      </c>
      <c r="M137" s="630" t="s">
        <v>321</v>
      </c>
      <c r="N137" s="630" t="s">
        <v>340</v>
      </c>
      <c r="O137" s="630" t="s">
        <v>341</v>
      </c>
    </row>
    <row r="138" spans="1:15" hidden="1" x14ac:dyDescent="0.25">
      <c r="A138" s="630" t="s">
        <v>336</v>
      </c>
      <c r="B138" s="629">
        <v>1.1499999999999999</v>
      </c>
      <c r="C138" s="630"/>
      <c r="D138" s="630" t="s">
        <v>319</v>
      </c>
      <c r="E138" s="630" t="s">
        <v>319</v>
      </c>
      <c r="F138" s="630" t="s">
        <v>319</v>
      </c>
      <c r="G138" s="630" t="s">
        <v>324</v>
      </c>
      <c r="H138" s="601" t="s">
        <v>325</v>
      </c>
      <c r="I138" s="601" t="s">
        <v>370</v>
      </c>
      <c r="J138" s="630" t="s">
        <v>338</v>
      </c>
      <c r="K138" s="630" t="s">
        <v>339</v>
      </c>
      <c r="L138" s="630" t="b">
        <v>0</v>
      </c>
      <c r="M138" s="630" t="s">
        <v>321</v>
      </c>
      <c r="N138" s="630" t="s">
        <v>340</v>
      </c>
      <c r="O138" s="630" t="s">
        <v>341</v>
      </c>
    </row>
    <row r="139" spans="1:15" hidden="1" x14ac:dyDescent="0.25">
      <c r="A139" s="630" t="s">
        <v>336</v>
      </c>
      <c r="B139" s="629">
        <v>1.1499999999999999</v>
      </c>
      <c r="C139" s="630"/>
      <c r="D139" s="630" t="s">
        <v>319</v>
      </c>
      <c r="E139" s="630" t="s">
        <v>319</v>
      </c>
      <c r="F139" s="630" t="s">
        <v>319</v>
      </c>
      <c r="G139" s="630" t="s">
        <v>324</v>
      </c>
      <c r="H139" s="601" t="s">
        <v>325</v>
      </c>
      <c r="I139" s="601" t="s">
        <v>371</v>
      </c>
      <c r="J139" s="630" t="s">
        <v>338</v>
      </c>
      <c r="K139" s="630" t="s">
        <v>339</v>
      </c>
      <c r="L139" s="630" t="b">
        <v>0</v>
      </c>
      <c r="M139" s="630" t="s">
        <v>321</v>
      </c>
      <c r="N139" s="630" t="s">
        <v>340</v>
      </c>
      <c r="O139" s="630" t="s">
        <v>341</v>
      </c>
    </row>
    <row r="140" spans="1:15" hidden="1" x14ac:dyDescent="0.25">
      <c r="A140" s="630" t="s">
        <v>336</v>
      </c>
      <c r="B140" s="629">
        <v>1.1499999999999999</v>
      </c>
      <c r="C140" s="630"/>
      <c r="D140" s="630" t="s">
        <v>319</v>
      </c>
      <c r="E140" s="630" t="s">
        <v>319</v>
      </c>
      <c r="F140" s="630" t="s">
        <v>319</v>
      </c>
      <c r="G140" s="630" t="s">
        <v>324</v>
      </c>
      <c r="H140" s="601" t="s">
        <v>325</v>
      </c>
      <c r="I140" s="601" t="s">
        <v>372</v>
      </c>
      <c r="J140" s="630" t="s">
        <v>338</v>
      </c>
      <c r="K140" s="630" t="s">
        <v>339</v>
      </c>
      <c r="L140" s="630" t="b">
        <v>0</v>
      </c>
      <c r="M140" s="630" t="s">
        <v>321</v>
      </c>
      <c r="N140" s="630" t="s">
        <v>340</v>
      </c>
      <c r="O140" s="630" t="s">
        <v>341</v>
      </c>
    </row>
    <row r="141" spans="1:15" hidden="1" x14ac:dyDescent="0.25">
      <c r="A141" s="630" t="s">
        <v>336</v>
      </c>
      <c r="B141" s="629">
        <v>1.1499999999999999</v>
      </c>
      <c r="C141" s="630"/>
      <c r="D141" s="630" t="s">
        <v>319</v>
      </c>
      <c r="E141" s="630" t="s">
        <v>319</v>
      </c>
      <c r="F141" s="630" t="s">
        <v>319</v>
      </c>
      <c r="G141" s="630" t="s">
        <v>324</v>
      </c>
      <c r="H141" s="601" t="s">
        <v>325</v>
      </c>
      <c r="I141" s="601" t="s">
        <v>373</v>
      </c>
      <c r="J141" s="630" t="s">
        <v>338</v>
      </c>
      <c r="K141" s="630" t="s">
        <v>339</v>
      </c>
      <c r="L141" s="630" t="b">
        <v>0</v>
      </c>
      <c r="M141" s="630" t="s">
        <v>321</v>
      </c>
      <c r="N141" s="630" t="s">
        <v>340</v>
      </c>
      <c r="O141" s="630" t="s">
        <v>341</v>
      </c>
    </row>
    <row r="142" spans="1:15" hidden="1" x14ac:dyDescent="0.25">
      <c r="A142" s="630" t="s">
        <v>336</v>
      </c>
      <c r="B142" s="629">
        <v>1.1499999999999999</v>
      </c>
      <c r="C142" s="630"/>
      <c r="D142" s="630" t="s">
        <v>319</v>
      </c>
      <c r="E142" s="630" t="s">
        <v>319</v>
      </c>
      <c r="F142" s="630" t="s">
        <v>319</v>
      </c>
      <c r="G142" s="630" t="s">
        <v>324</v>
      </c>
      <c r="H142" s="601" t="s">
        <v>325</v>
      </c>
      <c r="I142" s="601" t="s">
        <v>374</v>
      </c>
      <c r="J142" s="630" t="s">
        <v>338</v>
      </c>
      <c r="K142" s="630" t="s">
        <v>339</v>
      </c>
      <c r="L142" s="630" t="b">
        <v>0</v>
      </c>
      <c r="M142" s="630" t="s">
        <v>321</v>
      </c>
      <c r="N142" s="630" t="s">
        <v>340</v>
      </c>
      <c r="O142" s="630" t="s">
        <v>341</v>
      </c>
    </row>
    <row r="143" spans="1:15" hidden="1" x14ac:dyDescent="0.25">
      <c r="A143" s="630" t="s">
        <v>336</v>
      </c>
      <c r="B143" s="629">
        <v>1.1499999999999999</v>
      </c>
      <c r="C143" s="630"/>
      <c r="D143" s="630" t="s">
        <v>319</v>
      </c>
      <c r="E143" s="630" t="s">
        <v>319</v>
      </c>
      <c r="F143" s="630" t="s">
        <v>319</v>
      </c>
      <c r="G143" s="630" t="s">
        <v>324</v>
      </c>
      <c r="H143" s="601" t="s">
        <v>325</v>
      </c>
      <c r="I143" s="601" t="s">
        <v>375</v>
      </c>
      <c r="J143" s="630" t="s">
        <v>338</v>
      </c>
      <c r="K143" s="630" t="s">
        <v>339</v>
      </c>
      <c r="L143" s="630" t="b">
        <v>0</v>
      </c>
      <c r="M143" s="630" t="s">
        <v>321</v>
      </c>
      <c r="N143" s="630" t="s">
        <v>340</v>
      </c>
      <c r="O143" s="630" t="s">
        <v>341</v>
      </c>
    </row>
    <row r="144" spans="1:15" hidden="1" x14ac:dyDescent="0.25">
      <c r="A144" s="630" t="s">
        <v>336</v>
      </c>
      <c r="B144" s="629">
        <v>2</v>
      </c>
      <c r="C144" s="630"/>
      <c r="D144" s="630" t="s">
        <v>319</v>
      </c>
      <c r="E144" s="630" t="s">
        <v>319</v>
      </c>
      <c r="F144" s="630" t="s">
        <v>319</v>
      </c>
      <c r="G144" s="630" t="s">
        <v>324</v>
      </c>
      <c r="H144" s="601" t="s">
        <v>325</v>
      </c>
      <c r="I144" s="601" t="s">
        <v>376</v>
      </c>
      <c r="J144" s="630" t="s">
        <v>338</v>
      </c>
      <c r="K144" s="630" t="s">
        <v>339</v>
      </c>
      <c r="L144" s="630" t="b">
        <v>0</v>
      </c>
      <c r="M144" s="630" t="s">
        <v>321</v>
      </c>
      <c r="N144" s="630" t="s">
        <v>340</v>
      </c>
      <c r="O144" s="630" t="s">
        <v>341</v>
      </c>
    </row>
    <row r="145" spans="1:15" hidden="1" x14ac:dyDescent="0.25">
      <c r="A145" s="630" t="s">
        <v>336</v>
      </c>
      <c r="B145" s="629">
        <v>2</v>
      </c>
      <c r="C145" s="630"/>
      <c r="D145" s="630" t="s">
        <v>319</v>
      </c>
      <c r="E145" s="630" t="s">
        <v>319</v>
      </c>
      <c r="F145" s="630" t="s">
        <v>319</v>
      </c>
      <c r="G145" s="630" t="s">
        <v>324</v>
      </c>
      <c r="H145" s="601" t="s">
        <v>325</v>
      </c>
      <c r="I145" s="601" t="s">
        <v>377</v>
      </c>
      <c r="J145" s="630" t="s">
        <v>338</v>
      </c>
      <c r="K145" s="630" t="s">
        <v>339</v>
      </c>
      <c r="L145" s="630" t="b">
        <v>0</v>
      </c>
      <c r="M145" s="630" t="s">
        <v>321</v>
      </c>
      <c r="N145" s="630" t="s">
        <v>340</v>
      </c>
      <c r="O145" s="630" t="s">
        <v>341</v>
      </c>
    </row>
    <row r="146" spans="1:15" hidden="1" x14ac:dyDescent="0.25">
      <c r="A146" s="630" t="s">
        <v>336</v>
      </c>
      <c r="B146" s="629">
        <v>2</v>
      </c>
      <c r="C146" s="630"/>
      <c r="D146" s="630" t="s">
        <v>319</v>
      </c>
      <c r="E146" s="630" t="s">
        <v>319</v>
      </c>
      <c r="F146" s="630" t="s">
        <v>319</v>
      </c>
      <c r="G146" s="630" t="s">
        <v>324</v>
      </c>
      <c r="H146" s="601" t="s">
        <v>325</v>
      </c>
      <c r="I146" s="601" t="s">
        <v>378</v>
      </c>
      <c r="J146" s="630" t="s">
        <v>338</v>
      </c>
      <c r="K146" s="630" t="s">
        <v>339</v>
      </c>
      <c r="L146" s="630" t="b">
        <v>0</v>
      </c>
      <c r="M146" s="630" t="s">
        <v>321</v>
      </c>
      <c r="N146" s="630" t="s">
        <v>340</v>
      </c>
      <c r="O146" s="630" t="s">
        <v>341</v>
      </c>
    </row>
    <row r="147" spans="1:15" hidden="1" x14ac:dyDescent="0.25">
      <c r="A147" s="630" t="s">
        <v>336</v>
      </c>
      <c r="B147" s="629">
        <v>2</v>
      </c>
      <c r="C147" s="630"/>
      <c r="D147" s="630" t="s">
        <v>319</v>
      </c>
      <c r="E147" s="630" t="s">
        <v>319</v>
      </c>
      <c r="F147" s="630" t="s">
        <v>319</v>
      </c>
      <c r="G147" s="630" t="s">
        <v>324</v>
      </c>
      <c r="H147" s="601" t="s">
        <v>325</v>
      </c>
      <c r="I147" s="601" t="s">
        <v>379</v>
      </c>
      <c r="J147" s="630" t="s">
        <v>338</v>
      </c>
      <c r="K147" s="630" t="s">
        <v>339</v>
      </c>
      <c r="L147" s="630" t="b">
        <v>0</v>
      </c>
      <c r="M147" s="630" t="s">
        <v>321</v>
      </c>
      <c r="N147" s="630" t="s">
        <v>340</v>
      </c>
      <c r="O147" s="630" t="s">
        <v>341</v>
      </c>
    </row>
    <row r="148" spans="1:15" hidden="1" x14ac:dyDescent="0.25">
      <c r="A148" s="630" t="s">
        <v>336</v>
      </c>
      <c r="B148" s="629">
        <v>2</v>
      </c>
      <c r="C148" s="630"/>
      <c r="D148" s="630" t="s">
        <v>319</v>
      </c>
      <c r="E148" s="630" t="s">
        <v>319</v>
      </c>
      <c r="F148" s="630" t="s">
        <v>319</v>
      </c>
      <c r="G148" s="630" t="s">
        <v>324</v>
      </c>
      <c r="H148" s="601" t="s">
        <v>325</v>
      </c>
      <c r="I148" s="601" t="s">
        <v>380</v>
      </c>
      <c r="J148" s="630" t="s">
        <v>338</v>
      </c>
      <c r="K148" s="630" t="s">
        <v>339</v>
      </c>
      <c r="L148" s="630" t="b">
        <v>0</v>
      </c>
      <c r="M148" s="630" t="s">
        <v>321</v>
      </c>
      <c r="N148" s="630" t="s">
        <v>340</v>
      </c>
      <c r="O148" s="630" t="s">
        <v>341</v>
      </c>
    </row>
    <row r="149" spans="1:15" hidden="1" x14ac:dyDescent="0.25">
      <c r="A149" s="630" t="s">
        <v>336</v>
      </c>
      <c r="B149" s="629">
        <v>2</v>
      </c>
      <c r="C149" s="630"/>
      <c r="D149" s="630" t="s">
        <v>319</v>
      </c>
      <c r="E149" s="630" t="s">
        <v>319</v>
      </c>
      <c r="F149" s="630" t="s">
        <v>319</v>
      </c>
      <c r="G149" s="630" t="s">
        <v>324</v>
      </c>
      <c r="H149" s="601" t="s">
        <v>325</v>
      </c>
      <c r="I149" s="601" t="s">
        <v>381</v>
      </c>
      <c r="J149" s="630" t="s">
        <v>338</v>
      </c>
      <c r="K149" s="630" t="s">
        <v>339</v>
      </c>
      <c r="L149" s="630" t="b">
        <v>0</v>
      </c>
      <c r="M149" s="630" t="s">
        <v>321</v>
      </c>
      <c r="N149" s="630" t="s">
        <v>340</v>
      </c>
      <c r="O149" s="630" t="s">
        <v>341</v>
      </c>
    </row>
    <row r="150" spans="1:15" hidden="1" x14ac:dyDescent="0.25">
      <c r="A150" s="630" t="s">
        <v>336</v>
      </c>
      <c r="B150" s="629">
        <v>2</v>
      </c>
      <c r="C150" s="630"/>
      <c r="D150" s="630" t="s">
        <v>319</v>
      </c>
      <c r="E150" s="630" t="s">
        <v>319</v>
      </c>
      <c r="F150" s="630" t="s">
        <v>319</v>
      </c>
      <c r="G150" s="630" t="s">
        <v>324</v>
      </c>
      <c r="H150" s="601" t="s">
        <v>325</v>
      </c>
      <c r="I150" s="601" t="s">
        <v>382</v>
      </c>
      <c r="J150" s="630" t="s">
        <v>338</v>
      </c>
      <c r="K150" s="630" t="s">
        <v>339</v>
      </c>
      <c r="L150" s="630" t="b">
        <v>0</v>
      </c>
      <c r="M150" s="630" t="s">
        <v>321</v>
      </c>
      <c r="N150" s="630" t="s">
        <v>340</v>
      </c>
      <c r="O150" s="630" t="s">
        <v>341</v>
      </c>
    </row>
    <row r="151" spans="1:15" hidden="1" x14ac:dyDescent="0.25">
      <c r="A151" s="630" t="s">
        <v>336</v>
      </c>
      <c r="B151" s="629">
        <v>2</v>
      </c>
      <c r="C151" s="630"/>
      <c r="D151" s="630" t="s">
        <v>319</v>
      </c>
      <c r="E151" s="630" t="s">
        <v>319</v>
      </c>
      <c r="F151" s="630" t="s">
        <v>319</v>
      </c>
      <c r="G151" s="630" t="s">
        <v>324</v>
      </c>
      <c r="H151" s="601" t="s">
        <v>325</v>
      </c>
      <c r="I151" s="601" t="s">
        <v>383</v>
      </c>
      <c r="J151" s="630" t="s">
        <v>338</v>
      </c>
      <c r="K151" s="630" t="s">
        <v>339</v>
      </c>
      <c r="L151" s="630" t="b">
        <v>0</v>
      </c>
      <c r="M151" s="630" t="s">
        <v>321</v>
      </c>
      <c r="N151" s="630" t="s">
        <v>340</v>
      </c>
      <c r="O151" s="630" t="s">
        <v>341</v>
      </c>
    </row>
    <row r="152" spans="1:15" hidden="1" x14ac:dyDescent="0.25">
      <c r="A152" s="630" t="s">
        <v>336</v>
      </c>
      <c r="B152" s="629">
        <v>2</v>
      </c>
      <c r="C152" s="630"/>
      <c r="D152" s="630" t="s">
        <v>319</v>
      </c>
      <c r="E152" s="630" t="s">
        <v>319</v>
      </c>
      <c r="F152" s="630" t="s">
        <v>319</v>
      </c>
      <c r="G152" s="630" t="s">
        <v>324</v>
      </c>
      <c r="H152" s="601" t="s">
        <v>325</v>
      </c>
      <c r="I152" s="601" t="s">
        <v>384</v>
      </c>
      <c r="J152" s="630" t="s">
        <v>338</v>
      </c>
      <c r="K152" s="630" t="s">
        <v>339</v>
      </c>
      <c r="L152" s="630" t="b">
        <v>0</v>
      </c>
      <c r="M152" s="630" t="s">
        <v>321</v>
      </c>
      <c r="N152" s="630" t="s">
        <v>340</v>
      </c>
      <c r="O152" s="630" t="s">
        <v>341</v>
      </c>
    </row>
    <row r="153" spans="1:15" hidden="1" x14ac:dyDescent="0.25">
      <c r="A153" s="630" t="s">
        <v>336</v>
      </c>
      <c r="B153" s="629">
        <v>2</v>
      </c>
      <c r="C153" s="630"/>
      <c r="D153" s="630" t="s">
        <v>319</v>
      </c>
      <c r="E153" s="630" t="s">
        <v>319</v>
      </c>
      <c r="F153" s="630" t="s">
        <v>319</v>
      </c>
      <c r="G153" s="630" t="s">
        <v>324</v>
      </c>
      <c r="H153" s="601" t="s">
        <v>325</v>
      </c>
      <c r="I153" s="601" t="s">
        <v>385</v>
      </c>
      <c r="J153" s="630" t="s">
        <v>338</v>
      </c>
      <c r="K153" s="630" t="s">
        <v>339</v>
      </c>
      <c r="L153" s="630" t="b">
        <v>0</v>
      </c>
      <c r="M153" s="630" t="s">
        <v>321</v>
      </c>
      <c r="N153" s="630" t="s">
        <v>340</v>
      </c>
      <c r="O153" s="630" t="s">
        <v>341</v>
      </c>
    </row>
    <row r="154" spans="1:15" hidden="1" x14ac:dyDescent="0.25">
      <c r="A154" s="630" t="s">
        <v>336</v>
      </c>
      <c r="B154" s="629">
        <v>2.5</v>
      </c>
      <c r="C154" s="630"/>
      <c r="D154" s="630" t="s">
        <v>319</v>
      </c>
      <c r="E154" s="630" t="s">
        <v>319</v>
      </c>
      <c r="F154" s="630" t="s">
        <v>319</v>
      </c>
      <c r="G154" s="630" t="s">
        <v>324</v>
      </c>
      <c r="H154" s="601" t="s">
        <v>325</v>
      </c>
      <c r="I154" s="601" t="s">
        <v>386</v>
      </c>
      <c r="J154" s="630" t="s">
        <v>338</v>
      </c>
      <c r="K154" s="630" t="s">
        <v>339</v>
      </c>
      <c r="L154" s="630" t="b">
        <v>0</v>
      </c>
      <c r="M154" s="630" t="s">
        <v>321</v>
      </c>
      <c r="N154" s="630" t="s">
        <v>340</v>
      </c>
      <c r="O154" s="630" t="s">
        <v>341</v>
      </c>
    </row>
    <row r="155" spans="1:15" hidden="1" x14ac:dyDescent="0.25">
      <c r="A155" s="630" t="s">
        <v>336</v>
      </c>
      <c r="B155" s="629">
        <v>2.5</v>
      </c>
      <c r="C155" s="630"/>
      <c r="D155" s="630" t="s">
        <v>319</v>
      </c>
      <c r="E155" s="630" t="s">
        <v>319</v>
      </c>
      <c r="F155" s="630" t="s">
        <v>319</v>
      </c>
      <c r="G155" s="630" t="s">
        <v>324</v>
      </c>
      <c r="H155" s="601" t="s">
        <v>325</v>
      </c>
      <c r="I155" s="601" t="s">
        <v>387</v>
      </c>
      <c r="J155" s="630" t="s">
        <v>338</v>
      </c>
      <c r="K155" s="630" t="s">
        <v>339</v>
      </c>
      <c r="L155" s="630" t="b">
        <v>0</v>
      </c>
      <c r="M155" s="630" t="s">
        <v>321</v>
      </c>
      <c r="N155" s="630" t="s">
        <v>340</v>
      </c>
      <c r="O155" s="630" t="s">
        <v>341</v>
      </c>
    </row>
    <row r="156" spans="1:15" hidden="1" x14ac:dyDescent="0.25">
      <c r="A156" s="630" t="s">
        <v>336</v>
      </c>
      <c r="B156" s="629">
        <v>2.5</v>
      </c>
      <c r="C156" s="630"/>
      <c r="D156" s="630" t="s">
        <v>319</v>
      </c>
      <c r="E156" s="630" t="s">
        <v>319</v>
      </c>
      <c r="F156" s="630" t="s">
        <v>319</v>
      </c>
      <c r="G156" s="630" t="s">
        <v>324</v>
      </c>
      <c r="H156" s="601" t="s">
        <v>325</v>
      </c>
      <c r="I156" s="601" t="s">
        <v>388</v>
      </c>
      <c r="J156" s="630" t="s">
        <v>338</v>
      </c>
      <c r="K156" s="630" t="s">
        <v>339</v>
      </c>
      <c r="L156" s="630" t="b">
        <v>0</v>
      </c>
      <c r="M156" s="630" t="s">
        <v>321</v>
      </c>
      <c r="N156" s="630" t="s">
        <v>340</v>
      </c>
      <c r="O156" s="630" t="s">
        <v>341</v>
      </c>
    </row>
    <row r="157" spans="1:15" hidden="1" x14ac:dyDescent="0.25">
      <c r="A157" s="630" t="s">
        <v>336</v>
      </c>
      <c r="B157" s="629">
        <v>2.5</v>
      </c>
      <c r="C157" s="630"/>
      <c r="D157" s="630" t="s">
        <v>319</v>
      </c>
      <c r="E157" s="630" t="s">
        <v>319</v>
      </c>
      <c r="F157" s="630" t="s">
        <v>319</v>
      </c>
      <c r="G157" s="630" t="s">
        <v>324</v>
      </c>
      <c r="H157" s="601" t="s">
        <v>325</v>
      </c>
      <c r="I157" s="601" t="s">
        <v>389</v>
      </c>
      <c r="J157" s="630" t="s">
        <v>338</v>
      </c>
      <c r="K157" s="630" t="s">
        <v>339</v>
      </c>
      <c r="L157" s="630" t="b">
        <v>0</v>
      </c>
      <c r="M157" s="630" t="s">
        <v>321</v>
      </c>
      <c r="N157" s="630" t="s">
        <v>340</v>
      </c>
      <c r="O157" s="630" t="s">
        <v>341</v>
      </c>
    </row>
    <row r="158" spans="1:15" hidden="1" x14ac:dyDescent="0.25">
      <c r="A158" s="630" t="s">
        <v>336</v>
      </c>
      <c r="B158" s="629">
        <v>2.5</v>
      </c>
      <c r="C158" s="630"/>
      <c r="D158" s="630" t="s">
        <v>319</v>
      </c>
      <c r="E158" s="630" t="s">
        <v>319</v>
      </c>
      <c r="F158" s="630" t="s">
        <v>319</v>
      </c>
      <c r="G158" s="630" t="s">
        <v>324</v>
      </c>
      <c r="H158" s="601" t="s">
        <v>325</v>
      </c>
      <c r="I158" s="601" t="s">
        <v>390</v>
      </c>
      <c r="J158" s="630" t="s">
        <v>338</v>
      </c>
      <c r="K158" s="630" t="s">
        <v>339</v>
      </c>
      <c r="L158" s="630" t="b">
        <v>0</v>
      </c>
      <c r="M158" s="630" t="s">
        <v>321</v>
      </c>
      <c r="N158" s="630" t="s">
        <v>340</v>
      </c>
      <c r="O158" s="630" t="s">
        <v>341</v>
      </c>
    </row>
    <row r="159" spans="1:15" hidden="1" x14ac:dyDescent="0.25">
      <c r="A159" s="630" t="s">
        <v>336</v>
      </c>
      <c r="B159" s="629">
        <v>2.5</v>
      </c>
      <c r="C159" s="630"/>
      <c r="D159" s="630" t="s">
        <v>319</v>
      </c>
      <c r="E159" s="630" t="s">
        <v>319</v>
      </c>
      <c r="F159" s="630" t="s">
        <v>319</v>
      </c>
      <c r="G159" s="630" t="s">
        <v>324</v>
      </c>
      <c r="H159" s="601" t="s">
        <v>325</v>
      </c>
      <c r="I159" s="601" t="s">
        <v>391</v>
      </c>
      <c r="J159" s="630" t="s">
        <v>338</v>
      </c>
      <c r="K159" s="630" t="s">
        <v>339</v>
      </c>
      <c r="L159" s="630" t="b">
        <v>0</v>
      </c>
      <c r="M159" s="630" t="s">
        <v>321</v>
      </c>
      <c r="N159" s="630" t="s">
        <v>340</v>
      </c>
      <c r="O159" s="630" t="s">
        <v>341</v>
      </c>
    </row>
    <row r="160" spans="1:15" hidden="1" x14ac:dyDescent="0.25">
      <c r="A160" s="630" t="s">
        <v>336</v>
      </c>
      <c r="B160" s="629">
        <v>2.5</v>
      </c>
      <c r="C160" s="630"/>
      <c r="D160" s="630" t="s">
        <v>319</v>
      </c>
      <c r="E160" s="630" t="s">
        <v>319</v>
      </c>
      <c r="F160" s="630" t="s">
        <v>319</v>
      </c>
      <c r="G160" s="630" t="s">
        <v>324</v>
      </c>
      <c r="H160" s="601" t="s">
        <v>325</v>
      </c>
      <c r="I160" s="601" t="s">
        <v>392</v>
      </c>
      <c r="J160" s="630" t="s">
        <v>338</v>
      </c>
      <c r="K160" s="630" t="s">
        <v>339</v>
      </c>
      <c r="L160" s="630" t="b">
        <v>0</v>
      </c>
      <c r="M160" s="630" t="s">
        <v>321</v>
      </c>
      <c r="N160" s="630" t="s">
        <v>340</v>
      </c>
      <c r="O160" s="630" t="s">
        <v>341</v>
      </c>
    </row>
    <row r="161" spans="1:15" hidden="1" x14ac:dyDescent="0.25">
      <c r="A161" s="630" t="s">
        <v>336</v>
      </c>
      <c r="B161" s="629">
        <v>2.5</v>
      </c>
      <c r="C161" s="630"/>
      <c r="D161" s="630" t="s">
        <v>319</v>
      </c>
      <c r="E161" s="630" t="s">
        <v>319</v>
      </c>
      <c r="F161" s="630" t="s">
        <v>319</v>
      </c>
      <c r="G161" s="630" t="s">
        <v>324</v>
      </c>
      <c r="H161" s="601" t="s">
        <v>325</v>
      </c>
      <c r="I161" s="601" t="s">
        <v>393</v>
      </c>
      <c r="J161" s="630" t="s">
        <v>338</v>
      </c>
      <c r="K161" s="630" t="s">
        <v>339</v>
      </c>
      <c r="L161" s="630" t="b">
        <v>0</v>
      </c>
      <c r="M161" s="630" t="s">
        <v>321</v>
      </c>
      <c r="N161" s="630" t="s">
        <v>340</v>
      </c>
      <c r="O161" s="630" t="s">
        <v>341</v>
      </c>
    </row>
    <row r="162" spans="1:15" hidden="1" x14ac:dyDescent="0.25">
      <c r="A162" s="630" t="s">
        <v>336</v>
      </c>
      <c r="B162" s="629">
        <v>2.5</v>
      </c>
      <c r="C162" s="630"/>
      <c r="D162" s="630" t="s">
        <v>319</v>
      </c>
      <c r="E162" s="630" t="s">
        <v>319</v>
      </c>
      <c r="F162" s="630" t="s">
        <v>319</v>
      </c>
      <c r="G162" s="630" t="s">
        <v>324</v>
      </c>
      <c r="H162" s="601" t="s">
        <v>325</v>
      </c>
      <c r="I162" s="601" t="s">
        <v>394</v>
      </c>
      <c r="J162" s="630" t="s">
        <v>338</v>
      </c>
      <c r="K162" s="630" t="s">
        <v>339</v>
      </c>
      <c r="L162" s="630" t="b">
        <v>0</v>
      </c>
      <c r="M162" s="630" t="s">
        <v>321</v>
      </c>
      <c r="N162" s="630" t="s">
        <v>340</v>
      </c>
      <c r="O162" s="630" t="s">
        <v>341</v>
      </c>
    </row>
    <row r="163" spans="1:15" hidden="1" x14ac:dyDescent="0.25">
      <c r="A163" s="630" t="s">
        <v>336</v>
      </c>
      <c r="B163" s="629">
        <v>2.5</v>
      </c>
      <c r="C163" s="630"/>
      <c r="D163" s="630" t="s">
        <v>319</v>
      </c>
      <c r="E163" s="630" t="s">
        <v>319</v>
      </c>
      <c r="F163" s="630" t="s">
        <v>319</v>
      </c>
      <c r="G163" s="630" t="s">
        <v>324</v>
      </c>
      <c r="H163" s="601" t="s">
        <v>325</v>
      </c>
      <c r="I163" s="601" t="s">
        <v>395</v>
      </c>
      <c r="J163" s="630" t="s">
        <v>338</v>
      </c>
      <c r="K163" s="630" t="s">
        <v>339</v>
      </c>
      <c r="L163" s="630" t="b">
        <v>0</v>
      </c>
      <c r="M163" s="630" t="s">
        <v>321</v>
      </c>
      <c r="N163" s="630" t="s">
        <v>340</v>
      </c>
      <c r="O163" s="630" t="s">
        <v>341</v>
      </c>
    </row>
    <row r="164" spans="1:15" hidden="1" x14ac:dyDescent="0.25">
      <c r="A164" s="630" t="s">
        <v>336</v>
      </c>
      <c r="B164" s="629">
        <v>2.5</v>
      </c>
      <c r="C164" s="630"/>
      <c r="D164" s="630" t="s">
        <v>319</v>
      </c>
      <c r="E164" s="630" t="s">
        <v>319</v>
      </c>
      <c r="F164" s="630" t="s">
        <v>319</v>
      </c>
      <c r="G164" s="630" t="s">
        <v>324</v>
      </c>
      <c r="H164" s="601" t="s">
        <v>325</v>
      </c>
      <c r="I164" s="601" t="s">
        <v>396</v>
      </c>
      <c r="J164" s="630" t="s">
        <v>338</v>
      </c>
      <c r="K164" s="630" t="s">
        <v>339</v>
      </c>
      <c r="L164" s="630" t="b">
        <v>0</v>
      </c>
      <c r="M164" s="630" t="s">
        <v>321</v>
      </c>
      <c r="N164" s="630" t="s">
        <v>340</v>
      </c>
      <c r="O164" s="630" t="s">
        <v>341</v>
      </c>
    </row>
    <row r="165" spans="1:15" hidden="1" x14ac:dyDescent="0.25">
      <c r="A165" s="630" t="s">
        <v>336</v>
      </c>
      <c r="B165" s="629">
        <v>2.5</v>
      </c>
      <c r="C165" s="630"/>
      <c r="D165" s="630" t="s">
        <v>319</v>
      </c>
      <c r="E165" s="630" t="s">
        <v>319</v>
      </c>
      <c r="F165" s="630" t="s">
        <v>319</v>
      </c>
      <c r="G165" s="630" t="s">
        <v>324</v>
      </c>
      <c r="H165" s="601" t="s">
        <v>325</v>
      </c>
      <c r="I165" s="601" t="s">
        <v>397</v>
      </c>
      <c r="J165" s="630" t="s">
        <v>338</v>
      </c>
      <c r="K165" s="630" t="s">
        <v>339</v>
      </c>
      <c r="L165" s="630" t="b">
        <v>0</v>
      </c>
      <c r="M165" s="630" t="s">
        <v>321</v>
      </c>
      <c r="N165" s="630" t="s">
        <v>340</v>
      </c>
      <c r="O165" s="630" t="s">
        <v>341</v>
      </c>
    </row>
    <row r="166" spans="1:15" hidden="1" x14ac:dyDescent="0.25">
      <c r="A166" s="630" t="s">
        <v>336</v>
      </c>
      <c r="B166" s="629">
        <v>2.5</v>
      </c>
      <c r="C166" s="630"/>
      <c r="D166" s="630" t="s">
        <v>319</v>
      </c>
      <c r="E166" s="630" t="s">
        <v>319</v>
      </c>
      <c r="F166" s="630" t="s">
        <v>319</v>
      </c>
      <c r="G166" s="630" t="s">
        <v>324</v>
      </c>
      <c r="H166" s="601" t="s">
        <v>325</v>
      </c>
      <c r="I166" s="601" t="s">
        <v>398</v>
      </c>
      <c r="J166" s="630" t="s">
        <v>338</v>
      </c>
      <c r="K166" s="630" t="s">
        <v>339</v>
      </c>
      <c r="L166" s="630" t="b">
        <v>0</v>
      </c>
      <c r="M166" s="630" t="s">
        <v>321</v>
      </c>
      <c r="N166" s="630" t="s">
        <v>340</v>
      </c>
      <c r="O166" s="630" t="s">
        <v>341</v>
      </c>
    </row>
    <row r="167" spans="1:15" hidden="1" x14ac:dyDescent="0.25">
      <c r="A167" s="630" t="s">
        <v>336</v>
      </c>
      <c r="B167" s="629">
        <v>2.5</v>
      </c>
      <c r="C167" s="630"/>
      <c r="D167" s="630" t="s">
        <v>319</v>
      </c>
      <c r="E167" s="630" t="s">
        <v>319</v>
      </c>
      <c r="F167" s="630" t="s">
        <v>319</v>
      </c>
      <c r="G167" s="630" t="s">
        <v>324</v>
      </c>
      <c r="H167" s="601" t="s">
        <v>325</v>
      </c>
      <c r="I167" s="601" t="s">
        <v>399</v>
      </c>
      <c r="J167" s="630" t="s">
        <v>338</v>
      </c>
      <c r="K167" s="630" t="s">
        <v>339</v>
      </c>
      <c r="L167" s="630" t="b">
        <v>0</v>
      </c>
      <c r="M167" s="630" t="s">
        <v>321</v>
      </c>
      <c r="N167" s="630" t="s">
        <v>340</v>
      </c>
      <c r="O167" s="630" t="s">
        <v>341</v>
      </c>
    </row>
    <row r="168" spans="1:15" hidden="1" x14ac:dyDescent="0.25">
      <c r="A168" s="630" t="s">
        <v>336</v>
      </c>
      <c r="B168" s="629">
        <v>2.5</v>
      </c>
      <c r="C168" s="630"/>
      <c r="D168" s="630" t="s">
        <v>319</v>
      </c>
      <c r="E168" s="630" t="s">
        <v>319</v>
      </c>
      <c r="F168" s="630" t="s">
        <v>319</v>
      </c>
      <c r="G168" s="630" t="s">
        <v>324</v>
      </c>
      <c r="H168" s="601" t="s">
        <v>325</v>
      </c>
      <c r="I168" s="601" t="s">
        <v>400</v>
      </c>
      <c r="J168" s="630" t="s">
        <v>338</v>
      </c>
      <c r="K168" s="630" t="s">
        <v>339</v>
      </c>
      <c r="L168" s="630" t="b">
        <v>0</v>
      </c>
      <c r="M168" s="630" t="s">
        <v>321</v>
      </c>
      <c r="N168" s="630" t="s">
        <v>340</v>
      </c>
      <c r="O168" s="630" t="s">
        <v>341</v>
      </c>
    </row>
    <row r="169" spans="1:15" hidden="1" x14ac:dyDescent="0.25">
      <c r="A169" s="630" t="s">
        <v>336</v>
      </c>
      <c r="B169" s="629">
        <v>2.5</v>
      </c>
      <c r="C169" s="630"/>
      <c r="D169" s="630" t="s">
        <v>319</v>
      </c>
      <c r="E169" s="630" t="s">
        <v>319</v>
      </c>
      <c r="F169" s="630" t="s">
        <v>319</v>
      </c>
      <c r="G169" s="630" t="s">
        <v>324</v>
      </c>
      <c r="H169" s="601" t="s">
        <v>325</v>
      </c>
      <c r="I169" s="601" t="s">
        <v>401</v>
      </c>
      <c r="J169" s="630" t="s">
        <v>338</v>
      </c>
      <c r="K169" s="630" t="s">
        <v>339</v>
      </c>
      <c r="L169" s="630" t="b">
        <v>0</v>
      </c>
      <c r="M169" s="630" t="s">
        <v>321</v>
      </c>
      <c r="N169" s="630" t="s">
        <v>340</v>
      </c>
      <c r="O169" s="630" t="s">
        <v>341</v>
      </c>
    </row>
    <row r="170" spans="1:15" hidden="1" x14ac:dyDescent="0.25">
      <c r="A170" s="630" t="s">
        <v>336</v>
      </c>
      <c r="B170" s="629">
        <v>2.5</v>
      </c>
      <c r="C170" s="630"/>
      <c r="D170" s="630" t="s">
        <v>319</v>
      </c>
      <c r="E170" s="630" t="s">
        <v>319</v>
      </c>
      <c r="F170" s="630" t="s">
        <v>319</v>
      </c>
      <c r="G170" s="630" t="s">
        <v>324</v>
      </c>
      <c r="H170" s="601" t="s">
        <v>325</v>
      </c>
      <c r="I170" s="601" t="s">
        <v>402</v>
      </c>
      <c r="J170" s="630" t="s">
        <v>338</v>
      </c>
      <c r="K170" s="630" t="s">
        <v>339</v>
      </c>
      <c r="L170" s="630" t="b">
        <v>0</v>
      </c>
      <c r="M170" s="630" t="s">
        <v>321</v>
      </c>
      <c r="N170" s="630" t="s">
        <v>340</v>
      </c>
      <c r="O170" s="630" t="s">
        <v>341</v>
      </c>
    </row>
    <row r="171" spans="1:15" hidden="1" x14ac:dyDescent="0.25">
      <c r="A171" s="630" t="s">
        <v>336</v>
      </c>
      <c r="B171" s="629">
        <v>2.5</v>
      </c>
      <c r="C171" s="630"/>
      <c r="D171" s="630" t="s">
        <v>319</v>
      </c>
      <c r="E171" s="630" t="s">
        <v>319</v>
      </c>
      <c r="F171" s="630" t="s">
        <v>319</v>
      </c>
      <c r="G171" s="630" t="s">
        <v>324</v>
      </c>
      <c r="H171" s="601" t="s">
        <v>325</v>
      </c>
      <c r="I171" s="601" t="s">
        <v>403</v>
      </c>
      <c r="J171" s="630" t="s">
        <v>338</v>
      </c>
      <c r="K171" s="630" t="s">
        <v>339</v>
      </c>
      <c r="L171" s="630" t="b">
        <v>0</v>
      </c>
      <c r="M171" s="630" t="s">
        <v>321</v>
      </c>
      <c r="N171" s="630" t="s">
        <v>340</v>
      </c>
      <c r="O171" s="630" t="s">
        <v>341</v>
      </c>
    </row>
    <row r="172" spans="1:15" hidden="1" x14ac:dyDescent="0.25">
      <c r="A172" s="630" t="s">
        <v>336</v>
      </c>
      <c r="B172" s="629">
        <v>2.5</v>
      </c>
      <c r="C172" s="630"/>
      <c r="D172" s="630" t="s">
        <v>319</v>
      </c>
      <c r="E172" s="630" t="s">
        <v>319</v>
      </c>
      <c r="F172" s="630" t="s">
        <v>319</v>
      </c>
      <c r="G172" s="630" t="s">
        <v>324</v>
      </c>
      <c r="H172" s="601" t="s">
        <v>325</v>
      </c>
      <c r="I172" s="601" t="s">
        <v>404</v>
      </c>
      <c r="J172" s="630" t="s">
        <v>338</v>
      </c>
      <c r="K172" s="630" t="s">
        <v>339</v>
      </c>
      <c r="L172" s="630" t="b">
        <v>0</v>
      </c>
      <c r="M172" s="630" t="s">
        <v>321</v>
      </c>
      <c r="N172" s="630" t="s">
        <v>340</v>
      </c>
      <c r="O172" s="630" t="s">
        <v>341</v>
      </c>
    </row>
    <row r="173" spans="1:15" hidden="1" x14ac:dyDescent="0.25">
      <c r="A173" s="630" t="s">
        <v>336</v>
      </c>
      <c r="B173" s="629">
        <v>2.5</v>
      </c>
      <c r="C173" s="630"/>
      <c r="D173" s="630" t="s">
        <v>319</v>
      </c>
      <c r="E173" s="630" t="s">
        <v>319</v>
      </c>
      <c r="F173" s="630" t="s">
        <v>319</v>
      </c>
      <c r="G173" s="630" t="s">
        <v>324</v>
      </c>
      <c r="H173" s="601" t="s">
        <v>325</v>
      </c>
      <c r="I173" s="601" t="s">
        <v>405</v>
      </c>
      <c r="J173" s="630" t="s">
        <v>338</v>
      </c>
      <c r="K173" s="630" t="s">
        <v>339</v>
      </c>
      <c r="L173" s="630" t="b">
        <v>0</v>
      </c>
      <c r="M173" s="630" t="s">
        <v>321</v>
      </c>
      <c r="N173" s="630" t="s">
        <v>340</v>
      </c>
      <c r="O173" s="630" t="s">
        <v>341</v>
      </c>
    </row>
    <row r="174" spans="1:15" hidden="1" x14ac:dyDescent="0.25">
      <c r="A174" s="630" t="s">
        <v>336</v>
      </c>
      <c r="B174" s="629">
        <v>2.5</v>
      </c>
      <c r="C174" s="630"/>
      <c r="D174" s="630" t="s">
        <v>319</v>
      </c>
      <c r="E174" s="630" t="s">
        <v>319</v>
      </c>
      <c r="F174" s="630" t="s">
        <v>319</v>
      </c>
      <c r="G174" s="630" t="s">
        <v>324</v>
      </c>
      <c r="H174" s="601" t="s">
        <v>325</v>
      </c>
      <c r="I174" s="601" t="s">
        <v>406</v>
      </c>
      <c r="J174" s="630" t="s">
        <v>338</v>
      </c>
      <c r="K174" s="630" t="s">
        <v>339</v>
      </c>
      <c r="L174" s="630" t="b">
        <v>0</v>
      </c>
      <c r="M174" s="630" t="s">
        <v>321</v>
      </c>
      <c r="N174" s="630" t="s">
        <v>340</v>
      </c>
      <c r="O174" s="630" t="s">
        <v>341</v>
      </c>
    </row>
    <row r="175" spans="1:15" hidden="1" x14ac:dyDescent="0.25">
      <c r="A175" s="630" t="s">
        <v>336</v>
      </c>
      <c r="B175" s="629">
        <v>2.5</v>
      </c>
      <c r="C175" s="630"/>
      <c r="D175" s="630" t="s">
        <v>319</v>
      </c>
      <c r="E175" s="630" t="s">
        <v>319</v>
      </c>
      <c r="F175" s="630" t="s">
        <v>319</v>
      </c>
      <c r="G175" s="630" t="s">
        <v>324</v>
      </c>
      <c r="H175" s="601" t="s">
        <v>325</v>
      </c>
      <c r="I175" s="601" t="s">
        <v>407</v>
      </c>
      <c r="J175" s="630" t="s">
        <v>338</v>
      </c>
      <c r="K175" s="630" t="s">
        <v>339</v>
      </c>
      <c r="L175" s="630" t="b">
        <v>0</v>
      </c>
      <c r="M175" s="630" t="s">
        <v>321</v>
      </c>
      <c r="N175" s="630" t="s">
        <v>340</v>
      </c>
      <c r="O175" s="630" t="s">
        <v>341</v>
      </c>
    </row>
    <row r="176" spans="1:15" hidden="1" x14ac:dyDescent="0.25">
      <c r="A176" s="630" t="s">
        <v>336</v>
      </c>
      <c r="B176" s="629">
        <v>2.5</v>
      </c>
      <c r="C176" s="630"/>
      <c r="D176" s="630" t="s">
        <v>319</v>
      </c>
      <c r="E176" s="630" t="s">
        <v>319</v>
      </c>
      <c r="F176" s="630" t="s">
        <v>319</v>
      </c>
      <c r="G176" s="630" t="s">
        <v>324</v>
      </c>
      <c r="H176" s="601" t="s">
        <v>325</v>
      </c>
      <c r="I176" s="601" t="s">
        <v>408</v>
      </c>
      <c r="J176" s="630" t="s">
        <v>338</v>
      </c>
      <c r="K176" s="630" t="s">
        <v>339</v>
      </c>
      <c r="L176" s="630" t="b">
        <v>0</v>
      </c>
      <c r="M176" s="630" t="s">
        <v>321</v>
      </c>
      <c r="N176" s="630" t="s">
        <v>340</v>
      </c>
      <c r="O176" s="630" t="s">
        <v>341</v>
      </c>
    </row>
    <row r="177" spans="1:15" hidden="1" x14ac:dyDescent="0.25">
      <c r="A177" s="630" t="s">
        <v>336</v>
      </c>
      <c r="B177" s="629">
        <v>2.5</v>
      </c>
      <c r="C177" s="630"/>
      <c r="D177" s="630" t="s">
        <v>319</v>
      </c>
      <c r="E177" s="630" t="s">
        <v>319</v>
      </c>
      <c r="F177" s="630" t="s">
        <v>319</v>
      </c>
      <c r="G177" s="630" t="s">
        <v>324</v>
      </c>
      <c r="H177" s="601" t="s">
        <v>325</v>
      </c>
      <c r="I177" s="601" t="s">
        <v>409</v>
      </c>
      <c r="J177" s="630" t="s">
        <v>338</v>
      </c>
      <c r="K177" s="630" t="s">
        <v>339</v>
      </c>
      <c r="L177" s="630" t="b">
        <v>0</v>
      </c>
      <c r="M177" s="630" t="s">
        <v>321</v>
      </c>
      <c r="N177" s="630" t="s">
        <v>340</v>
      </c>
      <c r="O177" s="630" t="s">
        <v>341</v>
      </c>
    </row>
    <row r="178" spans="1:15" hidden="1" x14ac:dyDescent="0.25">
      <c r="A178" s="630" t="s">
        <v>336</v>
      </c>
      <c r="B178" s="629">
        <v>2.5</v>
      </c>
      <c r="C178" s="630"/>
      <c r="D178" s="630" t="s">
        <v>319</v>
      </c>
      <c r="E178" s="630" t="s">
        <v>319</v>
      </c>
      <c r="F178" s="630" t="s">
        <v>319</v>
      </c>
      <c r="G178" s="630" t="s">
        <v>324</v>
      </c>
      <c r="H178" s="601" t="s">
        <v>325</v>
      </c>
      <c r="I178" s="601" t="s">
        <v>410</v>
      </c>
      <c r="J178" s="630" t="s">
        <v>338</v>
      </c>
      <c r="K178" s="630" t="s">
        <v>339</v>
      </c>
      <c r="L178" s="630" t="b">
        <v>0</v>
      </c>
      <c r="M178" s="630" t="s">
        <v>321</v>
      </c>
      <c r="N178" s="630" t="s">
        <v>340</v>
      </c>
      <c r="O178" s="630" t="s">
        <v>341</v>
      </c>
    </row>
    <row r="179" spans="1:15" hidden="1" x14ac:dyDescent="0.25">
      <c r="A179" s="630" t="s">
        <v>336</v>
      </c>
      <c r="B179" s="629">
        <v>2.5</v>
      </c>
      <c r="C179" s="630"/>
      <c r="D179" s="630" t="s">
        <v>319</v>
      </c>
      <c r="E179" s="630" t="s">
        <v>319</v>
      </c>
      <c r="F179" s="630" t="s">
        <v>319</v>
      </c>
      <c r="G179" s="630" t="s">
        <v>324</v>
      </c>
      <c r="H179" s="601" t="s">
        <v>325</v>
      </c>
      <c r="I179" s="601" t="s">
        <v>411</v>
      </c>
      <c r="J179" s="630" t="s">
        <v>338</v>
      </c>
      <c r="K179" s="630" t="s">
        <v>339</v>
      </c>
      <c r="L179" s="630" t="b">
        <v>0</v>
      </c>
      <c r="M179" s="630" t="s">
        <v>321</v>
      </c>
      <c r="N179" s="630" t="s">
        <v>340</v>
      </c>
      <c r="O179" s="630" t="s">
        <v>341</v>
      </c>
    </row>
    <row r="180" spans="1:15" hidden="1" x14ac:dyDescent="0.25">
      <c r="A180" s="630" t="s">
        <v>336</v>
      </c>
      <c r="B180" s="629">
        <v>2.5</v>
      </c>
      <c r="C180" s="630"/>
      <c r="D180" s="630" t="s">
        <v>319</v>
      </c>
      <c r="E180" s="630" t="s">
        <v>319</v>
      </c>
      <c r="F180" s="630" t="s">
        <v>319</v>
      </c>
      <c r="G180" s="630" t="s">
        <v>324</v>
      </c>
      <c r="H180" s="601" t="s">
        <v>325</v>
      </c>
      <c r="I180" s="601" t="s">
        <v>412</v>
      </c>
      <c r="J180" s="630" t="s">
        <v>338</v>
      </c>
      <c r="K180" s="630" t="s">
        <v>339</v>
      </c>
      <c r="L180" s="630" t="b">
        <v>0</v>
      </c>
      <c r="M180" s="630" t="s">
        <v>321</v>
      </c>
      <c r="N180" s="630" t="s">
        <v>340</v>
      </c>
      <c r="O180" s="630" t="s">
        <v>341</v>
      </c>
    </row>
    <row r="181" spans="1:15" hidden="1" x14ac:dyDescent="0.25">
      <c r="A181" s="630" t="s">
        <v>336</v>
      </c>
      <c r="B181" s="629">
        <v>2.5</v>
      </c>
      <c r="C181" s="630"/>
      <c r="D181" s="630" t="s">
        <v>319</v>
      </c>
      <c r="E181" s="630" t="s">
        <v>319</v>
      </c>
      <c r="F181" s="630" t="s">
        <v>319</v>
      </c>
      <c r="G181" s="630" t="s">
        <v>324</v>
      </c>
      <c r="H181" s="601" t="s">
        <v>325</v>
      </c>
      <c r="I181" s="601" t="s">
        <v>413</v>
      </c>
      <c r="J181" s="630" t="s">
        <v>338</v>
      </c>
      <c r="K181" s="630" t="s">
        <v>339</v>
      </c>
      <c r="L181" s="630" t="b">
        <v>0</v>
      </c>
      <c r="M181" s="630" t="s">
        <v>321</v>
      </c>
      <c r="N181" s="630" t="s">
        <v>340</v>
      </c>
      <c r="O181" s="630" t="s">
        <v>341</v>
      </c>
    </row>
    <row r="182" spans="1:15" hidden="1" x14ac:dyDescent="0.25">
      <c r="A182" s="630" t="s">
        <v>336</v>
      </c>
      <c r="B182" s="629">
        <v>2.5</v>
      </c>
      <c r="C182" s="630"/>
      <c r="D182" s="630" t="s">
        <v>319</v>
      </c>
      <c r="E182" s="630" t="s">
        <v>319</v>
      </c>
      <c r="F182" s="630" t="s">
        <v>319</v>
      </c>
      <c r="G182" s="630" t="s">
        <v>324</v>
      </c>
      <c r="H182" s="601" t="s">
        <v>325</v>
      </c>
      <c r="I182" s="601" t="s">
        <v>414</v>
      </c>
      <c r="J182" s="630" t="s">
        <v>338</v>
      </c>
      <c r="K182" s="630" t="s">
        <v>339</v>
      </c>
      <c r="L182" s="630" t="b">
        <v>0</v>
      </c>
      <c r="M182" s="630" t="s">
        <v>321</v>
      </c>
      <c r="N182" s="630" t="s">
        <v>340</v>
      </c>
      <c r="O182" s="630" t="s">
        <v>341</v>
      </c>
    </row>
    <row r="183" spans="1:15" hidden="1" x14ac:dyDescent="0.25">
      <c r="A183" s="630" t="s">
        <v>336</v>
      </c>
      <c r="B183" s="629">
        <v>2.5</v>
      </c>
      <c r="C183" s="630"/>
      <c r="D183" s="630" t="s">
        <v>319</v>
      </c>
      <c r="E183" s="630" t="s">
        <v>319</v>
      </c>
      <c r="F183" s="630" t="s">
        <v>319</v>
      </c>
      <c r="G183" s="630" t="s">
        <v>324</v>
      </c>
      <c r="H183" s="601" t="s">
        <v>325</v>
      </c>
      <c r="I183" s="601" t="s">
        <v>415</v>
      </c>
      <c r="J183" s="630" t="s">
        <v>338</v>
      </c>
      <c r="K183" s="630" t="s">
        <v>339</v>
      </c>
      <c r="L183" s="630" t="b">
        <v>0</v>
      </c>
      <c r="M183" s="630" t="s">
        <v>321</v>
      </c>
      <c r="N183" s="630" t="s">
        <v>340</v>
      </c>
      <c r="O183" s="630" t="s">
        <v>341</v>
      </c>
    </row>
    <row r="184" spans="1:15" hidden="1" x14ac:dyDescent="0.25">
      <c r="A184" s="630" t="s">
        <v>336</v>
      </c>
      <c r="B184" s="629">
        <v>2.5</v>
      </c>
      <c r="C184" s="630"/>
      <c r="D184" s="630" t="s">
        <v>319</v>
      </c>
      <c r="E184" s="630" t="s">
        <v>319</v>
      </c>
      <c r="F184" s="630" t="s">
        <v>319</v>
      </c>
      <c r="G184" s="630" t="s">
        <v>324</v>
      </c>
      <c r="H184" s="601" t="s">
        <v>325</v>
      </c>
      <c r="I184" s="601" t="s">
        <v>416</v>
      </c>
      <c r="J184" s="630" t="s">
        <v>338</v>
      </c>
      <c r="K184" s="630" t="s">
        <v>339</v>
      </c>
      <c r="L184" s="630" t="b">
        <v>0</v>
      </c>
      <c r="M184" s="630" t="s">
        <v>321</v>
      </c>
      <c r="N184" s="630" t="s">
        <v>340</v>
      </c>
      <c r="O184" s="630" t="s">
        <v>341</v>
      </c>
    </row>
    <row r="185" spans="1:15" hidden="1" x14ac:dyDescent="0.25">
      <c r="A185" s="630" t="s">
        <v>417</v>
      </c>
      <c r="B185" s="629">
        <v>1</v>
      </c>
      <c r="C185" s="630"/>
      <c r="D185" s="630" t="s">
        <v>319</v>
      </c>
      <c r="E185" s="630" t="s">
        <v>319</v>
      </c>
      <c r="F185" s="630" t="s">
        <v>319</v>
      </c>
      <c r="G185" s="630" t="s">
        <v>418</v>
      </c>
      <c r="H185" s="601" t="s">
        <v>325</v>
      </c>
      <c r="I185" s="601" t="s">
        <v>419</v>
      </c>
      <c r="J185" s="630"/>
      <c r="K185" s="630"/>
      <c r="L185" s="630"/>
      <c r="M185" s="630"/>
      <c r="N185" s="630"/>
      <c r="O185" s="630"/>
    </row>
    <row r="186" spans="1:15" hidden="1" x14ac:dyDescent="0.25">
      <c r="A186" s="630" t="s">
        <v>417</v>
      </c>
      <c r="B186" s="629">
        <v>0.89500000000000002</v>
      </c>
      <c r="C186" s="630"/>
      <c r="D186" s="630" t="s">
        <v>319</v>
      </c>
      <c r="E186" s="630" t="s">
        <v>319</v>
      </c>
      <c r="F186" s="630" t="s">
        <v>319</v>
      </c>
      <c r="G186" s="630" t="s">
        <v>418</v>
      </c>
      <c r="H186" s="601" t="s">
        <v>325</v>
      </c>
      <c r="I186" s="601" t="s">
        <v>420</v>
      </c>
      <c r="J186" s="630"/>
      <c r="K186" s="630"/>
      <c r="L186" s="630"/>
      <c r="M186" s="630"/>
      <c r="N186" s="630"/>
      <c r="O186" s="630"/>
    </row>
    <row r="187" spans="1:15" hidden="1" x14ac:dyDescent="0.25">
      <c r="A187" s="630" t="s">
        <v>417</v>
      </c>
      <c r="B187" s="629">
        <v>0.79</v>
      </c>
      <c r="C187" s="630"/>
      <c r="D187" s="630" t="s">
        <v>319</v>
      </c>
      <c r="E187" s="630" t="s">
        <v>319</v>
      </c>
      <c r="F187" s="630" t="s">
        <v>319</v>
      </c>
      <c r="G187" s="630" t="s">
        <v>418</v>
      </c>
      <c r="H187" s="601" t="s">
        <v>325</v>
      </c>
      <c r="I187" s="601" t="s">
        <v>421</v>
      </c>
      <c r="J187" s="630"/>
      <c r="K187" s="630"/>
      <c r="L187" s="630"/>
      <c r="M187" s="630"/>
      <c r="N187" s="630"/>
      <c r="O187" s="630"/>
    </row>
    <row r="188" spans="1:15" hidden="1" x14ac:dyDescent="0.25">
      <c r="A188" s="630" t="s">
        <v>417</v>
      </c>
      <c r="B188" s="629">
        <v>0.63</v>
      </c>
      <c r="C188" s="630"/>
      <c r="D188" s="630" t="s">
        <v>319</v>
      </c>
      <c r="E188" s="630" t="s">
        <v>319</v>
      </c>
      <c r="F188" s="630" t="s">
        <v>319</v>
      </c>
      <c r="G188" s="630" t="s">
        <v>418</v>
      </c>
      <c r="H188" s="601" t="s">
        <v>325</v>
      </c>
      <c r="I188" s="601" t="s">
        <v>422</v>
      </c>
      <c r="J188" s="630"/>
      <c r="K188" s="630"/>
      <c r="L188" s="630"/>
      <c r="M188" s="630"/>
      <c r="N188" s="630"/>
      <c r="O188" s="630"/>
    </row>
    <row r="189" spans="1:15" hidden="1" x14ac:dyDescent="0.25">
      <c r="A189" s="630" t="s">
        <v>417</v>
      </c>
      <c r="B189" s="629">
        <v>0.53849999999999998</v>
      </c>
      <c r="C189" s="630"/>
      <c r="D189" s="630" t="s">
        <v>319</v>
      </c>
      <c r="E189" s="630" t="s">
        <v>319</v>
      </c>
      <c r="F189" s="630" t="s">
        <v>319</v>
      </c>
      <c r="G189" s="630" t="s">
        <v>418</v>
      </c>
      <c r="H189" s="601" t="s">
        <v>325</v>
      </c>
      <c r="I189" s="601" t="s">
        <v>423</v>
      </c>
      <c r="J189" s="630"/>
      <c r="K189" s="630"/>
      <c r="L189" s="630"/>
      <c r="M189" s="630"/>
      <c r="N189" s="630"/>
      <c r="O189" s="630"/>
    </row>
    <row r="190" spans="1:15" hidden="1" x14ac:dyDescent="0.25">
      <c r="A190" s="630" t="s">
        <v>417</v>
      </c>
      <c r="B190" s="629">
        <v>0.47110000000000002</v>
      </c>
      <c r="C190" s="630"/>
      <c r="D190" s="630" t="s">
        <v>319</v>
      </c>
      <c r="E190" s="630" t="s">
        <v>319</v>
      </c>
      <c r="F190" s="630" t="s">
        <v>319</v>
      </c>
      <c r="G190" s="630" t="s">
        <v>418</v>
      </c>
      <c r="H190" s="601" t="s">
        <v>325</v>
      </c>
      <c r="I190" s="601" t="s">
        <v>424</v>
      </c>
      <c r="J190" s="630"/>
      <c r="K190" s="630"/>
      <c r="L190" s="630"/>
      <c r="M190" s="630"/>
      <c r="N190" s="630"/>
      <c r="O190" s="630"/>
    </row>
    <row r="191" spans="1:15" hidden="1" x14ac:dyDescent="0.25">
      <c r="A191" s="630" t="s">
        <v>417</v>
      </c>
      <c r="B191" s="629">
        <v>0.4239</v>
      </c>
      <c r="C191" s="630"/>
      <c r="D191" s="630" t="s">
        <v>319</v>
      </c>
      <c r="E191" s="630" t="s">
        <v>319</v>
      </c>
      <c r="F191" s="630" t="s">
        <v>319</v>
      </c>
      <c r="G191" s="630" t="s">
        <v>418</v>
      </c>
      <c r="H191" s="601" t="s">
        <v>325</v>
      </c>
      <c r="I191" s="601" t="s">
        <v>425</v>
      </c>
      <c r="J191" s="630"/>
      <c r="K191" s="630"/>
      <c r="L191" s="630"/>
      <c r="M191" s="630"/>
      <c r="N191" s="630"/>
      <c r="O191" s="630"/>
    </row>
    <row r="192" spans="1:15" hidden="1" x14ac:dyDescent="0.25">
      <c r="A192" s="630" t="s">
        <v>417</v>
      </c>
      <c r="B192" s="629">
        <v>0.38940000000000002</v>
      </c>
      <c r="C192" s="630"/>
      <c r="D192" s="630" t="s">
        <v>319</v>
      </c>
      <c r="E192" s="630" t="s">
        <v>319</v>
      </c>
      <c r="F192" s="630" t="s">
        <v>319</v>
      </c>
      <c r="G192" s="630" t="s">
        <v>418</v>
      </c>
      <c r="H192" s="601" t="s">
        <v>325</v>
      </c>
      <c r="I192" s="601" t="s">
        <v>426</v>
      </c>
      <c r="J192" s="630"/>
      <c r="K192" s="630"/>
      <c r="L192" s="630"/>
      <c r="M192" s="630"/>
      <c r="N192" s="630"/>
      <c r="O192" s="630"/>
    </row>
    <row r="193" spans="1:15" hidden="1" x14ac:dyDescent="0.25">
      <c r="A193" s="630" t="s">
        <v>417</v>
      </c>
      <c r="B193" s="629">
        <v>0.3634</v>
      </c>
      <c r="C193" s="630"/>
      <c r="D193" s="630" t="s">
        <v>319</v>
      </c>
      <c r="E193" s="630" t="s">
        <v>319</v>
      </c>
      <c r="F193" s="630" t="s">
        <v>319</v>
      </c>
      <c r="G193" s="630" t="s">
        <v>418</v>
      </c>
      <c r="H193" s="601" t="s">
        <v>325</v>
      </c>
      <c r="I193" s="601" t="s">
        <v>427</v>
      </c>
      <c r="J193" s="630"/>
      <c r="K193" s="630"/>
      <c r="L193" s="630"/>
      <c r="M193" s="630"/>
      <c r="N193" s="630"/>
      <c r="O193" s="630"/>
    </row>
    <row r="194" spans="1:15" hidden="1" x14ac:dyDescent="0.25">
      <c r="A194" s="630" t="s">
        <v>417</v>
      </c>
      <c r="B194" s="629">
        <v>0.34339999999999998</v>
      </c>
      <c r="C194" s="630"/>
      <c r="D194" s="630" t="s">
        <v>319</v>
      </c>
      <c r="E194" s="630" t="s">
        <v>319</v>
      </c>
      <c r="F194" s="630" t="s">
        <v>319</v>
      </c>
      <c r="G194" s="630" t="s">
        <v>418</v>
      </c>
      <c r="H194" s="601" t="s">
        <v>325</v>
      </c>
      <c r="I194" s="601" t="s">
        <v>428</v>
      </c>
      <c r="J194" s="630"/>
      <c r="K194" s="630"/>
      <c r="L194" s="630"/>
      <c r="M194" s="630"/>
      <c r="N194" s="630"/>
      <c r="O194" s="630"/>
    </row>
    <row r="195" spans="1:15" hidden="1" x14ac:dyDescent="0.25">
      <c r="A195" s="630" t="s">
        <v>417</v>
      </c>
      <c r="B195" s="629">
        <v>0.32769999999999999</v>
      </c>
      <c r="C195" s="630"/>
      <c r="D195" s="630" t="s">
        <v>319</v>
      </c>
      <c r="E195" s="630" t="s">
        <v>319</v>
      </c>
      <c r="F195" s="630" t="s">
        <v>319</v>
      </c>
      <c r="G195" s="630" t="s">
        <v>418</v>
      </c>
      <c r="H195" s="601" t="s">
        <v>325</v>
      </c>
      <c r="I195" s="601" t="s">
        <v>429</v>
      </c>
      <c r="J195" s="630"/>
      <c r="K195" s="630"/>
      <c r="L195" s="630"/>
      <c r="M195" s="630"/>
      <c r="N195" s="630"/>
      <c r="O195" s="630"/>
    </row>
    <row r="196" spans="1:15" hidden="1" x14ac:dyDescent="0.25">
      <c r="A196" s="630" t="s">
        <v>417</v>
      </c>
      <c r="B196" s="629">
        <v>0.31540000000000001</v>
      </c>
      <c r="C196" s="630"/>
      <c r="D196" s="630" t="s">
        <v>319</v>
      </c>
      <c r="E196" s="630" t="s">
        <v>319</v>
      </c>
      <c r="F196" s="630" t="s">
        <v>319</v>
      </c>
      <c r="G196" s="630" t="s">
        <v>418</v>
      </c>
      <c r="H196" s="601" t="s">
        <v>325</v>
      </c>
      <c r="I196" s="601" t="s">
        <v>430</v>
      </c>
      <c r="J196" s="630"/>
      <c r="K196" s="630"/>
      <c r="L196" s="630"/>
      <c r="M196" s="630"/>
      <c r="N196" s="630"/>
      <c r="O196" s="630"/>
    </row>
    <row r="197" spans="1:15" hidden="1" x14ac:dyDescent="0.25">
      <c r="A197" s="630" t="s">
        <v>417</v>
      </c>
      <c r="B197" s="629">
        <v>0.29959999999999998</v>
      </c>
      <c r="C197" s="630"/>
      <c r="D197" s="630" t="s">
        <v>319</v>
      </c>
      <c r="E197" s="630" t="s">
        <v>319</v>
      </c>
      <c r="F197" s="630" t="s">
        <v>319</v>
      </c>
      <c r="G197" s="630" t="s">
        <v>418</v>
      </c>
      <c r="H197" s="601" t="s">
        <v>325</v>
      </c>
      <c r="I197" s="601" t="s">
        <v>431</v>
      </c>
      <c r="J197" s="630"/>
      <c r="K197" s="630"/>
      <c r="L197" s="630"/>
      <c r="M197" s="630"/>
      <c r="N197" s="630"/>
      <c r="O197" s="630"/>
    </row>
    <row r="198" spans="1:15" hidden="1" x14ac:dyDescent="0.25">
      <c r="A198" s="630" t="s">
        <v>417</v>
      </c>
      <c r="B198" s="629">
        <v>0.28639999999999999</v>
      </c>
      <c r="C198" s="630"/>
      <c r="D198" s="630" t="s">
        <v>319</v>
      </c>
      <c r="E198" s="630" t="s">
        <v>319</v>
      </c>
      <c r="F198" s="630" t="s">
        <v>319</v>
      </c>
      <c r="G198" s="630" t="s">
        <v>418</v>
      </c>
      <c r="H198" s="601" t="s">
        <v>325</v>
      </c>
      <c r="I198" s="601" t="s">
        <v>432</v>
      </c>
      <c r="J198" s="630"/>
      <c r="K198" s="630"/>
      <c r="L198" s="630"/>
      <c r="M198" s="630"/>
      <c r="N198" s="630"/>
      <c r="O198" s="630"/>
    </row>
    <row r="199" spans="1:15" hidden="1" x14ac:dyDescent="0.25">
      <c r="A199" s="630" t="s">
        <v>417</v>
      </c>
      <c r="B199" s="629">
        <v>0.27510000000000001</v>
      </c>
      <c r="C199" s="630"/>
      <c r="D199" s="630" t="s">
        <v>319</v>
      </c>
      <c r="E199" s="630" t="s">
        <v>319</v>
      </c>
      <c r="F199" s="630" t="s">
        <v>319</v>
      </c>
      <c r="G199" s="630" t="s">
        <v>418</v>
      </c>
      <c r="H199" s="601" t="s">
        <v>325</v>
      </c>
      <c r="I199" s="601" t="s">
        <v>433</v>
      </c>
      <c r="J199" s="630"/>
      <c r="K199" s="630"/>
      <c r="L199" s="630"/>
      <c r="M199" s="630"/>
      <c r="N199" s="630"/>
      <c r="O199" s="630"/>
    </row>
    <row r="200" spans="1:15" hidden="1" x14ac:dyDescent="0.25">
      <c r="A200" s="630" t="s">
        <v>417</v>
      </c>
      <c r="B200" s="629">
        <v>0.26550000000000001</v>
      </c>
      <c r="C200" s="630"/>
      <c r="D200" s="630" t="s">
        <v>319</v>
      </c>
      <c r="E200" s="630" t="s">
        <v>319</v>
      </c>
      <c r="F200" s="630" t="s">
        <v>319</v>
      </c>
      <c r="G200" s="630" t="s">
        <v>418</v>
      </c>
      <c r="H200" s="601" t="s">
        <v>325</v>
      </c>
      <c r="I200" s="601" t="s">
        <v>434</v>
      </c>
      <c r="J200" s="630"/>
      <c r="K200" s="630"/>
      <c r="L200" s="630"/>
      <c r="M200" s="630"/>
      <c r="N200" s="630"/>
      <c r="O200" s="630"/>
    </row>
    <row r="201" spans="1:15" hidden="1" x14ac:dyDescent="0.25">
      <c r="A201" s="630" t="s">
        <v>417</v>
      </c>
      <c r="B201" s="629">
        <v>0.25719999999999998</v>
      </c>
      <c r="C201" s="630"/>
      <c r="D201" s="630" t="s">
        <v>319</v>
      </c>
      <c r="E201" s="630" t="s">
        <v>319</v>
      </c>
      <c r="F201" s="630" t="s">
        <v>319</v>
      </c>
      <c r="G201" s="630" t="s">
        <v>418</v>
      </c>
      <c r="H201" s="601" t="s">
        <v>325</v>
      </c>
      <c r="I201" s="601" t="s">
        <v>435</v>
      </c>
      <c r="J201" s="630"/>
      <c r="K201" s="630"/>
      <c r="L201" s="630"/>
      <c r="M201" s="630"/>
      <c r="N201" s="630"/>
      <c r="O201" s="630"/>
    </row>
    <row r="202" spans="1:15" hidden="1" x14ac:dyDescent="0.25">
      <c r="A202" s="630" t="s">
        <v>417</v>
      </c>
      <c r="B202" s="629">
        <v>0.25</v>
      </c>
      <c r="C202" s="630"/>
      <c r="D202" s="630" t="s">
        <v>319</v>
      </c>
      <c r="E202" s="630" t="s">
        <v>319</v>
      </c>
      <c r="F202" s="630" t="s">
        <v>319</v>
      </c>
      <c r="G202" s="630" t="s">
        <v>418</v>
      </c>
      <c r="H202" s="601" t="s">
        <v>325</v>
      </c>
      <c r="I202" s="601" t="s">
        <v>436</v>
      </c>
      <c r="J202" s="630"/>
      <c r="K202" s="630"/>
      <c r="L202" s="630"/>
      <c r="M202" s="630"/>
      <c r="N202" s="630"/>
      <c r="O202" s="630"/>
    </row>
    <row r="203" spans="1:15" hidden="1" x14ac:dyDescent="0.25">
      <c r="A203" s="630" t="s">
        <v>417</v>
      </c>
      <c r="B203" s="629">
        <v>0.24199999999999999</v>
      </c>
      <c r="C203" s="630"/>
      <c r="D203" s="630" t="s">
        <v>319</v>
      </c>
      <c r="E203" s="630" t="s">
        <v>319</v>
      </c>
      <c r="F203" s="630" t="s">
        <v>319</v>
      </c>
      <c r="G203" s="630" t="s">
        <v>418</v>
      </c>
      <c r="H203" s="601" t="s">
        <v>325</v>
      </c>
      <c r="I203" s="601" t="s">
        <v>437</v>
      </c>
      <c r="J203" s="630"/>
      <c r="K203" s="630"/>
      <c r="L203" s="630"/>
      <c r="M203" s="630"/>
      <c r="N203" s="630"/>
      <c r="O203" s="630"/>
    </row>
    <row r="204" spans="1:15" hidden="1" x14ac:dyDescent="0.25">
      <c r="A204" s="630" t="s">
        <v>417</v>
      </c>
      <c r="B204" s="629">
        <v>0.23499999999999999</v>
      </c>
      <c r="C204" s="630"/>
      <c r="D204" s="630" t="s">
        <v>319</v>
      </c>
      <c r="E204" s="630" t="s">
        <v>319</v>
      </c>
      <c r="F204" s="630" t="s">
        <v>319</v>
      </c>
      <c r="G204" s="630" t="s">
        <v>418</v>
      </c>
      <c r="H204" s="601" t="s">
        <v>325</v>
      </c>
      <c r="I204" s="601" t="s">
        <v>438</v>
      </c>
      <c r="J204" s="630"/>
      <c r="K204" s="630"/>
      <c r="L204" s="630"/>
      <c r="M204" s="630"/>
      <c r="N204" s="630"/>
      <c r="O204" s="630"/>
    </row>
    <row r="205" spans="1:15" hidden="1" x14ac:dyDescent="0.25">
      <c r="A205" s="630" t="s">
        <v>417</v>
      </c>
      <c r="B205" s="629">
        <v>0.2</v>
      </c>
      <c r="C205" s="630"/>
      <c r="D205" s="630" t="s">
        <v>319</v>
      </c>
      <c r="E205" s="630" t="s">
        <v>319</v>
      </c>
      <c r="F205" s="630" t="s">
        <v>319</v>
      </c>
      <c r="G205" s="630" t="s">
        <v>418</v>
      </c>
      <c r="H205" s="601" t="s">
        <v>325</v>
      </c>
      <c r="I205" s="601" t="s">
        <v>439</v>
      </c>
      <c r="J205" s="630"/>
      <c r="K205" s="630"/>
      <c r="L205" s="630"/>
      <c r="M205" s="630"/>
      <c r="N205" s="630"/>
      <c r="O205" s="630"/>
    </row>
    <row r="206" spans="1:15" hidden="1" x14ac:dyDescent="0.25">
      <c r="A206" s="630" t="s">
        <v>417</v>
      </c>
      <c r="B206" s="629">
        <v>0.15</v>
      </c>
      <c r="C206" s="630"/>
      <c r="D206" s="630" t="s">
        <v>319</v>
      </c>
      <c r="E206" s="630" t="s">
        <v>319</v>
      </c>
      <c r="F206" s="630" t="s">
        <v>319</v>
      </c>
      <c r="G206" s="630" t="s">
        <v>418</v>
      </c>
      <c r="H206" s="601" t="s">
        <v>325</v>
      </c>
      <c r="I206" s="601" t="s">
        <v>440</v>
      </c>
      <c r="J206" s="630"/>
      <c r="K206" s="630"/>
      <c r="L206" s="630"/>
      <c r="M206" s="630"/>
      <c r="N206" s="630"/>
      <c r="O206" s="630"/>
    </row>
    <row r="207" spans="1:15" hidden="1" x14ac:dyDescent="0.25">
      <c r="A207" s="630" t="s">
        <v>417</v>
      </c>
      <c r="B207" s="629">
        <v>0.12</v>
      </c>
      <c r="C207" s="630"/>
      <c r="D207" s="630" t="s">
        <v>319</v>
      </c>
      <c r="E207" s="630" t="s">
        <v>319</v>
      </c>
      <c r="F207" s="630" t="s">
        <v>319</v>
      </c>
      <c r="G207" s="630" t="s">
        <v>418</v>
      </c>
      <c r="H207" s="601" t="s">
        <v>325</v>
      </c>
      <c r="I207" s="601" t="s">
        <v>441</v>
      </c>
      <c r="J207" s="630"/>
      <c r="K207" s="630"/>
      <c r="L207" s="630"/>
      <c r="M207" s="630"/>
      <c r="N207" s="630"/>
      <c r="O207" s="630"/>
    </row>
    <row r="208" spans="1:15" hidden="1" x14ac:dyDescent="0.25">
      <c r="A208" s="630" t="s">
        <v>417</v>
      </c>
      <c r="B208" s="629">
        <v>8.5999999999999993E-2</v>
      </c>
      <c r="C208" s="630"/>
      <c r="D208" s="630" t="s">
        <v>319</v>
      </c>
      <c r="E208" s="630" t="s">
        <v>319</v>
      </c>
      <c r="F208" s="630" t="s">
        <v>319</v>
      </c>
      <c r="G208" s="630" t="s">
        <v>418</v>
      </c>
      <c r="H208" s="601" t="s">
        <v>325</v>
      </c>
      <c r="I208" s="601" t="s">
        <v>442</v>
      </c>
      <c r="J208" s="630"/>
      <c r="K208" s="630"/>
      <c r="L208" s="630"/>
      <c r="M208" s="630"/>
      <c r="N208" s="630"/>
      <c r="O208" s="630"/>
    </row>
    <row r="209" spans="1:15" hidden="1" x14ac:dyDescent="0.25">
      <c r="A209" s="630" t="s">
        <v>417</v>
      </c>
      <c r="B209" s="629">
        <v>6.2E-2</v>
      </c>
      <c r="C209" s="630"/>
      <c r="D209" s="630" t="s">
        <v>319</v>
      </c>
      <c r="E209" s="630" t="s">
        <v>319</v>
      </c>
      <c r="F209" s="630" t="s">
        <v>319</v>
      </c>
      <c r="G209" s="630" t="s">
        <v>418</v>
      </c>
      <c r="H209" s="601" t="s">
        <v>325</v>
      </c>
      <c r="I209" s="601" t="s">
        <v>443</v>
      </c>
      <c r="J209" s="630"/>
      <c r="K209" s="630"/>
      <c r="L209" s="630"/>
      <c r="M209" s="630"/>
      <c r="N209" s="630"/>
      <c r="O209" s="630"/>
    </row>
    <row r="210" spans="1:15" hidden="1" x14ac:dyDescent="0.25">
      <c r="A210" s="630" t="s">
        <v>417</v>
      </c>
      <c r="B210" s="629">
        <v>4.3999999999999997E-2</v>
      </c>
      <c r="C210" s="630"/>
      <c r="D210" s="630" t="s">
        <v>319</v>
      </c>
      <c r="E210" s="630" t="s">
        <v>319</v>
      </c>
      <c r="F210" s="630" t="s">
        <v>319</v>
      </c>
      <c r="G210" s="630" t="s">
        <v>418</v>
      </c>
      <c r="H210" s="601" t="s">
        <v>325</v>
      </c>
      <c r="I210" s="601" t="s">
        <v>444</v>
      </c>
      <c r="J210" s="630"/>
      <c r="K210" s="630"/>
      <c r="L210" s="630"/>
      <c r="M210" s="630"/>
      <c r="N210" s="630"/>
      <c r="O210" s="630"/>
    </row>
    <row r="211" spans="1:15" hidden="1" x14ac:dyDescent="0.25">
      <c r="A211" s="630" t="s">
        <v>417</v>
      </c>
      <c r="B211" s="629">
        <v>3.2000000000000001E-2</v>
      </c>
      <c r="C211" s="630"/>
      <c r="D211" s="630" t="s">
        <v>319</v>
      </c>
      <c r="E211" s="630" t="s">
        <v>319</v>
      </c>
      <c r="F211" s="630" t="s">
        <v>319</v>
      </c>
      <c r="G211" s="630" t="s">
        <v>418</v>
      </c>
      <c r="H211" s="601" t="s">
        <v>325</v>
      </c>
      <c r="I211" s="601" t="s">
        <v>445</v>
      </c>
      <c r="J211" s="630"/>
      <c r="K211" s="630"/>
      <c r="L211" s="630"/>
      <c r="M211" s="630"/>
      <c r="N211" s="630"/>
      <c r="O211" s="630"/>
    </row>
    <row r="212" spans="1:15" hidden="1" x14ac:dyDescent="0.25">
      <c r="A212" s="630" t="s">
        <v>417</v>
      </c>
      <c r="B212" s="629">
        <v>2.5000000000000001E-2</v>
      </c>
      <c r="C212" s="630"/>
      <c r="D212" s="630" t="s">
        <v>319</v>
      </c>
      <c r="E212" s="630" t="s">
        <v>319</v>
      </c>
      <c r="F212" s="630" t="s">
        <v>319</v>
      </c>
      <c r="G212" s="630" t="s">
        <v>418</v>
      </c>
      <c r="H212" s="601" t="s">
        <v>325</v>
      </c>
      <c r="I212" s="601" t="s">
        <v>446</v>
      </c>
      <c r="J212" s="630"/>
      <c r="K212" s="630"/>
      <c r="L212" s="630"/>
      <c r="M212" s="630"/>
      <c r="N212" s="630"/>
      <c r="O212" s="630"/>
    </row>
    <row r="213" spans="1:15" hidden="1" x14ac:dyDescent="0.25">
      <c r="A213" s="630" t="s">
        <v>417</v>
      </c>
      <c r="B213" s="629">
        <v>0.02</v>
      </c>
      <c r="C213" s="630"/>
      <c r="D213" s="630" t="s">
        <v>319</v>
      </c>
      <c r="E213" s="630" t="s">
        <v>319</v>
      </c>
      <c r="F213" s="630" t="s">
        <v>319</v>
      </c>
      <c r="G213" s="630" t="s">
        <v>418</v>
      </c>
      <c r="H213" s="601" t="s">
        <v>325</v>
      </c>
      <c r="I213" s="601" t="s">
        <v>447</v>
      </c>
      <c r="J213" s="630"/>
      <c r="K213" s="630"/>
      <c r="L213" s="630"/>
      <c r="M213" s="630"/>
      <c r="N213" s="630"/>
      <c r="O213" s="630"/>
    </row>
    <row r="214" spans="1:15" hidden="1" x14ac:dyDescent="0.25">
      <c r="A214" s="601" t="s">
        <v>448</v>
      </c>
      <c r="B214" s="636">
        <v>3.4910000000000001</v>
      </c>
      <c r="C214" s="601"/>
      <c r="D214" s="601" t="s">
        <v>319</v>
      </c>
      <c r="E214" s="601" t="s">
        <v>319</v>
      </c>
      <c r="F214" s="601" t="s">
        <v>319</v>
      </c>
      <c r="G214" s="601" t="s">
        <v>449</v>
      </c>
      <c r="H214" s="601" t="s">
        <v>325</v>
      </c>
      <c r="I214" s="601" t="s">
        <v>450</v>
      </c>
      <c r="J214" s="575"/>
      <c r="K214" s="575"/>
      <c r="L214" s="575"/>
      <c r="M214" s="575"/>
      <c r="N214" s="575"/>
      <c r="O214" s="575"/>
    </row>
    <row r="215" spans="1:15" hidden="1" x14ac:dyDescent="0.25">
      <c r="A215" s="601" t="s">
        <v>448</v>
      </c>
      <c r="B215" s="636">
        <v>3.222</v>
      </c>
      <c r="C215" s="601"/>
      <c r="D215" s="601" t="s">
        <v>319</v>
      </c>
      <c r="E215" s="601" t="s">
        <v>319</v>
      </c>
      <c r="F215" s="601" t="s">
        <v>319</v>
      </c>
      <c r="G215" s="601" t="s">
        <v>449</v>
      </c>
      <c r="H215" s="601" t="s">
        <v>325</v>
      </c>
      <c r="I215" s="601" t="s">
        <v>451</v>
      </c>
      <c r="J215" s="575"/>
      <c r="K215" s="575"/>
      <c r="L215" s="575"/>
      <c r="M215" s="575"/>
      <c r="N215" s="575"/>
      <c r="O215" s="575"/>
    </row>
    <row r="216" spans="1:15" hidden="1" x14ac:dyDescent="0.25">
      <c r="A216" s="601" t="s">
        <v>448</v>
      </c>
      <c r="B216" s="636">
        <v>3.004</v>
      </c>
      <c r="C216" s="601"/>
      <c r="D216" s="601" t="s">
        <v>319</v>
      </c>
      <c r="E216" s="601" t="s">
        <v>319</v>
      </c>
      <c r="F216" s="601" t="s">
        <v>319</v>
      </c>
      <c r="G216" s="601" t="s">
        <v>449</v>
      </c>
      <c r="H216" s="601" t="s">
        <v>325</v>
      </c>
      <c r="I216" s="601" t="s">
        <v>452</v>
      </c>
      <c r="J216" s="575"/>
      <c r="K216" s="575"/>
      <c r="L216" s="575"/>
      <c r="M216" s="575"/>
      <c r="N216" s="575"/>
      <c r="O216" s="575"/>
    </row>
    <row r="217" spans="1:15" hidden="1" x14ac:dyDescent="0.25">
      <c r="A217" s="601" t="s">
        <v>448</v>
      </c>
      <c r="B217" s="636">
        <v>2.8460000000000001</v>
      </c>
      <c r="C217" s="601"/>
      <c r="D217" s="601" t="s">
        <v>319</v>
      </c>
      <c r="E217" s="601" t="s">
        <v>319</v>
      </c>
      <c r="F217" s="601" t="s">
        <v>319</v>
      </c>
      <c r="G217" s="601" t="s">
        <v>449</v>
      </c>
      <c r="H217" s="601" t="s">
        <v>325</v>
      </c>
      <c r="I217" s="601" t="s">
        <v>453</v>
      </c>
      <c r="J217" s="575"/>
      <c r="K217" s="575"/>
      <c r="L217" s="575"/>
      <c r="M217" s="575"/>
      <c r="N217" s="575"/>
      <c r="O217" s="575"/>
    </row>
    <row r="218" spans="1:15" hidden="1" x14ac:dyDescent="0.25">
      <c r="A218" s="601" t="s">
        <v>448</v>
      </c>
      <c r="B218" s="636">
        <v>2.7010000000000001</v>
      </c>
      <c r="C218" s="601"/>
      <c r="D218" s="601" t="s">
        <v>319</v>
      </c>
      <c r="E218" s="601" t="s">
        <v>319</v>
      </c>
      <c r="F218" s="601" t="s">
        <v>319</v>
      </c>
      <c r="G218" s="601" t="s">
        <v>449</v>
      </c>
      <c r="H218" s="601" t="s">
        <v>325</v>
      </c>
      <c r="I218" s="601" t="s">
        <v>454</v>
      </c>
      <c r="J218" s="575"/>
      <c r="K218" s="575"/>
      <c r="L218" s="575"/>
      <c r="M218" s="575"/>
      <c r="N218" s="575"/>
      <c r="O218" s="575"/>
    </row>
    <row r="219" spans="1:15" hidden="1" x14ac:dyDescent="0.25">
      <c r="A219" s="601" t="s">
        <v>448</v>
      </c>
      <c r="B219" s="636">
        <v>2.5670000000000002</v>
      </c>
      <c r="C219" s="601"/>
      <c r="D219" s="601" t="s">
        <v>319</v>
      </c>
      <c r="E219" s="601" t="s">
        <v>319</v>
      </c>
      <c r="F219" s="601" t="s">
        <v>319</v>
      </c>
      <c r="G219" s="601" t="s">
        <v>449</v>
      </c>
      <c r="H219" s="601" t="s">
        <v>325</v>
      </c>
      <c r="I219" s="601" t="s">
        <v>455</v>
      </c>
      <c r="J219" s="575"/>
      <c r="K219" s="575"/>
      <c r="L219" s="575"/>
      <c r="M219" s="575"/>
      <c r="N219" s="575"/>
      <c r="O219" s="575"/>
    </row>
    <row r="220" spans="1:15" hidden="1" x14ac:dyDescent="0.25">
      <c r="A220" s="601" t="s">
        <v>448</v>
      </c>
      <c r="B220" s="636">
        <v>2.4470000000000001</v>
      </c>
      <c r="C220" s="601"/>
      <c r="D220" s="601" t="s">
        <v>319</v>
      </c>
      <c r="E220" s="601" t="s">
        <v>319</v>
      </c>
      <c r="F220" s="601" t="s">
        <v>319</v>
      </c>
      <c r="G220" s="601" t="s">
        <v>449</v>
      </c>
      <c r="H220" s="601" t="s">
        <v>325</v>
      </c>
      <c r="I220" s="601" t="s">
        <v>456</v>
      </c>
      <c r="J220" s="575"/>
      <c r="K220" s="575"/>
      <c r="L220" s="575"/>
      <c r="M220" s="575"/>
      <c r="N220" s="575"/>
      <c r="O220" s="575"/>
    </row>
    <row r="221" spans="1:15" hidden="1" x14ac:dyDescent="0.25">
      <c r="A221" s="601" t="s">
        <v>448</v>
      </c>
      <c r="B221" s="636">
        <v>2.3420000000000001</v>
      </c>
      <c r="C221" s="601"/>
      <c r="D221" s="601" t="s">
        <v>319</v>
      </c>
      <c r="E221" s="601" t="s">
        <v>319</v>
      </c>
      <c r="F221" s="601" t="s">
        <v>319</v>
      </c>
      <c r="G221" s="601" t="s">
        <v>449</v>
      </c>
      <c r="H221" s="601" t="s">
        <v>325</v>
      </c>
      <c r="I221" s="601" t="s">
        <v>457</v>
      </c>
      <c r="J221" s="575"/>
      <c r="K221" s="575"/>
      <c r="L221" s="575"/>
      <c r="M221" s="575"/>
      <c r="N221" s="575"/>
      <c r="O221" s="575"/>
    </row>
    <row r="222" spans="1:15" hidden="1" x14ac:dyDescent="0.25">
      <c r="A222" s="601" t="s">
        <v>448</v>
      </c>
      <c r="B222" s="636">
        <v>2.25</v>
      </c>
      <c r="C222" s="601"/>
      <c r="D222" s="601" t="s">
        <v>319</v>
      </c>
      <c r="E222" s="601" t="s">
        <v>319</v>
      </c>
      <c r="F222" s="601" t="s">
        <v>319</v>
      </c>
      <c r="G222" s="601" t="s">
        <v>449</v>
      </c>
      <c r="H222" s="601" t="s">
        <v>325</v>
      </c>
      <c r="I222" s="601" t="s">
        <v>458</v>
      </c>
      <c r="J222" s="575"/>
      <c r="K222" s="575"/>
      <c r="L222" s="575"/>
      <c r="M222" s="575"/>
      <c r="N222" s="575"/>
      <c r="O222" s="575"/>
    </row>
    <row r="223" spans="1:15" hidden="1" x14ac:dyDescent="0.25">
      <c r="A223" s="601" t="s">
        <v>448</v>
      </c>
      <c r="B223" s="636">
        <v>2.105</v>
      </c>
      <c r="C223" s="601"/>
      <c r="D223" s="601" t="s">
        <v>319</v>
      </c>
      <c r="E223" s="601" t="s">
        <v>319</v>
      </c>
      <c r="F223" s="601" t="s">
        <v>319</v>
      </c>
      <c r="G223" s="601" t="s">
        <v>449</v>
      </c>
      <c r="H223" s="601" t="s">
        <v>325</v>
      </c>
      <c r="I223" s="601" t="s">
        <v>459</v>
      </c>
      <c r="J223" s="575"/>
      <c r="K223" s="575"/>
      <c r="L223" s="575"/>
      <c r="M223" s="575"/>
      <c r="N223" s="575"/>
      <c r="O223" s="575"/>
    </row>
    <row r="224" spans="1:15" hidden="1" x14ac:dyDescent="0.25">
      <c r="A224" s="601" t="s">
        <v>448</v>
      </c>
      <c r="B224" s="636">
        <v>1.889</v>
      </c>
      <c r="C224" s="601"/>
      <c r="D224" s="601" t="s">
        <v>319</v>
      </c>
      <c r="E224" s="601" t="s">
        <v>319</v>
      </c>
      <c r="F224" s="601" t="s">
        <v>319</v>
      </c>
      <c r="G224" s="601" t="s">
        <v>449</v>
      </c>
      <c r="H224" s="601" t="s">
        <v>325</v>
      </c>
      <c r="I224" s="601" t="s">
        <v>460</v>
      </c>
      <c r="J224" s="575"/>
      <c r="K224" s="575"/>
      <c r="L224" s="575"/>
      <c r="M224" s="575"/>
      <c r="N224" s="575"/>
      <c r="O224" s="575"/>
    </row>
    <row r="225" spans="1:15" hidden="1" x14ac:dyDescent="0.25">
      <c r="A225" s="601" t="s">
        <v>448</v>
      </c>
      <c r="B225" s="636">
        <v>1.6020000000000001</v>
      </c>
      <c r="C225" s="601"/>
      <c r="D225" s="601" t="s">
        <v>319</v>
      </c>
      <c r="E225" s="601" t="s">
        <v>319</v>
      </c>
      <c r="F225" s="601" t="s">
        <v>319</v>
      </c>
      <c r="G225" s="601" t="s">
        <v>449</v>
      </c>
      <c r="H225" s="601" t="s">
        <v>325</v>
      </c>
      <c r="I225" s="601" t="s">
        <v>461</v>
      </c>
      <c r="J225" s="575"/>
      <c r="K225" s="575"/>
      <c r="L225" s="575"/>
      <c r="M225" s="575"/>
      <c r="N225" s="575"/>
      <c r="O225" s="575"/>
    </row>
    <row r="226" spans="1:15" hidden="1" x14ac:dyDescent="0.25">
      <c r="A226" s="601" t="s">
        <v>448</v>
      </c>
      <c r="B226" s="636">
        <v>1.25</v>
      </c>
      <c r="C226" s="601"/>
      <c r="D226" s="601" t="s">
        <v>319</v>
      </c>
      <c r="E226" s="601" t="s">
        <v>319</v>
      </c>
      <c r="F226" s="601" t="s">
        <v>319</v>
      </c>
      <c r="G226" s="601" t="s">
        <v>449</v>
      </c>
      <c r="H226" s="601" t="s">
        <v>325</v>
      </c>
      <c r="I226" s="601" t="s">
        <v>462</v>
      </c>
      <c r="J226" s="575"/>
      <c r="K226" s="575"/>
      <c r="L226" s="575"/>
      <c r="M226" s="575"/>
      <c r="N226" s="575"/>
      <c r="O226" s="575"/>
    </row>
    <row r="227" spans="1:15" hidden="1" x14ac:dyDescent="0.25">
      <c r="A227" s="601" t="s">
        <v>448</v>
      </c>
      <c r="B227" s="636">
        <v>1.25</v>
      </c>
      <c r="C227" s="601"/>
      <c r="D227" s="601" t="s">
        <v>319</v>
      </c>
      <c r="E227" s="601" t="s">
        <v>319</v>
      </c>
      <c r="F227" s="601" t="s">
        <v>319</v>
      </c>
      <c r="G227" s="601" t="s">
        <v>449</v>
      </c>
      <c r="H227" s="601" t="s">
        <v>325</v>
      </c>
      <c r="I227" s="601" t="s">
        <v>463</v>
      </c>
      <c r="J227" s="575"/>
      <c r="K227" s="575"/>
      <c r="L227" s="575"/>
      <c r="M227" s="575"/>
      <c r="N227" s="575"/>
      <c r="O227" s="575"/>
    </row>
    <row r="228" spans="1:15" hidden="1" x14ac:dyDescent="0.25">
      <c r="A228" s="601" t="s">
        <v>448</v>
      </c>
      <c r="B228" s="636">
        <v>1.25</v>
      </c>
      <c r="C228" s="601"/>
      <c r="D228" s="601" t="s">
        <v>319</v>
      </c>
      <c r="E228" s="601" t="s">
        <v>319</v>
      </c>
      <c r="F228" s="601" t="s">
        <v>319</v>
      </c>
      <c r="G228" s="601" t="s">
        <v>449</v>
      </c>
      <c r="H228" s="601" t="s">
        <v>325</v>
      </c>
      <c r="I228" s="601" t="s">
        <v>464</v>
      </c>
      <c r="J228" s="575"/>
      <c r="K228" s="575"/>
      <c r="L228" s="575"/>
      <c r="M228" s="575"/>
      <c r="N228" s="575"/>
      <c r="O228" s="575"/>
    </row>
    <row r="229" spans="1:15" hidden="1" x14ac:dyDescent="0.25">
      <c r="A229" s="601" t="s">
        <v>448</v>
      </c>
      <c r="B229" s="636">
        <v>1.25</v>
      </c>
      <c r="C229" s="601"/>
      <c r="D229" s="601" t="s">
        <v>319</v>
      </c>
      <c r="E229" s="601" t="s">
        <v>319</v>
      </c>
      <c r="F229" s="601" t="s">
        <v>319</v>
      </c>
      <c r="G229" s="601" t="s">
        <v>449</v>
      </c>
      <c r="H229" s="601" t="s">
        <v>325</v>
      </c>
      <c r="I229" s="601" t="s">
        <v>465</v>
      </c>
      <c r="J229" s="575"/>
      <c r="K229" s="575"/>
      <c r="L229" s="575"/>
      <c r="M229" s="575"/>
      <c r="N229" s="575"/>
      <c r="O229" s="575"/>
    </row>
    <row r="230" spans="1:15" hidden="1" x14ac:dyDescent="0.25">
      <c r="A230" s="601" t="s">
        <v>448</v>
      </c>
      <c r="B230" s="636">
        <v>1.25</v>
      </c>
      <c r="C230" s="601"/>
      <c r="D230" s="601" t="s">
        <v>319</v>
      </c>
      <c r="E230" s="601" t="s">
        <v>319</v>
      </c>
      <c r="F230" s="601" t="s">
        <v>319</v>
      </c>
      <c r="G230" s="601" t="s">
        <v>449</v>
      </c>
      <c r="H230" s="601" t="s">
        <v>325</v>
      </c>
      <c r="I230" s="601" t="s">
        <v>466</v>
      </c>
      <c r="J230" s="575"/>
      <c r="K230" s="575"/>
      <c r="L230" s="575"/>
      <c r="M230" s="575"/>
      <c r="N230" s="575"/>
      <c r="O230" s="575"/>
    </row>
    <row r="231" spans="1:15" hidden="1" x14ac:dyDescent="0.25">
      <c r="A231" s="601" t="s">
        <v>448</v>
      </c>
      <c r="B231" s="636">
        <v>1.1499999999999999</v>
      </c>
      <c r="C231" s="601"/>
      <c r="D231" s="601" t="s">
        <v>319</v>
      </c>
      <c r="E231" s="601" t="s">
        <v>319</v>
      </c>
      <c r="F231" s="601" t="s">
        <v>319</v>
      </c>
      <c r="G231" s="601" t="s">
        <v>449</v>
      </c>
      <c r="H231" s="601" t="s">
        <v>325</v>
      </c>
      <c r="I231" s="601" t="s">
        <v>467</v>
      </c>
      <c r="J231" s="575"/>
      <c r="K231" s="575"/>
      <c r="L231" s="575"/>
      <c r="M231" s="575"/>
      <c r="N231" s="575"/>
      <c r="O231" s="575"/>
    </row>
    <row r="232" spans="1:15" hidden="1" x14ac:dyDescent="0.25">
      <c r="A232" s="601" t="s">
        <v>448</v>
      </c>
      <c r="B232" s="636">
        <v>1.1499999999999999</v>
      </c>
      <c r="C232" s="601"/>
      <c r="D232" s="601" t="s">
        <v>319</v>
      </c>
      <c r="E232" s="601" t="s">
        <v>319</v>
      </c>
      <c r="F232" s="601" t="s">
        <v>319</v>
      </c>
      <c r="G232" s="601" t="s">
        <v>449</v>
      </c>
      <c r="H232" s="601" t="s">
        <v>325</v>
      </c>
      <c r="I232" s="601" t="s">
        <v>468</v>
      </c>
      <c r="J232" s="575"/>
      <c r="K232" s="575"/>
      <c r="L232" s="575"/>
      <c r="M232" s="575"/>
      <c r="N232" s="575"/>
      <c r="O232" s="575"/>
    </row>
    <row r="233" spans="1:15" hidden="1" x14ac:dyDescent="0.25">
      <c r="A233" s="601" t="s">
        <v>448</v>
      </c>
      <c r="B233" s="636">
        <v>1.1499999999999999</v>
      </c>
      <c r="C233" s="601"/>
      <c r="D233" s="601" t="s">
        <v>319</v>
      </c>
      <c r="E233" s="601" t="s">
        <v>319</v>
      </c>
      <c r="F233" s="601" t="s">
        <v>319</v>
      </c>
      <c r="G233" s="601" t="s">
        <v>449</v>
      </c>
      <c r="H233" s="601" t="s">
        <v>325</v>
      </c>
      <c r="I233" s="601" t="s">
        <v>469</v>
      </c>
      <c r="J233" s="575"/>
      <c r="K233" s="575"/>
      <c r="L233" s="575"/>
      <c r="M233" s="575"/>
      <c r="N233" s="575"/>
      <c r="O233" s="575"/>
    </row>
    <row r="234" spans="1:15" hidden="1" x14ac:dyDescent="0.25">
      <c r="A234" s="601" t="s">
        <v>448</v>
      </c>
      <c r="B234" s="636">
        <v>1.1499999999999999</v>
      </c>
      <c r="C234" s="601"/>
      <c r="D234" s="601" t="s">
        <v>319</v>
      </c>
      <c r="E234" s="601" t="s">
        <v>319</v>
      </c>
      <c r="F234" s="601" t="s">
        <v>319</v>
      </c>
      <c r="G234" s="601" t="s">
        <v>449</v>
      </c>
      <c r="H234" s="601" t="s">
        <v>325</v>
      </c>
      <c r="I234" s="601" t="s">
        <v>470</v>
      </c>
      <c r="J234" s="575"/>
      <c r="K234" s="575"/>
      <c r="L234" s="575"/>
      <c r="M234" s="575"/>
      <c r="N234" s="575"/>
      <c r="O234" s="575"/>
    </row>
    <row r="235" spans="1:15" hidden="1" x14ac:dyDescent="0.25">
      <c r="A235" s="601" t="s">
        <v>448</v>
      </c>
      <c r="B235" s="636">
        <v>1.1499999999999999</v>
      </c>
      <c r="C235" s="601"/>
      <c r="D235" s="601" t="s">
        <v>319</v>
      </c>
      <c r="E235" s="601" t="s">
        <v>319</v>
      </c>
      <c r="F235" s="601" t="s">
        <v>319</v>
      </c>
      <c r="G235" s="601" t="s">
        <v>449</v>
      </c>
      <c r="H235" s="601" t="s">
        <v>325</v>
      </c>
      <c r="I235" s="601" t="s">
        <v>471</v>
      </c>
      <c r="J235" s="575"/>
      <c r="K235" s="575"/>
      <c r="L235" s="575"/>
      <c r="M235" s="575"/>
      <c r="N235" s="575"/>
      <c r="O235" s="575"/>
    </row>
    <row r="236" spans="1:15" hidden="1" x14ac:dyDescent="0.25">
      <c r="A236" s="601" t="s">
        <v>448</v>
      </c>
      <c r="B236" s="636">
        <v>1.05</v>
      </c>
      <c r="C236" s="601"/>
      <c r="D236" s="601" t="s">
        <v>319</v>
      </c>
      <c r="E236" s="601" t="s">
        <v>319</v>
      </c>
      <c r="F236" s="601" t="s">
        <v>319</v>
      </c>
      <c r="G236" s="601" t="s">
        <v>449</v>
      </c>
      <c r="H236" s="601" t="s">
        <v>325</v>
      </c>
      <c r="I236" s="601" t="s">
        <v>472</v>
      </c>
      <c r="J236" s="575"/>
      <c r="K236" s="575"/>
      <c r="L236" s="575"/>
      <c r="M236" s="575"/>
      <c r="N236" s="575"/>
      <c r="O236" s="575"/>
    </row>
    <row r="237" spans="1:15" hidden="1" x14ac:dyDescent="0.25">
      <c r="A237" s="601" t="s">
        <v>448</v>
      </c>
      <c r="B237" s="636">
        <v>1.05</v>
      </c>
      <c r="C237" s="601"/>
      <c r="D237" s="601" t="s">
        <v>319</v>
      </c>
      <c r="E237" s="601" t="s">
        <v>319</v>
      </c>
      <c r="F237" s="601" t="s">
        <v>319</v>
      </c>
      <c r="G237" s="601" t="s">
        <v>449</v>
      </c>
      <c r="H237" s="601" t="s">
        <v>325</v>
      </c>
      <c r="I237" s="601" t="s">
        <v>473</v>
      </c>
      <c r="J237" s="575"/>
      <c r="K237" s="575"/>
      <c r="L237" s="575"/>
      <c r="M237" s="575"/>
      <c r="N237" s="575"/>
      <c r="O237" s="575"/>
    </row>
    <row r="238" spans="1:15" hidden="1" x14ac:dyDescent="0.25">
      <c r="A238" s="601" t="s">
        <v>448</v>
      </c>
      <c r="B238" s="636">
        <v>1.05</v>
      </c>
      <c r="C238" s="601"/>
      <c r="D238" s="601" t="s">
        <v>319</v>
      </c>
      <c r="E238" s="601" t="s">
        <v>319</v>
      </c>
      <c r="F238" s="601" t="s">
        <v>319</v>
      </c>
      <c r="G238" s="601" t="s">
        <v>449</v>
      </c>
      <c r="H238" s="601" t="s">
        <v>325</v>
      </c>
      <c r="I238" s="601" t="s">
        <v>474</v>
      </c>
      <c r="J238" s="575"/>
      <c r="K238" s="575"/>
      <c r="L238" s="575"/>
      <c r="M238" s="575"/>
      <c r="N238" s="575"/>
      <c r="O238" s="575"/>
    </row>
    <row r="239" spans="1:15" hidden="1" x14ac:dyDescent="0.25">
      <c r="A239" s="601" t="s">
        <v>448</v>
      </c>
      <c r="B239" s="636">
        <v>1.05</v>
      </c>
      <c r="C239" s="601"/>
      <c r="D239" s="601" t="s">
        <v>319</v>
      </c>
      <c r="E239" s="601" t="s">
        <v>319</v>
      </c>
      <c r="F239" s="601" t="s">
        <v>319</v>
      </c>
      <c r="G239" s="601" t="s">
        <v>449</v>
      </c>
      <c r="H239" s="601" t="s">
        <v>325</v>
      </c>
      <c r="I239" s="601" t="s">
        <v>475</v>
      </c>
      <c r="J239" s="575"/>
      <c r="K239" s="575"/>
      <c r="L239" s="575"/>
      <c r="M239" s="575"/>
      <c r="N239" s="575"/>
      <c r="O239" s="575"/>
    </row>
    <row r="240" spans="1:15" hidden="1" x14ac:dyDescent="0.25">
      <c r="A240" s="601" t="s">
        <v>448</v>
      </c>
      <c r="B240" s="636">
        <v>1.05</v>
      </c>
      <c r="C240" s="601"/>
      <c r="D240" s="601" t="s">
        <v>319</v>
      </c>
      <c r="E240" s="601" t="s">
        <v>319</v>
      </c>
      <c r="F240" s="601" t="s">
        <v>319</v>
      </c>
      <c r="G240" s="601" t="s">
        <v>449</v>
      </c>
      <c r="H240" s="601" t="s">
        <v>325</v>
      </c>
      <c r="I240" s="601" t="s">
        <v>476</v>
      </c>
      <c r="J240" s="575"/>
      <c r="K240" s="575"/>
      <c r="L240" s="575"/>
      <c r="M240" s="575"/>
      <c r="N240" s="575"/>
      <c r="O240" s="575"/>
    </row>
    <row r="241" spans="1:15" hidden="1" x14ac:dyDescent="0.25">
      <c r="A241" s="601" t="s">
        <v>448</v>
      </c>
      <c r="B241" s="636">
        <v>1.0249999999999999</v>
      </c>
      <c r="C241" s="601"/>
      <c r="D241" s="601" t="s">
        <v>319</v>
      </c>
      <c r="E241" s="601" t="s">
        <v>319</v>
      </c>
      <c r="F241" s="601" t="s">
        <v>319</v>
      </c>
      <c r="G241" s="601" t="s">
        <v>449</v>
      </c>
      <c r="H241" s="601" t="s">
        <v>325</v>
      </c>
      <c r="I241" s="601" t="s">
        <v>477</v>
      </c>
      <c r="J241" s="575"/>
      <c r="K241" s="575"/>
      <c r="L241" s="575"/>
      <c r="M241" s="575"/>
      <c r="N241" s="575"/>
      <c r="O241" s="575"/>
    </row>
    <row r="242" spans="1:15" hidden="1" x14ac:dyDescent="0.25">
      <c r="A242" s="601" t="s">
        <v>448</v>
      </c>
      <c r="B242" s="636">
        <v>1.0249999999999999</v>
      </c>
      <c r="C242" s="601"/>
      <c r="D242" s="601" t="s">
        <v>319</v>
      </c>
      <c r="E242" s="601" t="s">
        <v>319</v>
      </c>
      <c r="F242" s="601" t="s">
        <v>319</v>
      </c>
      <c r="G242" s="601" t="s">
        <v>449</v>
      </c>
      <c r="H242" s="601" t="s">
        <v>325</v>
      </c>
      <c r="I242" s="601" t="s">
        <v>478</v>
      </c>
      <c r="J242" s="575"/>
      <c r="K242" s="575"/>
      <c r="L242" s="575"/>
      <c r="M242" s="575"/>
      <c r="N242" s="575"/>
      <c r="O242" s="575"/>
    </row>
    <row r="243" spans="1:15" hidden="1" x14ac:dyDescent="0.25">
      <c r="A243" s="601" t="s">
        <v>448</v>
      </c>
      <c r="B243" s="636">
        <v>1.0249999999999999</v>
      </c>
      <c r="C243" s="601"/>
      <c r="D243" s="601" t="s">
        <v>319</v>
      </c>
      <c r="E243" s="601" t="s">
        <v>319</v>
      </c>
      <c r="F243" s="601" t="s">
        <v>319</v>
      </c>
      <c r="G243" s="601" t="s">
        <v>449</v>
      </c>
      <c r="H243" s="601" t="s">
        <v>325</v>
      </c>
      <c r="I243" s="601" t="s">
        <v>479</v>
      </c>
      <c r="J243" s="575"/>
      <c r="K243" s="575"/>
      <c r="L243" s="575"/>
      <c r="M243" s="575"/>
      <c r="N243" s="575"/>
      <c r="O243" s="575"/>
    </row>
    <row r="244" spans="1:15" hidden="1" x14ac:dyDescent="0.25">
      <c r="A244" s="601" t="s">
        <v>448</v>
      </c>
      <c r="B244" s="636">
        <v>1.0249999999999999</v>
      </c>
      <c r="C244" s="601"/>
      <c r="D244" s="601" t="s">
        <v>319</v>
      </c>
      <c r="E244" s="601" t="s">
        <v>319</v>
      </c>
      <c r="F244" s="601" t="s">
        <v>319</v>
      </c>
      <c r="G244" s="601" t="s">
        <v>449</v>
      </c>
      <c r="H244" s="601" t="s">
        <v>325</v>
      </c>
      <c r="I244" s="601" t="s">
        <v>480</v>
      </c>
      <c r="J244" s="575"/>
      <c r="K244" s="575"/>
      <c r="L244" s="575"/>
      <c r="M244" s="575"/>
      <c r="N244" s="575"/>
      <c r="O244" s="575"/>
    </row>
    <row r="245" spans="1:15" hidden="1" x14ac:dyDescent="0.25">
      <c r="A245" s="601" t="s">
        <v>448</v>
      </c>
      <c r="B245" s="636">
        <v>1.0249999999999999</v>
      </c>
      <c r="C245" s="601"/>
      <c r="D245" s="601" t="s">
        <v>319</v>
      </c>
      <c r="E245" s="601" t="s">
        <v>319</v>
      </c>
      <c r="F245" s="601" t="s">
        <v>319</v>
      </c>
      <c r="G245" s="601" t="s">
        <v>449</v>
      </c>
      <c r="H245" s="601" t="s">
        <v>325</v>
      </c>
      <c r="I245" s="601" t="s">
        <v>481</v>
      </c>
      <c r="J245" s="575"/>
      <c r="K245" s="575"/>
      <c r="L245" s="575"/>
      <c r="M245" s="575"/>
      <c r="N245" s="575"/>
      <c r="O245" s="575"/>
    </row>
    <row r="246" spans="1:15" hidden="1" x14ac:dyDescent="0.25">
      <c r="A246" s="601" t="s">
        <v>448</v>
      </c>
      <c r="B246" s="636">
        <v>1</v>
      </c>
      <c r="C246" s="601"/>
      <c r="D246" s="601" t="s">
        <v>319</v>
      </c>
      <c r="E246" s="601" t="s">
        <v>319</v>
      </c>
      <c r="F246" s="601" t="s">
        <v>319</v>
      </c>
      <c r="G246" s="601" t="s">
        <v>449</v>
      </c>
      <c r="H246" s="601" t="s">
        <v>325</v>
      </c>
      <c r="I246" s="601" t="s">
        <v>482</v>
      </c>
      <c r="J246" s="575"/>
      <c r="K246" s="575"/>
      <c r="L246" s="575"/>
      <c r="M246" s="575"/>
      <c r="N246" s="575"/>
      <c r="O246" s="575"/>
    </row>
    <row r="247" spans="1:15" hidden="1" x14ac:dyDescent="0.25">
      <c r="A247" s="601" t="s">
        <v>448</v>
      </c>
      <c r="B247" s="636">
        <v>1</v>
      </c>
      <c r="C247" s="601"/>
      <c r="D247" s="601" t="s">
        <v>319</v>
      </c>
      <c r="E247" s="601" t="s">
        <v>319</v>
      </c>
      <c r="F247" s="601" t="s">
        <v>319</v>
      </c>
      <c r="G247" s="601" t="s">
        <v>449</v>
      </c>
      <c r="H247" s="601" t="s">
        <v>325</v>
      </c>
      <c r="I247" s="601" t="s">
        <v>483</v>
      </c>
      <c r="J247" s="575"/>
      <c r="K247" s="575"/>
      <c r="L247" s="575"/>
      <c r="M247" s="575"/>
      <c r="N247" s="575"/>
      <c r="O247" s="575"/>
    </row>
    <row r="248" spans="1:15" hidden="1" x14ac:dyDescent="0.25">
      <c r="A248" s="601" t="s">
        <v>448</v>
      </c>
      <c r="B248" s="636">
        <v>1</v>
      </c>
      <c r="C248" s="601"/>
      <c r="D248" s="601" t="s">
        <v>319</v>
      </c>
      <c r="E248" s="601" t="s">
        <v>319</v>
      </c>
      <c r="F248" s="601" t="s">
        <v>319</v>
      </c>
      <c r="G248" s="601" t="s">
        <v>449</v>
      </c>
      <c r="H248" s="601" t="s">
        <v>325</v>
      </c>
      <c r="I248" s="601" t="s">
        <v>484</v>
      </c>
      <c r="J248" s="575"/>
      <c r="K248" s="575"/>
      <c r="L248" s="575"/>
      <c r="M248" s="575"/>
      <c r="N248" s="575"/>
      <c r="O248" s="575"/>
    </row>
    <row r="249" spans="1:15" hidden="1" x14ac:dyDescent="0.25">
      <c r="A249" s="601" t="s">
        <v>448</v>
      </c>
      <c r="B249" s="636">
        <v>1</v>
      </c>
      <c r="C249" s="601"/>
      <c r="D249" s="601" t="s">
        <v>319</v>
      </c>
      <c r="E249" s="601" t="s">
        <v>319</v>
      </c>
      <c r="F249" s="601" t="s">
        <v>319</v>
      </c>
      <c r="G249" s="601" t="s">
        <v>449</v>
      </c>
      <c r="H249" s="601" t="s">
        <v>325</v>
      </c>
      <c r="I249" s="601" t="s">
        <v>485</v>
      </c>
      <c r="J249" s="575"/>
      <c r="K249" s="575"/>
      <c r="L249" s="575"/>
      <c r="M249" s="575"/>
      <c r="N249" s="575"/>
      <c r="O249" s="575"/>
    </row>
    <row r="250" spans="1:15" hidden="1" x14ac:dyDescent="0.25">
      <c r="A250" s="601" t="s">
        <v>448</v>
      </c>
      <c r="B250" s="636">
        <v>1</v>
      </c>
      <c r="C250" s="601"/>
      <c r="D250" s="601" t="s">
        <v>319</v>
      </c>
      <c r="E250" s="601" t="s">
        <v>319</v>
      </c>
      <c r="F250" s="601" t="s">
        <v>319</v>
      </c>
      <c r="G250" s="601" t="s">
        <v>449</v>
      </c>
      <c r="H250" s="601" t="s">
        <v>325</v>
      </c>
      <c r="I250" s="601" t="s">
        <v>486</v>
      </c>
      <c r="J250" s="575"/>
      <c r="K250" s="575"/>
      <c r="L250" s="575"/>
      <c r="M250" s="575"/>
      <c r="N250" s="575"/>
      <c r="O250" s="575"/>
    </row>
    <row r="251" spans="1:15" hidden="1" x14ac:dyDescent="0.25">
      <c r="A251" s="601" t="s">
        <v>448</v>
      </c>
      <c r="B251" s="636">
        <v>1</v>
      </c>
      <c r="C251" s="601"/>
      <c r="D251" s="601" t="s">
        <v>319</v>
      </c>
      <c r="E251" s="601" t="s">
        <v>319</v>
      </c>
      <c r="F251" s="601" t="s">
        <v>319</v>
      </c>
      <c r="G251" s="601" t="s">
        <v>449</v>
      </c>
      <c r="H251" s="601" t="s">
        <v>325</v>
      </c>
      <c r="I251" s="601" t="s">
        <v>487</v>
      </c>
      <c r="J251" s="575"/>
      <c r="K251" s="575"/>
      <c r="L251" s="575"/>
      <c r="M251" s="575"/>
      <c r="N251" s="575"/>
      <c r="O251" s="575"/>
    </row>
    <row r="252" spans="1:15" hidden="1" x14ac:dyDescent="0.25">
      <c r="A252" s="601" t="s">
        <v>448</v>
      </c>
      <c r="B252" s="636">
        <v>1</v>
      </c>
      <c r="C252" s="601"/>
      <c r="D252" s="601" t="s">
        <v>319</v>
      </c>
      <c r="E252" s="601" t="s">
        <v>319</v>
      </c>
      <c r="F252" s="601" t="s">
        <v>319</v>
      </c>
      <c r="G252" s="601" t="s">
        <v>449</v>
      </c>
      <c r="H252" s="601" t="s">
        <v>325</v>
      </c>
      <c r="I252" s="601" t="s">
        <v>488</v>
      </c>
      <c r="J252" s="575"/>
      <c r="K252" s="575"/>
      <c r="L252" s="575"/>
      <c r="M252" s="575"/>
      <c r="N252" s="575"/>
      <c r="O252" s="575"/>
    </row>
    <row r="253" spans="1:15" hidden="1" x14ac:dyDescent="0.25">
      <c r="A253" s="601" t="s">
        <v>448</v>
      </c>
      <c r="B253" s="636">
        <v>1</v>
      </c>
      <c r="C253" s="601"/>
      <c r="D253" s="601" t="s">
        <v>319</v>
      </c>
      <c r="E253" s="601" t="s">
        <v>319</v>
      </c>
      <c r="F253" s="601" t="s">
        <v>319</v>
      </c>
      <c r="G253" s="601" t="s">
        <v>449</v>
      </c>
      <c r="H253" s="601" t="s">
        <v>325</v>
      </c>
      <c r="I253" s="601" t="s">
        <v>489</v>
      </c>
      <c r="J253" s="575"/>
      <c r="K253" s="575"/>
      <c r="L253" s="575"/>
      <c r="M253" s="575"/>
      <c r="N253" s="575"/>
      <c r="O253" s="575"/>
    </row>
    <row r="254" spans="1:15" hidden="1" x14ac:dyDescent="0.25">
      <c r="A254" s="601" t="s">
        <v>448</v>
      </c>
      <c r="B254" s="636">
        <v>1</v>
      </c>
      <c r="C254" s="601"/>
      <c r="D254" s="601" t="s">
        <v>319</v>
      </c>
      <c r="E254" s="601" t="s">
        <v>319</v>
      </c>
      <c r="F254" s="601" t="s">
        <v>319</v>
      </c>
      <c r="G254" s="601" t="s">
        <v>449</v>
      </c>
      <c r="H254" s="601" t="s">
        <v>325</v>
      </c>
      <c r="I254" s="601" t="s">
        <v>490</v>
      </c>
      <c r="J254" s="575"/>
      <c r="K254" s="575"/>
      <c r="L254" s="575"/>
      <c r="M254" s="575"/>
      <c r="N254" s="575"/>
      <c r="O254" s="575"/>
    </row>
    <row r="255" spans="1:15" hidden="1" x14ac:dyDescent="0.25">
      <c r="A255" s="601" t="s">
        <v>448</v>
      </c>
      <c r="B255" s="636">
        <v>1</v>
      </c>
      <c r="C255" s="601"/>
      <c r="D255" s="601" t="s">
        <v>319</v>
      </c>
      <c r="E255" s="601" t="s">
        <v>319</v>
      </c>
      <c r="F255" s="601" t="s">
        <v>319</v>
      </c>
      <c r="G255" s="601" t="s">
        <v>449</v>
      </c>
      <c r="H255" s="601" t="s">
        <v>325</v>
      </c>
      <c r="I255" s="601" t="s">
        <v>491</v>
      </c>
      <c r="J255" s="575"/>
      <c r="K255" s="575"/>
      <c r="L255" s="575"/>
      <c r="M255" s="575"/>
      <c r="N255" s="575"/>
      <c r="O255" s="575"/>
    </row>
    <row r="256" spans="1:15" hidden="1" x14ac:dyDescent="0.25">
      <c r="A256" s="601" t="s">
        <v>448</v>
      </c>
      <c r="B256" s="636">
        <v>1</v>
      </c>
      <c r="C256" s="601"/>
      <c r="D256" s="601" t="s">
        <v>319</v>
      </c>
      <c r="E256" s="601" t="s">
        <v>319</v>
      </c>
      <c r="F256" s="601" t="s">
        <v>319</v>
      </c>
      <c r="G256" s="601" t="s">
        <v>449</v>
      </c>
      <c r="H256" s="601" t="s">
        <v>325</v>
      </c>
      <c r="I256" s="601" t="s">
        <v>492</v>
      </c>
      <c r="J256" s="575"/>
      <c r="K256" s="575"/>
      <c r="L256" s="575"/>
      <c r="M256" s="575"/>
      <c r="N256" s="575"/>
      <c r="O256" s="575"/>
    </row>
    <row r="257" spans="1:15" hidden="1" x14ac:dyDescent="0.25">
      <c r="A257" s="601" t="s">
        <v>448</v>
      </c>
      <c r="B257" s="636">
        <v>1</v>
      </c>
      <c r="C257" s="601"/>
      <c r="D257" s="601" t="s">
        <v>319</v>
      </c>
      <c r="E257" s="601" t="s">
        <v>319</v>
      </c>
      <c r="F257" s="601" t="s">
        <v>319</v>
      </c>
      <c r="G257" s="601" t="s">
        <v>449</v>
      </c>
      <c r="H257" s="601" t="s">
        <v>325</v>
      </c>
      <c r="I257" s="601" t="s">
        <v>493</v>
      </c>
      <c r="J257" s="575"/>
      <c r="K257" s="575"/>
      <c r="L257" s="575"/>
      <c r="M257" s="575"/>
      <c r="N257" s="575"/>
      <c r="O257" s="575"/>
    </row>
    <row r="258" spans="1:15" hidden="1" x14ac:dyDescent="0.25">
      <c r="A258" s="601" t="s">
        <v>448</v>
      </c>
      <c r="B258" s="636">
        <v>1</v>
      </c>
      <c r="C258" s="601"/>
      <c r="D258" s="601" t="s">
        <v>319</v>
      </c>
      <c r="E258" s="601" t="s">
        <v>319</v>
      </c>
      <c r="F258" s="601" t="s">
        <v>319</v>
      </c>
      <c r="G258" s="601" t="s">
        <v>449</v>
      </c>
      <c r="H258" s="601" t="s">
        <v>325</v>
      </c>
      <c r="I258" s="601" t="s">
        <v>494</v>
      </c>
      <c r="J258" s="575"/>
      <c r="K258" s="575"/>
      <c r="L258" s="575"/>
      <c r="M258" s="575"/>
      <c r="N258" s="575"/>
      <c r="O258" s="575"/>
    </row>
    <row r="259" spans="1:15" hidden="1" x14ac:dyDescent="0.25">
      <c r="A259" s="601" t="s">
        <v>448</v>
      </c>
      <c r="B259" s="636">
        <v>1</v>
      </c>
      <c r="C259" s="601"/>
      <c r="D259" s="601" t="s">
        <v>319</v>
      </c>
      <c r="E259" s="601" t="s">
        <v>319</v>
      </c>
      <c r="F259" s="601" t="s">
        <v>319</v>
      </c>
      <c r="G259" s="601" t="s">
        <v>449</v>
      </c>
      <c r="H259" s="601" t="s">
        <v>325</v>
      </c>
      <c r="I259" s="601" t="s">
        <v>495</v>
      </c>
      <c r="J259" s="575"/>
      <c r="K259" s="575"/>
      <c r="L259" s="575"/>
      <c r="M259" s="575"/>
      <c r="N259" s="575"/>
      <c r="O259" s="575"/>
    </row>
    <row r="260" spans="1:15" hidden="1" x14ac:dyDescent="0.25">
      <c r="A260" s="601" t="s">
        <v>448</v>
      </c>
      <c r="B260" s="636">
        <v>1</v>
      </c>
      <c r="C260" s="601"/>
      <c r="D260" s="601" t="s">
        <v>319</v>
      </c>
      <c r="E260" s="601" t="s">
        <v>319</v>
      </c>
      <c r="F260" s="601" t="s">
        <v>319</v>
      </c>
      <c r="G260" s="601" t="s">
        <v>449</v>
      </c>
      <c r="H260" s="601" t="s">
        <v>325</v>
      </c>
      <c r="I260" s="601" t="s">
        <v>496</v>
      </c>
      <c r="J260" s="575"/>
      <c r="K260" s="575"/>
      <c r="L260" s="575"/>
      <c r="M260" s="575"/>
      <c r="N260" s="575"/>
      <c r="O260" s="575"/>
    </row>
    <row r="261" spans="1:15" hidden="1" x14ac:dyDescent="0.25">
      <c r="A261" s="601" t="s">
        <v>448</v>
      </c>
      <c r="B261" s="636">
        <v>1</v>
      </c>
      <c r="C261" s="601"/>
      <c r="D261" s="601" t="s">
        <v>319</v>
      </c>
      <c r="E261" s="601" t="s">
        <v>319</v>
      </c>
      <c r="F261" s="601" t="s">
        <v>319</v>
      </c>
      <c r="G261" s="601" t="s">
        <v>449</v>
      </c>
      <c r="H261" s="601" t="s">
        <v>325</v>
      </c>
      <c r="I261" s="601" t="s">
        <v>497</v>
      </c>
      <c r="J261" s="575"/>
      <c r="K261" s="575"/>
      <c r="L261" s="575"/>
      <c r="M261" s="575"/>
      <c r="N261" s="575"/>
      <c r="O261" s="575"/>
    </row>
    <row r="262" spans="1:15" hidden="1" x14ac:dyDescent="0.25">
      <c r="A262" s="601" t="s">
        <v>448</v>
      </c>
      <c r="B262" s="636">
        <v>1</v>
      </c>
      <c r="C262" s="601"/>
      <c r="D262" s="601" t="s">
        <v>319</v>
      </c>
      <c r="E262" s="601" t="s">
        <v>319</v>
      </c>
      <c r="F262" s="601" t="s">
        <v>319</v>
      </c>
      <c r="G262" s="601" t="s">
        <v>449</v>
      </c>
      <c r="H262" s="601" t="s">
        <v>325</v>
      </c>
      <c r="I262" s="601" t="s">
        <v>498</v>
      </c>
      <c r="J262" s="575"/>
      <c r="K262" s="575"/>
      <c r="L262" s="575"/>
      <c r="M262" s="575"/>
      <c r="N262" s="575"/>
      <c r="O262" s="575"/>
    </row>
    <row r="263" spans="1:15" hidden="1" x14ac:dyDescent="0.25">
      <c r="A263" s="601" t="s">
        <v>448</v>
      </c>
      <c r="B263" s="636">
        <v>1</v>
      </c>
      <c r="C263" s="601"/>
      <c r="D263" s="601" t="s">
        <v>319</v>
      </c>
      <c r="E263" s="601" t="s">
        <v>319</v>
      </c>
      <c r="F263" s="601" t="s">
        <v>319</v>
      </c>
      <c r="G263" s="601" t="s">
        <v>449</v>
      </c>
      <c r="H263" s="601" t="s">
        <v>325</v>
      </c>
      <c r="I263" s="601" t="s">
        <v>499</v>
      </c>
      <c r="J263" s="575"/>
      <c r="K263" s="575"/>
      <c r="L263" s="575"/>
      <c r="M263" s="575"/>
      <c r="N263" s="575"/>
      <c r="O263" s="575"/>
    </row>
    <row r="264" spans="1:15" hidden="1" x14ac:dyDescent="0.25">
      <c r="A264" s="601" t="s">
        <v>448</v>
      </c>
      <c r="B264" s="636">
        <v>1</v>
      </c>
      <c r="C264" s="601"/>
      <c r="D264" s="601" t="s">
        <v>319</v>
      </c>
      <c r="E264" s="601" t="s">
        <v>319</v>
      </c>
      <c r="F264" s="601" t="s">
        <v>319</v>
      </c>
      <c r="G264" s="601" t="s">
        <v>449</v>
      </c>
      <c r="H264" s="601" t="s">
        <v>325</v>
      </c>
      <c r="I264" s="601" t="s">
        <v>500</v>
      </c>
      <c r="J264" s="575"/>
      <c r="K264" s="575"/>
      <c r="L264" s="575"/>
      <c r="M264" s="575"/>
      <c r="N264" s="575"/>
      <c r="O264" s="575"/>
    </row>
    <row r="265" spans="1:15" hidden="1" x14ac:dyDescent="0.25">
      <c r="A265" s="601" t="s">
        <v>448</v>
      </c>
      <c r="B265" s="636">
        <v>1</v>
      </c>
      <c r="C265" s="601"/>
      <c r="D265" s="601" t="s">
        <v>319</v>
      </c>
      <c r="E265" s="601" t="s">
        <v>319</v>
      </c>
      <c r="F265" s="601" t="s">
        <v>319</v>
      </c>
      <c r="G265" s="601" t="s">
        <v>449</v>
      </c>
      <c r="H265" s="601" t="s">
        <v>325</v>
      </c>
      <c r="I265" s="601" t="s">
        <v>501</v>
      </c>
      <c r="J265" s="575"/>
      <c r="K265" s="575"/>
      <c r="L265" s="575"/>
      <c r="M265" s="575"/>
      <c r="N265" s="575"/>
      <c r="O265" s="575"/>
    </row>
    <row r="266" spans="1:15" hidden="1" x14ac:dyDescent="0.25">
      <c r="A266" s="601" t="s">
        <v>448</v>
      </c>
      <c r="B266" s="636">
        <v>1</v>
      </c>
      <c r="C266" s="601"/>
      <c r="D266" s="601" t="s">
        <v>319</v>
      </c>
      <c r="E266" s="601" t="s">
        <v>319</v>
      </c>
      <c r="F266" s="601" t="s">
        <v>319</v>
      </c>
      <c r="G266" s="601" t="s">
        <v>449</v>
      </c>
      <c r="H266" s="601" t="s">
        <v>325</v>
      </c>
      <c r="I266" s="601" t="s">
        <v>502</v>
      </c>
      <c r="J266" s="575"/>
      <c r="K266" s="575"/>
      <c r="L266" s="575"/>
      <c r="M266" s="575"/>
      <c r="N266" s="575"/>
      <c r="O266" s="575"/>
    </row>
    <row r="267" spans="1:15" hidden="1" x14ac:dyDescent="0.25">
      <c r="A267" s="601" t="s">
        <v>448</v>
      </c>
      <c r="B267" s="636">
        <v>1</v>
      </c>
      <c r="C267" s="601"/>
      <c r="D267" s="601" t="s">
        <v>319</v>
      </c>
      <c r="E267" s="601" t="s">
        <v>319</v>
      </c>
      <c r="F267" s="601" t="s">
        <v>319</v>
      </c>
      <c r="G267" s="601" t="s">
        <v>449</v>
      </c>
      <c r="H267" s="601" t="s">
        <v>325</v>
      </c>
      <c r="I267" s="601" t="s">
        <v>503</v>
      </c>
      <c r="J267" s="575"/>
      <c r="K267" s="575"/>
      <c r="L267" s="575"/>
      <c r="M267" s="575"/>
      <c r="N267" s="575"/>
      <c r="O267" s="575"/>
    </row>
    <row r="268" spans="1:15" hidden="1" x14ac:dyDescent="0.25">
      <c r="A268" s="601" t="s">
        <v>448</v>
      </c>
      <c r="B268" s="636">
        <v>1</v>
      </c>
      <c r="C268" s="601"/>
      <c r="D268" s="601" t="s">
        <v>319</v>
      </c>
      <c r="E268" s="601" t="s">
        <v>319</v>
      </c>
      <c r="F268" s="601" t="s">
        <v>319</v>
      </c>
      <c r="G268" s="601" t="s">
        <v>449</v>
      </c>
      <c r="H268" s="601" t="s">
        <v>325</v>
      </c>
      <c r="I268" s="601" t="s">
        <v>504</v>
      </c>
      <c r="J268" s="575"/>
      <c r="K268" s="575"/>
      <c r="L268" s="575"/>
      <c r="M268" s="575"/>
      <c r="N268" s="575"/>
      <c r="O268" s="575"/>
    </row>
    <row r="269" spans="1:15" hidden="1" x14ac:dyDescent="0.25">
      <c r="A269" s="601" t="s">
        <v>505</v>
      </c>
      <c r="B269" s="602">
        <v>1</v>
      </c>
      <c r="C269" s="601"/>
      <c r="D269" s="601" t="s">
        <v>319</v>
      </c>
      <c r="E269" s="601" t="s">
        <v>319</v>
      </c>
      <c r="F269" s="601" t="s">
        <v>319</v>
      </c>
      <c r="G269" s="601" t="s">
        <v>505</v>
      </c>
      <c r="H269" s="601" t="s">
        <v>322</v>
      </c>
      <c r="I269" s="601" t="s">
        <v>506</v>
      </c>
      <c r="J269" s="575"/>
      <c r="K269" s="575"/>
      <c r="L269" s="575"/>
      <c r="M269" s="575"/>
      <c r="N269" s="575"/>
      <c r="O269" s="575"/>
    </row>
    <row r="270" spans="1:15" hidden="1" x14ac:dyDescent="0.25">
      <c r="A270" s="601" t="s">
        <v>505</v>
      </c>
      <c r="B270" s="602">
        <v>1</v>
      </c>
      <c r="C270" s="601"/>
      <c r="D270" s="601" t="s">
        <v>319</v>
      </c>
      <c r="E270" s="601" t="s">
        <v>319</v>
      </c>
      <c r="F270" s="601" t="s">
        <v>319</v>
      </c>
      <c r="G270" s="601" t="s">
        <v>505</v>
      </c>
      <c r="H270" s="601" t="s">
        <v>322</v>
      </c>
      <c r="I270" s="601" t="s">
        <v>507</v>
      </c>
      <c r="J270" s="575"/>
      <c r="K270" s="575"/>
      <c r="L270" s="575"/>
      <c r="M270" s="575"/>
      <c r="N270" s="575"/>
      <c r="O270" s="575"/>
    </row>
    <row r="271" spans="1:15" hidden="1" x14ac:dyDescent="0.25">
      <c r="A271" s="601" t="s">
        <v>505</v>
      </c>
      <c r="B271" s="602">
        <v>1</v>
      </c>
      <c r="C271" s="601"/>
      <c r="D271" s="601" t="s">
        <v>319</v>
      </c>
      <c r="E271" s="601" t="s">
        <v>319</v>
      </c>
      <c r="F271" s="601" t="s">
        <v>319</v>
      </c>
      <c r="G271" s="601" t="s">
        <v>505</v>
      </c>
      <c r="H271" s="601" t="s">
        <v>322</v>
      </c>
      <c r="I271" s="601" t="s">
        <v>508</v>
      </c>
      <c r="J271" s="575"/>
      <c r="K271" s="575"/>
      <c r="L271" s="575"/>
      <c r="M271" s="575"/>
      <c r="N271" s="575"/>
      <c r="O271" s="575"/>
    </row>
    <row r="272" spans="1:15" hidden="1" x14ac:dyDescent="0.25">
      <c r="A272" s="601" t="s">
        <v>505</v>
      </c>
      <c r="B272" s="602">
        <v>1.2</v>
      </c>
      <c r="C272" s="601"/>
      <c r="D272" s="601" t="s">
        <v>319</v>
      </c>
      <c r="E272" s="601" t="s">
        <v>319</v>
      </c>
      <c r="F272" s="601" t="s">
        <v>319</v>
      </c>
      <c r="G272" s="601" t="s">
        <v>505</v>
      </c>
      <c r="H272" s="601" t="s">
        <v>322</v>
      </c>
      <c r="I272" s="601" t="s">
        <v>509</v>
      </c>
      <c r="J272" s="575"/>
      <c r="K272" s="575"/>
      <c r="L272" s="575"/>
      <c r="M272" s="575"/>
      <c r="N272" s="575"/>
      <c r="O272" s="575"/>
    </row>
    <row r="273" spans="1:15" hidden="1" x14ac:dyDescent="0.25">
      <c r="A273" s="634" t="s">
        <v>510</v>
      </c>
      <c r="B273" s="635">
        <v>1</v>
      </c>
      <c r="C273" s="634"/>
      <c r="D273" s="634" t="s">
        <v>319</v>
      </c>
      <c r="E273" s="634" t="s">
        <v>319</v>
      </c>
      <c r="F273" s="634" t="s">
        <v>319</v>
      </c>
      <c r="G273" s="634" t="s">
        <v>511</v>
      </c>
      <c r="H273" s="634" t="s">
        <v>322</v>
      </c>
      <c r="I273" s="634" t="s">
        <v>512</v>
      </c>
      <c r="J273" s="576"/>
      <c r="K273" s="576"/>
      <c r="L273" s="576"/>
      <c r="M273" s="576"/>
      <c r="N273" s="576"/>
      <c r="O273" s="576"/>
    </row>
    <row r="274" spans="1:15" hidden="1" x14ac:dyDescent="0.25">
      <c r="A274" s="634" t="s">
        <v>510</v>
      </c>
      <c r="B274" s="635">
        <v>1</v>
      </c>
      <c r="C274" s="634"/>
      <c r="D274" s="634" t="s">
        <v>319</v>
      </c>
      <c r="E274" s="634" t="s">
        <v>319</v>
      </c>
      <c r="F274" s="634" t="s">
        <v>319</v>
      </c>
      <c r="G274" s="634" t="s">
        <v>511</v>
      </c>
      <c r="H274" s="634" t="s">
        <v>322</v>
      </c>
      <c r="I274" s="634" t="s">
        <v>513</v>
      </c>
      <c r="J274" s="576"/>
      <c r="K274" s="576"/>
      <c r="L274" s="576"/>
      <c r="M274" s="576"/>
      <c r="N274" s="576"/>
      <c r="O274" s="576"/>
    </row>
    <row r="275" spans="1:15" hidden="1" x14ac:dyDescent="0.25">
      <c r="A275" s="634" t="s">
        <v>510</v>
      </c>
      <c r="B275" s="635">
        <v>1</v>
      </c>
      <c r="C275" s="634"/>
      <c r="D275" s="634" t="s">
        <v>319</v>
      </c>
      <c r="E275" s="634" t="s">
        <v>319</v>
      </c>
      <c r="F275" s="634" t="s">
        <v>319</v>
      </c>
      <c r="G275" s="634" t="s">
        <v>511</v>
      </c>
      <c r="H275" s="634" t="s">
        <v>322</v>
      </c>
      <c r="I275" s="634" t="s">
        <v>514</v>
      </c>
      <c r="J275" s="576"/>
      <c r="K275" s="576"/>
      <c r="L275" s="576"/>
      <c r="M275" s="576"/>
      <c r="N275" s="576"/>
      <c r="O275" s="576"/>
    </row>
    <row r="276" spans="1:15" hidden="1" x14ac:dyDescent="0.25">
      <c r="A276" s="634" t="s">
        <v>510</v>
      </c>
      <c r="B276" s="635">
        <v>1.1000000000000001</v>
      </c>
      <c r="C276" s="634"/>
      <c r="D276" s="634" t="s">
        <v>319</v>
      </c>
      <c r="E276" s="634" t="s">
        <v>319</v>
      </c>
      <c r="F276" s="634" t="s">
        <v>319</v>
      </c>
      <c r="G276" s="634" t="s">
        <v>511</v>
      </c>
      <c r="H276" s="634" t="s">
        <v>322</v>
      </c>
      <c r="I276" s="634" t="s">
        <v>515</v>
      </c>
      <c r="J276" s="576"/>
      <c r="K276" s="576"/>
      <c r="L276" s="576"/>
      <c r="M276" s="576"/>
      <c r="N276" s="576"/>
      <c r="O276" s="576"/>
    </row>
    <row r="277" spans="1:15" hidden="1" x14ac:dyDescent="0.25">
      <c r="A277" s="634" t="s">
        <v>510</v>
      </c>
      <c r="B277" s="635">
        <v>1.2</v>
      </c>
      <c r="C277" s="634"/>
      <c r="D277" s="634" t="s">
        <v>319</v>
      </c>
      <c r="E277" s="634" t="s">
        <v>319</v>
      </c>
      <c r="F277" s="634" t="s">
        <v>319</v>
      </c>
      <c r="G277" s="634" t="s">
        <v>511</v>
      </c>
      <c r="H277" s="634" t="s">
        <v>322</v>
      </c>
      <c r="I277" s="634" t="s">
        <v>516</v>
      </c>
      <c r="J277" s="576"/>
      <c r="K277" s="576"/>
      <c r="L277" s="576"/>
      <c r="M277" s="576"/>
      <c r="N277" s="576"/>
      <c r="O277" s="576"/>
    </row>
    <row r="278" spans="1:15" hidden="1" x14ac:dyDescent="0.25">
      <c r="A278" s="634" t="s">
        <v>510</v>
      </c>
      <c r="B278" s="635">
        <v>1</v>
      </c>
      <c r="C278" s="634"/>
      <c r="D278" s="634" t="s">
        <v>319</v>
      </c>
      <c r="E278" s="634" t="s">
        <v>319</v>
      </c>
      <c r="F278" s="634" t="s">
        <v>319</v>
      </c>
      <c r="G278" s="634" t="s">
        <v>511</v>
      </c>
      <c r="H278" s="634" t="s">
        <v>322</v>
      </c>
      <c r="I278" s="634" t="s">
        <v>517</v>
      </c>
      <c r="J278" s="576"/>
      <c r="K278" s="576"/>
      <c r="L278" s="576"/>
      <c r="M278" s="576"/>
      <c r="N278" s="576"/>
      <c r="O278" s="576"/>
    </row>
    <row r="279" spans="1:15" x14ac:dyDescent="0.25">
      <c r="A279" s="631" t="s">
        <v>191</v>
      </c>
      <c r="B279" s="632">
        <v>1</v>
      </c>
      <c r="C279" s="633"/>
      <c r="D279" s="631" t="s">
        <v>319</v>
      </c>
      <c r="E279" s="631" t="s">
        <v>319</v>
      </c>
      <c r="F279" s="631" t="s">
        <v>319</v>
      </c>
      <c r="G279" s="631" t="s">
        <v>321</v>
      </c>
      <c r="H279" s="631" t="s">
        <v>322</v>
      </c>
      <c r="I279" s="631" t="s">
        <v>518</v>
      </c>
      <c r="J279" s="577"/>
      <c r="K279" s="577"/>
      <c r="L279" s="577"/>
      <c r="M279" s="577"/>
      <c r="N279" s="577"/>
      <c r="O279" s="577"/>
    </row>
    <row r="280" spans="1:15" x14ac:dyDescent="0.25">
      <c r="A280" s="631" t="s">
        <v>191</v>
      </c>
      <c r="B280" s="632">
        <v>1</v>
      </c>
      <c r="C280" s="633"/>
      <c r="D280" s="631" t="s">
        <v>319</v>
      </c>
      <c r="E280" s="631" t="s">
        <v>319</v>
      </c>
      <c r="F280" s="631" t="s">
        <v>319</v>
      </c>
      <c r="G280" s="631" t="s">
        <v>321</v>
      </c>
      <c r="H280" s="631" t="s">
        <v>322</v>
      </c>
      <c r="I280" s="631" t="s">
        <v>519</v>
      </c>
      <c r="J280" s="577"/>
      <c r="K280" s="577"/>
      <c r="L280" s="577"/>
      <c r="M280" s="577"/>
      <c r="N280" s="577"/>
      <c r="O280" s="577"/>
    </row>
    <row r="281" spans="1:15" x14ac:dyDescent="0.25">
      <c r="A281" s="631" t="s">
        <v>191</v>
      </c>
      <c r="B281" s="632">
        <v>1</v>
      </c>
      <c r="C281" s="633"/>
      <c r="D281" s="631" t="s">
        <v>319</v>
      </c>
      <c r="E281" s="631" t="s">
        <v>319</v>
      </c>
      <c r="F281" s="631" t="s">
        <v>319</v>
      </c>
      <c r="G281" s="631" t="s">
        <v>321</v>
      </c>
      <c r="H281" s="631" t="s">
        <v>322</v>
      </c>
      <c r="I281" s="631" t="s">
        <v>520</v>
      </c>
      <c r="J281" s="577"/>
      <c r="K281" s="577"/>
      <c r="L281" s="577"/>
      <c r="M281" s="577"/>
      <c r="N281" s="577"/>
      <c r="O281" s="577"/>
    </row>
    <row r="282" spans="1:15" s="399" customFormat="1" x14ac:dyDescent="0.25">
      <c r="A282" s="631" t="s">
        <v>191</v>
      </c>
      <c r="B282" s="632">
        <v>1</v>
      </c>
      <c r="C282" s="633"/>
      <c r="D282" s="631" t="s">
        <v>319</v>
      </c>
      <c r="E282" s="631" t="s">
        <v>319</v>
      </c>
      <c r="F282" s="631" t="s">
        <v>319</v>
      </c>
      <c r="G282" s="631" t="s">
        <v>321</v>
      </c>
      <c r="H282" s="631" t="s">
        <v>322</v>
      </c>
      <c r="I282" s="631" t="s">
        <v>521</v>
      </c>
      <c r="J282" s="577"/>
      <c r="K282" s="577"/>
      <c r="L282" s="577"/>
      <c r="M282" s="577"/>
      <c r="N282" s="577"/>
      <c r="O282" s="577"/>
    </row>
    <row r="283" spans="1:15" x14ac:dyDescent="0.25">
      <c r="A283" s="631" t="s">
        <v>191</v>
      </c>
      <c r="B283" s="632">
        <v>1.1499999999999999</v>
      </c>
      <c r="C283" s="633"/>
      <c r="D283" s="631" t="s">
        <v>319</v>
      </c>
      <c r="E283" s="631" t="s">
        <v>319</v>
      </c>
      <c r="F283" s="631" t="s">
        <v>319</v>
      </c>
      <c r="G283" s="631" t="s">
        <v>321</v>
      </c>
      <c r="H283" s="631" t="s">
        <v>322</v>
      </c>
      <c r="I283" s="631" t="s">
        <v>522</v>
      </c>
      <c r="J283" s="577"/>
      <c r="K283" s="577"/>
      <c r="L283" s="577"/>
      <c r="M283" s="577"/>
      <c r="N283" s="577"/>
      <c r="O283" s="577"/>
    </row>
  </sheetData>
  <autoFilter ref="A1:R283" xr:uid="{18101FF4-8EE4-4AB4-B369-CE711BFF35FF}">
    <filterColumn colId="0">
      <filters>
        <filter val="Vehicle Type"/>
      </filters>
    </filterColumn>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6B60D-C852-453A-A3CD-83BAD9C805BC}">
  <sheetPr filterMode="1">
    <tabColor rgb="FFFFFF00"/>
  </sheetPr>
  <dimension ref="A1:O281"/>
  <sheetViews>
    <sheetView workbookViewId="0">
      <pane ySplit="1" topLeftCell="A277" activePane="bottomLeft" state="frozen"/>
      <selection activeCell="P38" sqref="P38"/>
      <selection pane="bottomLeft" sqref="A1:O281"/>
    </sheetView>
  </sheetViews>
  <sheetFormatPr defaultColWidth="9.1796875" defaultRowHeight="10.5" x14ac:dyDescent="0.25"/>
  <cols>
    <col min="1" max="1" width="15.54296875" style="570" bestFit="1" customWidth="1"/>
    <col min="2" max="2" width="10.7265625" style="573" bestFit="1" customWidth="1"/>
    <col min="3" max="3" width="4.7265625" style="570" customWidth="1"/>
    <col min="4" max="4" width="5.7265625" style="570" customWidth="1"/>
    <col min="5" max="6" width="6.453125" style="570" customWidth="1"/>
    <col min="7" max="7" width="19.54296875" style="570" bestFit="1" customWidth="1"/>
    <col min="8" max="8" width="20.7265625" style="570" bestFit="1" customWidth="1"/>
    <col min="9" max="9" width="59" style="570" bestFit="1" customWidth="1"/>
    <col min="10" max="10" width="19.54296875" style="570" bestFit="1" customWidth="1"/>
    <col min="11" max="11" width="20.7265625" style="570" bestFit="1" customWidth="1"/>
    <col min="12" max="12" width="14.54296875" style="570" bestFit="1" customWidth="1"/>
    <col min="13" max="13" width="19.54296875" style="570" bestFit="1" customWidth="1"/>
    <col min="14" max="14" width="20.7265625" style="570" bestFit="1" customWidth="1"/>
    <col min="15" max="15" width="12.54296875" style="570" bestFit="1" customWidth="1"/>
    <col min="16" max="16384" width="9.1796875" style="570"/>
  </cols>
  <sheetData>
    <row r="1" spans="1:15" s="569" customFormat="1" ht="51" customHeight="1" x14ac:dyDescent="0.25">
      <c r="A1" s="566" t="s">
        <v>305</v>
      </c>
      <c r="B1" s="567" t="s">
        <v>230</v>
      </c>
      <c r="C1" s="568" t="s">
        <v>184</v>
      </c>
      <c r="D1" s="568" t="s">
        <v>306</v>
      </c>
      <c r="E1" s="568" t="s">
        <v>307</v>
      </c>
      <c r="F1" s="568" t="s">
        <v>308</v>
      </c>
      <c r="G1" s="568" t="s">
        <v>309</v>
      </c>
      <c r="H1" s="568" t="s">
        <v>310</v>
      </c>
      <c r="I1" s="568" t="s">
        <v>311</v>
      </c>
      <c r="J1" s="568" t="s">
        <v>312</v>
      </c>
      <c r="K1" s="568" t="s">
        <v>313</v>
      </c>
      <c r="L1" s="568" t="s">
        <v>314</v>
      </c>
      <c r="M1" s="568" t="s">
        <v>315</v>
      </c>
      <c r="N1" s="568" t="s">
        <v>316</v>
      </c>
      <c r="O1" s="568" t="s">
        <v>317</v>
      </c>
    </row>
    <row r="2" spans="1:15" hidden="1" x14ac:dyDescent="0.25">
      <c r="A2" s="638" t="s">
        <v>318</v>
      </c>
      <c r="B2" s="637">
        <v>1.75</v>
      </c>
      <c r="C2" s="638"/>
      <c r="D2" s="638" t="s">
        <v>319</v>
      </c>
      <c r="E2" s="638" t="s">
        <v>320</v>
      </c>
      <c r="F2" s="638" t="s">
        <v>319</v>
      </c>
      <c r="G2" s="638" t="s">
        <v>321</v>
      </c>
      <c r="H2" s="638" t="s">
        <v>322</v>
      </c>
      <c r="I2" s="638" t="s">
        <v>237</v>
      </c>
      <c r="J2" s="638" t="s">
        <v>323</v>
      </c>
      <c r="K2" s="638" t="s">
        <v>322</v>
      </c>
      <c r="L2" s="638" t="s">
        <v>236</v>
      </c>
      <c r="M2" s="639" t="s">
        <v>324</v>
      </c>
      <c r="N2" s="639" t="s">
        <v>325</v>
      </c>
      <c r="O2" s="639" t="s">
        <v>326</v>
      </c>
    </row>
    <row r="3" spans="1:15" hidden="1" x14ac:dyDescent="0.25">
      <c r="A3" s="638" t="s">
        <v>318</v>
      </c>
      <c r="B3" s="637">
        <v>1.65</v>
      </c>
      <c r="C3" s="638"/>
      <c r="D3" s="638" t="s">
        <v>319</v>
      </c>
      <c r="E3" s="638" t="s">
        <v>320</v>
      </c>
      <c r="F3" s="638" t="s">
        <v>319</v>
      </c>
      <c r="G3" s="638" t="s">
        <v>321</v>
      </c>
      <c r="H3" s="638" t="s">
        <v>322</v>
      </c>
      <c r="I3" s="638" t="s">
        <v>237</v>
      </c>
      <c r="J3" s="638" t="s">
        <v>323</v>
      </c>
      <c r="K3" s="638" t="s">
        <v>322</v>
      </c>
      <c r="L3" s="638" t="s">
        <v>238</v>
      </c>
      <c r="M3" s="639" t="s">
        <v>324</v>
      </c>
      <c r="N3" s="639" t="s">
        <v>325</v>
      </c>
      <c r="O3" s="639" t="s">
        <v>326</v>
      </c>
    </row>
    <row r="4" spans="1:15" hidden="1" x14ac:dyDescent="0.25">
      <c r="A4" s="638" t="s">
        <v>318</v>
      </c>
      <c r="B4" s="637">
        <v>1.55</v>
      </c>
      <c r="C4" s="638"/>
      <c r="D4" s="638" t="s">
        <v>319</v>
      </c>
      <c r="E4" s="638" t="s">
        <v>320</v>
      </c>
      <c r="F4" s="638" t="s">
        <v>319</v>
      </c>
      <c r="G4" s="638" t="s">
        <v>321</v>
      </c>
      <c r="H4" s="638" t="s">
        <v>322</v>
      </c>
      <c r="I4" s="638" t="s">
        <v>237</v>
      </c>
      <c r="J4" s="638" t="s">
        <v>323</v>
      </c>
      <c r="K4" s="638" t="s">
        <v>322</v>
      </c>
      <c r="L4" s="638" t="s">
        <v>239</v>
      </c>
      <c r="M4" s="639" t="s">
        <v>324</v>
      </c>
      <c r="N4" s="639" t="s">
        <v>325</v>
      </c>
      <c r="O4" s="639" t="s">
        <v>326</v>
      </c>
    </row>
    <row r="5" spans="1:15" hidden="1" x14ac:dyDescent="0.25">
      <c r="A5" s="638" t="s">
        <v>318</v>
      </c>
      <c r="B5" s="637">
        <v>1.4</v>
      </c>
      <c r="C5" s="638"/>
      <c r="D5" s="638" t="s">
        <v>319</v>
      </c>
      <c r="E5" s="638" t="s">
        <v>320</v>
      </c>
      <c r="F5" s="638" t="s">
        <v>319</v>
      </c>
      <c r="G5" s="638" t="s">
        <v>321</v>
      </c>
      <c r="H5" s="638" t="s">
        <v>322</v>
      </c>
      <c r="I5" s="638" t="s">
        <v>237</v>
      </c>
      <c r="J5" s="638" t="s">
        <v>323</v>
      </c>
      <c r="K5" s="638" t="s">
        <v>322</v>
      </c>
      <c r="L5" s="638" t="s">
        <v>240</v>
      </c>
      <c r="M5" s="639" t="s">
        <v>324</v>
      </c>
      <c r="N5" s="639" t="s">
        <v>325</v>
      </c>
      <c r="O5" s="639" t="s">
        <v>326</v>
      </c>
    </row>
    <row r="6" spans="1:15" hidden="1" x14ac:dyDescent="0.25">
      <c r="A6" s="638" t="s">
        <v>318</v>
      </c>
      <c r="B6" s="637">
        <v>1.35</v>
      </c>
      <c r="C6" s="638"/>
      <c r="D6" s="638" t="s">
        <v>319</v>
      </c>
      <c r="E6" s="638" t="s">
        <v>320</v>
      </c>
      <c r="F6" s="638" t="s">
        <v>319</v>
      </c>
      <c r="G6" s="638" t="s">
        <v>321</v>
      </c>
      <c r="H6" s="638" t="s">
        <v>322</v>
      </c>
      <c r="I6" s="638" t="s">
        <v>237</v>
      </c>
      <c r="J6" s="638" t="s">
        <v>323</v>
      </c>
      <c r="K6" s="638" t="s">
        <v>322</v>
      </c>
      <c r="L6" s="638" t="s">
        <v>241</v>
      </c>
      <c r="M6" s="639" t="s">
        <v>324</v>
      </c>
      <c r="N6" s="639" t="s">
        <v>325</v>
      </c>
      <c r="O6" s="639" t="s">
        <v>326</v>
      </c>
    </row>
    <row r="7" spans="1:15" hidden="1" x14ac:dyDescent="0.25">
      <c r="A7" s="638" t="s">
        <v>318</v>
      </c>
      <c r="B7" s="637">
        <v>1.25</v>
      </c>
      <c r="C7" s="638"/>
      <c r="D7" s="638" t="s">
        <v>319</v>
      </c>
      <c r="E7" s="638" t="s">
        <v>320</v>
      </c>
      <c r="F7" s="638" t="s">
        <v>319</v>
      </c>
      <c r="G7" s="638" t="s">
        <v>321</v>
      </c>
      <c r="H7" s="638" t="s">
        <v>322</v>
      </c>
      <c r="I7" s="638" t="s">
        <v>237</v>
      </c>
      <c r="J7" s="638" t="s">
        <v>323</v>
      </c>
      <c r="K7" s="638" t="s">
        <v>322</v>
      </c>
      <c r="L7" s="638" t="s">
        <v>242</v>
      </c>
      <c r="M7" s="639" t="s">
        <v>324</v>
      </c>
      <c r="N7" s="639" t="s">
        <v>325</v>
      </c>
      <c r="O7" s="639" t="s">
        <v>326</v>
      </c>
    </row>
    <row r="8" spans="1:15" hidden="1" x14ac:dyDescent="0.25">
      <c r="A8" s="638" t="s">
        <v>318</v>
      </c>
      <c r="B8" s="637">
        <v>1.1499999999999999</v>
      </c>
      <c r="C8" s="638"/>
      <c r="D8" s="638" t="s">
        <v>319</v>
      </c>
      <c r="E8" s="638" t="s">
        <v>320</v>
      </c>
      <c r="F8" s="638" t="s">
        <v>319</v>
      </c>
      <c r="G8" s="638" t="s">
        <v>321</v>
      </c>
      <c r="H8" s="638" t="s">
        <v>322</v>
      </c>
      <c r="I8" s="638" t="s">
        <v>237</v>
      </c>
      <c r="J8" s="638" t="s">
        <v>323</v>
      </c>
      <c r="K8" s="638" t="s">
        <v>322</v>
      </c>
      <c r="L8" s="638" t="s">
        <v>243</v>
      </c>
      <c r="M8" s="639" t="s">
        <v>324</v>
      </c>
      <c r="N8" s="639" t="s">
        <v>325</v>
      </c>
      <c r="O8" s="639" t="s">
        <v>326</v>
      </c>
    </row>
    <row r="9" spans="1:15" hidden="1" x14ac:dyDescent="0.25">
      <c r="A9" s="638" t="s">
        <v>318</v>
      </c>
      <c r="B9" s="637">
        <v>1.08</v>
      </c>
      <c r="C9" s="638"/>
      <c r="D9" s="638" t="s">
        <v>319</v>
      </c>
      <c r="E9" s="638" t="s">
        <v>320</v>
      </c>
      <c r="F9" s="638" t="s">
        <v>319</v>
      </c>
      <c r="G9" s="638" t="s">
        <v>321</v>
      </c>
      <c r="H9" s="638" t="s">
        <v>322</v>
      </c>
      <c r="I9" s="638" t="s">
        <v>237</v>
      </c>
      <c r="J9" s="638" t="s">
        <v>323</v>
      </c>
      <c r="K9" s="638" t="s">
        <v>322</v>
      </c>
      <c r="L9" s="638" t="s">
        <v>244</v>
      </c>
      <c r="M9" s="639" t="s">
        <v>324</v>
      </c>
      <c r="N9" s="639" t="s">
        <v>325</v>
      </c>
      <c r="O9" s="639" t="s">
        <v>326</v>
      </c>
    </row>
    <row r="10" spans="1:15" hidden="1" x14ac:dyDescent="0.25">
      <c r="A10" s="638" t="s">
        <v>318</v>
      </c>
      <c r="B10" s="637">
        <v>1</v>
      </c>
      <c r="C10" s="638"/>
      <c r="D10" s="638" t="s">
        <v>319</v>
      </c>
      <c r="E10" s="638" t="s">
        <v>319</v>
      </c>
      <c r="F10" s="638" t="s">
        <v>319</v>
      </c>
      <c r="G10" s="638" t="s">
        <v>321</v>
      </c>
      <c r="H10" s="638" t="s">
        <v>322</v>
      </c>
      <c r="I10" s="638" t="s">
        <v>237</v>
      </c>
      <c r="J10" s="638" t="s">
        <v>323</v>
      </c>
      <c r="K10" s="638" t="s">
        <v>322</v>
      </c>
      <c r="L10" s="638" t="s">
        <v>245</v>
      </c>
      <c r="M10" s="639" t="s">
        <v>324</v>
      </c>
      <c r="N10" s="639" t="s">
        <v>325</v>
      </c>
      <c r="O10" s="639" t="s">
        <v>326</v>
      </c>
    </row>
    <row r="11" spans="1:15" hidden="1" x14ac:dyDescent="0.25">
      <c r="A11" s="638" t="s">
        <v>318</v>
      </c>
      <c r="B11" s="637">
        <v>1</v>
      </c>
      <c r="C11" s="638"/>
      <c r="D11" s="638" t="s">
        <v>319</v>
      </c>
      <c r="E11" s="638" t="s">
        <v>319</v>
      </c>
      <c r="F11" s="638" t="s">
        <v>319</v>
      </c>
      <c r="G11" s="638" t="s">
        <v>321</v>
      </c>
      <c r="H11" s="638" t="s">
        <v>322</v>
      </c>
      <c r="I11" s="638" t="s">
        <v>237</v>
      </c>
      <c r="J11" s="638" t="s">
        <v>323</v>
      </c>
      <c r="K11" s="638" t="s">
        <v>322</v>
      </c>
      <c r="L11" s="638" t="s">
        <v>246</v>
      </c>
      <c r="M11" s="639" t="s">
        <v>324</v>
      </c>
      <c r="N11" s="639" t="s">
        <v>325</v>
      </c>
      <c r="O11" s="639" t="s">
        <v>326</v>
      </c>
    </row>
    <row r="12" spans="1:15" hidden="1" x14ac:dyDescent="0.25">
      <c r="A12" s="638" t="s">
        <v>318</v>
      </c>
      <c r="B12" s="637">
        <v>0.98</v>
      </c>
      <c r="C12" s="638"/>
      <c r="D12" s="638" t="s">
        <v>319</v>
      </c>
      <c r="E12" s="638" t="s">
        <v>319</v>
      </c>
      <c r="F12" s="638" t="s">
        <v>319</v>
      </c>
      <c r="G12" s="638" t="s">
        <v>321</v>
      </c>
      <c r="H12" s="638" t="s">
        <v>322</v>
      </c>
      <c r="I12" s="638" t="s">
        <v>237</v>
      </c>
      <c r="J12" s="638" t="s">
        <v>323</v>
      </c>
      <c r="K12" s="638" t="s">
        <v>322</v>
      </c>
      <c r="L12" s="638" t="s">
        <v>247</v>
      </c>
      <c r="M12" s="639" t="s">
        <v>324</v>
      </c>
      <c r="N12" s="639" t="s">
        <v>325</v>
      </c>
      <c r="O12" s="639" t="s">
        <v>326</v>
      </c>
    </row>
    <row r="13" spans="1:15" hidden="1" x14ac:dyDescent="0.25">
      <c r="A13" s="638" t="s">
        <v>318</v>
      </c>
      <c r="B13" s="637">
        <v>0.95</v>
      </c>
      <c r="C13" s="638"/>
      <c r="D13" s="638" t="s">
        <v>319</v>
      </c>
      <c r="E13" s="638" t="s">
        <v>319</v>
      </c>
      <c r="F13" s="638" t="s">
        <v>319</v>
      </c>
      <c r="G13" s="638" t="s">
        <v>321</v>
      </c>
      <c r="H13" s="638" t="s">
        <v>322</v>
      </c>
      <c r="I13" s="638" t="s">
        <v>237</v>
      </c>
      <c r="J13" s="638" t="s">
        <v>323</v>
      </c>
      <c r="K13" s="638" t="s">
        <v>322</v>
      </c>
      <c r="L13" s="638" t="s">
        <v>248</v>
      </c>
      <c r="M13" s="639" t="s">
        <v>324</v>
      </c>
      <c r="N13" s="639" t="s">
        <v>325</v>
      </c>
      <c r="O13" s="639" t="s">
        <v>326</v>
      </c>
    </row>
    <row r="14" spans="1:15" hidden="1" x14ac:dyDescent="0.25">
      <c r="A14" s="638" t="s">
        <v>318</v>
      </c>
      <c r="B14" s="637">
        <v>0.92</v>
      </c>
      <c r="C14" s="638"/>
      <c r="D14" s="638" t="s">
        <v>319</v>
      </c>
      <c r="E14" s="638" t="s">
        <v>319</v>
      </c>
      <c r="F14" s="638" t="s">
        <v>319</v>
      </c>
      <c r="G14" s="638" t="s">
        <v>321</v>
      </c>
      <c r="H14" s="638" t="s">
        <v>322</v>
      </c>
      <c r="I14" s="638" t="s">
        <v>237</v>
      </c>
      <c r="J14" s="638" t="s">
        <v>323</v>
      </c>
      <c r="K14" s="638" t="s">
        <v>322</v>
      </c>
      <c r="L14" s="638" t="s">
        <v>249</v>
      </c>
      <c r="M14" s="639" t="s">
        <v>324</v>
      </c>
      <c r="N14" s="639" t="s">
        <v>325</v>
      </c>
      <c r="O14" s="639" t="s">
        <v>326</v>
      </c>
    </row>
    <row r="15" spans="1:15" hidden="1" x14ac:dyDescent="0.25">
      <c r="A15" s="638" t="s">
        <v>318</v>
      </c>
      <c r="B15" s="637">
        <v>0.85</v>
      </c>
      <c r="C15" s="638"/>
      <c r="D15" s="638" t="s">
        <v>319</v>
      </c>
      <c r="E15" s="638" t="s">
        <v>319</v>
      </c>
      <c r="F15" s="638" t="s">
        <v>319</v>
      </c>
      <c r="G15" s="638" t="s">
        <v>321</v>
      </c>
      <c r="H15" s="638" t="s">
        <v>322</v>
      </c>
      <c r="I15" s="638" t="s">
        <v>237</v>
      </c>
      <c r="J15" s="638" t="s">
        <v>323</v>
      </c>
      <c r="K15" s="638" t="s">
        <v>322</v>
      </c>
      <c r="L15" s="638" t="s">
        <v>250</v>
      </c>
      <c r="M15" s="639" t="s">
        <v>324</v>
      </c>
      <c r="N15" s="639" t="s">
        <v>325</v>
      </c>
      <c r="O15" s="639" t="s">
        <v>326</v>
      </c>
    </row>
    <row r="16" spans="1:15" hidden="1" x14ac:dyDescent="0.25">
      <c r="A16" s="638" t="s">
        <v>318</v>
      </c>
      <c r="B16" s="637">
        <v>0.8</v>
      </c>
      <c r="C16" s="638"/>
      <c r="D16" s="638" t="s">
        <v>319</v>
      </c>
      <c r="E16" s="638" t="s">
        <v>319</v>
      </c>
      <c r="F16" s="638" t="s">
        <v>319</v>
      </c>
      <c r="G16" s="638" t="s">
        <v>321</v>
      </c>
      <c r="H16" s="638" t="s">
        <v>322</v>
      </c>
      <c r="I16" s="638" t="s">
        <v>237</v>
      </c>
      <c r="J16" s="638" t="s">
        <v>323</v>
      </c>
      <c r="K16" s="638" t="s">
        <v>322</v>
      </c>
      <c r="L16" s="638" t="s">
        <v>251</v>
      </c>
      <c r="M16" s="639" t="s">
        <v>324</v>
      </c>
      <c r="N16" s="639" t="s">
        <v>325</v>
      </c>
      <c r="O16" s="639" t="s">
        <v>326</v>
      </c>
    </row>
    <row r="17" spans="1:15" hidden="1" x14ac:dyDescent="0.25">
      <c r="A17" s="638" t="s">
        <v>318</v>
      </c>
      <c r="B17" s="637">
        <v>0.75</v>
      </c>
      <c r="C17" s="638"/>
      <c r="D17" s="638" t="s">
        <v>319</v>
      </c>
      <c r="E17" s="638" t="s">
        <v>319</v>
      </c>
      <c r="F17" s="638" t="s">
        <v>319</v>
      </c>
      <c r="G17" s="638" t="s">
        <v>321</v>
      </c>
      <c r="H17" s="638" t="s">
        <v>322</v>
      </c>
      <c r="I17" s="638" t="s">
        <v>237</v>
      </c>
      <c r="J17" s="638" t="s">
        <v>323</v>
      </c>
      <c r="K17" s="638" t="s">
        <v>322</v>
      </c>
      <c r="L17" s="638" t="s">
        <v>252</v>
      </c>
      <c r="M17" s="639" t="s">
        <v>324</v>
      </c>
      <c r="N17" s="639" t="s">
        <v>325</v>
      </c>
      <c r="O17" s="639" t="s">
        <v>326</v>
      </c>
    </row>
    <row r="18" spans="1:15" hidden="1" x14ac:dyDescent="0.25">
      <c r="A18" s="638" t="s">
        <v>318</v>
      </c>
      <c r="B18" s="637">
        <v>0.7</v>
      </c>
      <c r="C18" s="638"/>
      <c r="D18" s="638" t="s">
        <v>320</v>
      </c>
      <c r="E18" s="638" t="s">
        <v>319</v>
      </c>
      <c r="F18" s="638" t="s">
        <v>319</v>
      </c>
      <c r="G18" s="638" t="s">
        <v>321</v>
      </c>
      <c r="H18" s="638" t="s">
        <v>322</v>
      </c>
      <c r="I18" s="638" t="s">
        <v>237</v>
      </c>
      <c r="J18" s="638" t="s">
        <v>323</v>
      </c>
      <c r="K18" s="638" t="s">
        <v>322</v>
      </c>
      <c r="L18" s="638" t="s">
        <v>253</v>
      </c>
      <c r="M18" s="639" t="s">
        <v>324</v>
      </c>
      <c r="N18" s="639" t="s">
        <v>325</v>
      </c>
      <c r="O18" s="639" t="s">
        <v>326</v>
      </c>
    </row>
    <row r="19" spans="1:15" hidden="1" x14ac:dyDescent="0.25">
      <c r="A19" s="638" t="s">
        <v>318</v>
      </c>
      <c r="B19" s="637">
        <v>1.1000000000000001</v>
      </c>
      <c r="C19" s="638"/>
      <c r="D19" s="638" t="s">
        <v>319</v>
      </c>
      <c r="E19" s="638" t="s">
        <v>320</v>
      </c>
      <c r="F19" s="638" t="s">
        <v>319</v>
      </c>
      <c r="G19" s="638" t="s">
        <v>321</v>
      </c>
      <c r="H19" s="638" t="s">
        <v>322</v>
      </c>
      <c r="I19" s="638" t="s">
        <v>237</v>
      </c>
      <c r="J19" s="638" t="s">
        <v>323</v>
      </c>
      <c r="K19" s="638" t="s">
        <v>322</v>
      </c>
      <c r="L19" s="638" t="s">
        <v>254</v>
      </c>
      <c r="M19" s="639" t="s">
        <v>324</v>
      </c>
      <c r="N19" s="639" t="s">
        <v>325</v>
      </c>
      <c r="O19" s="639" t="s">
        <v>326</v>
      </c>
    </row>
    <row r="20" spans="1:15" hidden="1" x14ac:dyDescent="0.25">
      <c r="A20" s="638" t="s">
        <v>318</v>
      </c>
      <c r="B20" s="637">
        <v>1.3</v>
      </c>
      <c r="C20" s="638"/>
      <c r="D20" s="638" t="s">
        <v>319</v>
      </c>
      <c r="E20" s="638" t="s">
        <v>320</v>
      </c>
      <c r="F20" s="638" t="s">
        <v>319</v>
      </c>
      <c r="G20" s="638" t="s">
        <v>321</v>
      </c>
      <c r="H20" s="638" t="s">
        <v>322</v>
      </c>
      <c r="I20" s="638" t="s">
        <v>237</v>
      </c>
      <c r="J20" s="638" t="s">
        <v>323</v>
      </c>
      <c r="K20" s="638" t="s">
        <v>322</v>
      </c>
      <c r="L20" s="638" t="s">
        <v>255</v>
      </c>
      <c r="M20" s="639" t="s">
        <v>324</v>
      </c>
      <c r="N20" s="639" t="s">
        <v>325</v>
      </c>
      <c r="O20" s="639" t="s">
        <v>326</v>
      </c>
    </row>
    <row r="21" spans="1:15" hidden="1" x14ac:dyDescent="0.25">
      <c r="A21" s="638" t="s">
        <v>318</v>
      </c>
      <c r="B21" s="637">
        <v>1</v>
      </c>
      <c r="C21" s="638"/>
      <c r="D21" s="638" t="s">
        <v>319</v>
      </c>
      <c r="E21" s="638" t="s">
        <v>319</v>
      </c>
      <c r="F21" s="638" t="s">
        <v>319</v>
      </c>
      <c r="G21" s="638" t="s">
        <v>321</v>
      </c>
      <c r="H21" s="638" t="s">
        <v>322</v>
      </c>
      <c r="I21" s="638" t="s">
        <v>237</v>
      </c>
      <c r="J21" s="638" t="s">
        <v>323</v>
      </c>
      <c r="K21" s="638" t="s">
        <v>322</v>
      </c>
      <c r="L21" s="638" t="s">
        <v>259</v>
      </c>
      <c r="M21" s="639" t="s">
        <v>324</v>
      </c>
      <c r="N21" s="639" t="s">
        <v>325</v>
      </c>
      <c r="O21" s="639" t="s">
        <v>326</v>
      </c>
    </row>
    <row r="22" spans="1:15" hidden="1" x14ac:dyDescent="0.25">
      <c r="A22" s="638" t="s">
        <v>318</v>
      </c>
      <c r="B22" s="637">
        <v>1</v>
      </c>
      <c r="C22" s="638"/>
      <c r="D22" s="638" t="s">
        <v>319</v>
      </c>
      <c r="E22" s="638" t="s">
        <v>319</v>
      </c>
      <c r="F22" s="638" t="s">
        <v>319</v>
      </c>
      <c r="G22" s="638" t="s">
        <v>321</v>
      </c>
      <c r="H22" s="638" t="s">
        <v>322</v>
      </c>
      <c r="I22" s="638" t="s">
        <v>237</v>
      </c>
      <c r="J22" s="638" t="s">
        <v>323</v>
      </c>
      <c r="K22" s="638" t="s">
        <v>322</v>
      </c>
      <c r="L22" s="638" t="s">
        <v>258</v>
      </c>
      <c r="M22" s="639" t="s">
        <v>324</v>
      </c>
      <c r="N22" s="639" t="s">
        <v>325</v>
      </c>
      <c r="O22" s="639" t="s">
        <v>326</v>
      </c>
    </row>
    <row r="23" spans="1:15" hidden="1" x14ac:dyDescent="0.25">
      <c r="A23" s="638" t="s">
        <v>318</v>
      </c>
      <c r="B23" s="637">
        <v>1</v>
      </c>
      <c r="C23" s="638"/>
      <c r="D23" s="638" t="s">
        <v>319</v>
      </c>
      <c r="E23" s="638" t="s">
        <v>319</v>
      </c>
      <c r="F23" s="638" t="s">
        <v>319</v>
      </c>
      <c r="G23" s="638" t="s">
        <v>321</v>
      </c>
      <c r="H23" s="638" t="s">
        <v>322</v>
      </c>
      <c r="I23" s="638" t="s">
        <v>237</v>
      </c>
      <c r="J23" s="638" t="s">
        <v>323</v>
      </c>
      <c r="K23" s="638" t="s">
        <v>322</v>
      </c>
      <c r="L23" s="638" t="s">
        <v>257</v>
      </c>
      <c r="M23" s="639" t="s">
        <v>324</v>
      </c>
      <c r="N23" s="639" t="s">
        <v>325</v>
      </c>
      <c r="O23" s="639" t="s">
        <v>326</v>
      </c>
    </row>
    <row r="24" spans="1:15" hidden="1" x14ac:dyDescent="0.25">
      <c r="A24" s="638" t="s">
        <v>318</v>
      </c>
      <c r="B24" s="637">
        <v>1</v>
      </c>
      <c r="C24" s="638"/>
      <c r="D24" s="638" t="s">
        <v>319</v>
      </c>
      <c r="E24" s="638" t="s">
        <v>319</v>
      </c>
      <c r="F24" s="638" t="s">
        <v>319</v>
      </c>
      <c r="G24" s="638" t="s">
        <v>321</v>
      </c>
      <c r="H24" s="638" t="s">
        <v>322</v>
      </c>
      <c r="I24" s="638" t="s">
        <v>237</v>
      </c>
      <c r="J24" s="638" t="s">
        <v>323</v>
      </c>
      <c r="K24" s="638" t="s">
        <v>322</v>
      </c>
      <c r="L24" s="638" t="s">
        <v>256</v>
      </c>
      <c r="M24" s="639" t="s">
        <v>324</v>
      </c>
      <c r="N24" s="639" t="s">
        <v>325</v>
      </c>
      <c r="O24" s="639" t="s">
        <v>326</v>
      </c>
    </row>
    <row r="25" spans="1:15" hidden="1" x14ac:dyDescent="0.25">
      <c r="A25" s="601" t="s">
        <v>327</v>
      </c>
      <c r="B25" s="602">
        <v>0.25180000000000002</v>
      </c>
      <c r="C25" s="601"/>
      <c r="D25" s="601" t="s">
        <v>319</v>
      </c>
      <c r="E25" s="601" t="s">
        <v>319</v>
      </c>
      <c r="F25" s="601" t="s">
        <v>319</v>
      </c>
      <c r="G25" s="601" t="s">
        <v>327</v>
      </c>
      <c r="H25" s="601" t="s">
        <v>322</v>
      </c>
      <c r="I25" s="603">
        <v>65000</v>
      </c>
      <c r="J25" s="577"/>
      <c r="K25" s="577"/>
      <c r="L25" s="577"/>
      <c r="M25" s="577"/>
      <c r="N25" s="577"/>
      <c r="O25" s="577"/>
    </row>
    <row r="26" spans="1:15" hidden="1" x14ac:dyDescent="0.25">
      <c r="A26" s="601" t="s">
        <v>327</v>
      </c>
      <c r="B26" s="602">
        <v>0.50119999999999998</v>
      </c>
      <c r="C26" s="601"/>
      <c r="D26" s="601" t="s">
        <v>319</v>
      </c>
      <c r="E26" s="601" t="s">
        <v>319</v>
      </c>
      <c r="F26" s="601" t="s">
        <v>319</v>
      </c>
      <c r="G26" s="601" t="s">
        <v>327</v>
      </c>
      <c r="H26" s="601" t="s">
        <v>322</v>
      </c>
      <c r="I26" s="603">
        <v>75000</v>
      </c>
      <c r="J26" s="577"/>
      <c r="K26" s="577"/>
      <c r="L26" s="577"/>
      <c r="M26" s="577"/>
      <c r="N26" s="577"/>
      <c r="O26" s="577"/>
    </row>
    <row r="27" spans="1:15" hidden="1" x14ac:dyDescent="0.25">
      <c r="A27" s="601" t="s">
        <v>327</v>
      </c>
      <c r="B27" s="602">
        <v>0.75060000000000004</v>
      </c>
      <c r="C27" s="601"/>
      <c r="D27" s="601" t="s">
        <v>319</v>
      </c>
      <c r="E27" s="601" t="s">
        <v>319</v>
      </c>
      <c r="F27" s="601" t="s">
        <v>319</v>
      </c>
      <c r="G27" s="601" t="s">
        <v>327</v>
      </c>
      <c r="H27" s="601" t="s">
        <v>322</v>
      </c>
      <c r="I27" s="603">
        <v>100000</v>
      </c>
      <c r="J27" s="577"/>
      <c r="K27" s="577"/>
      <c r="L27" s="577"/>
      <c r="M27" s="577"/>
      <c r="N27" s="577"/>
      <c r="O27" s="577"/>
    </row>
    <row r="28" spans="1:15" hidden="1" x14ac:dyDescent="0.25">
      <c r="A28" s="601" t="s">
        <v>327</v>
      </c>
      <c r="B28" s="602">
        <v>1.35</v>
      </c>
      <c r="C28" s="601"/>
      <c r="D28" s="601" t="s">
        <v>319</v>
      </c>
      <c r="E28" s="601" t="s">
        <v>319</v>
      </c>
      <c r="F28" s="601" t="s">
        <v>319</v>
      </c>
      <c r="G28" s="601" t="s">
        <v>327</v>
      </c>
      <c r="H28" s="601" t="s">
        <v>322</v>
      </c>
      <c r="I28" s="603">
        <v>300000</v>
      </c>
      <c r="J28" s="577"/>
      <c r="K28" s="577"/>
      <c r="L28" s="577"/>
      <c r="M28" s="577"/>
      <c r="N28" s="577"/>
      <c r="O28" s="577"/>
    </row>
    <row r="29" spans="1:15" hidden="1" x14ac:dyDescent="0.25">
      <c r="A29" s="601" t="s">
        <v>327</v>
      </c>
      <c r="B29" s="602">
        <v>1.7529999999999999</v>
      </c>
      <c r="C29" s="601"/>
      <c r="D29" s="601" t="s">
        <v>319</v>
      </c>
      <c r="E29" s="601" t="s">
        <v>319</v>
      </c>
      <c r="F29" s="601" t="s">
        <v>319</v>
      </c>
      <c r="G29" s="601" t="s">
        <v>327</v>
      </c>
      <c r="H29" s="601" t="s">
        <v>322</v>
      </c>
      <c r="I29" s="603">
        <v>500000</v>
      </c>
      <c r="J29" s="577"/>
      <c r="K29" s="577"/>
      <c r="L29" s="577"/>
      <c r="M29" s="577"/>
      <c r="N29" s="577"/>
      <c r="O29" s="577"/>
    </row>
    <row r="30" spans="1:15" hidden="1" x14ac:dyDescent="0.25">
      <c r="A30" s="601" t="s">
        <v>327</v>
      </c>
      <c r="B30" s="602">
        <v>2.2517999999999998</v>
      </c>
      <c r="C30" s="601"/>
      <c r="D30" s="601" t="s">
        <v>319</v>
      </c>
      <c r="E30" s="601" t="s">
        <v>319</v>
      </c>
      <c r="F30" s="601" t="s">
        <v>319</v>
      </c>
      <c r="G30" s="601" t="s">
        <v>327</v>
      </c>
      <c r="H30" s="601" t="s">
        <v>322</v>
      </c>
      <c r="I30" s="603">
        <v>1000000</v>
      </c>
      <c r="J30" s="577"/>
      <c r="K30" s="577"/>
      <c r="L30" s="577"/>
      <c r="M30" s="577"/>
      <c r="N30" s="577"/>
      <c r="O30" s="577"/>
    </row>
    <row r="31" spans="1:15" hidden="1" x14ac:dyDescent="0.25">
      <c r="A31" s="630" t="s">
        <v>336</v>
      </c>
      <c r="B31" s="629">
        <v>1.02</v>
      </c>
      <c r="C31" s="630"/>
      <c r="D31" s="630" t="s">
        <v>319</v>
      </c>
      <c r="E31" s="630" t="s">
        <v>319</v>
      </c>
      <c r="F31" s="630" t="s">
        <v>319</v>
      </c>
      <c r="G31" s="630" t="s">
        <v>324</v>
      </c>
      <c r="H31" s="601" t="s">
        <v>325</v>
      </c>
      <c r="I31" s="601" t="s">
        <v>337</v>
      </c>
      <c r="J31" s="630" t="s">
        <v>338</v>
      </c>
      <c r="K31" s="630" t="s">
        <v>339</v>
      </c>
      <c r="L31" s="630" t="s">
        <v>320</v>
      </c>
      <c r="M31" s="630" t="s">
        <v>321</v>
      </c>
      <c r="N31" s="630" t="s">
        <v>340</v>
      </c>
      <c r="O31" s="630" t="s">
        <v>341</v>
      </c>
    </row>
    <row r="32" spans="1:15" hidden="1" x14ac:dyDescent="0.25">
      <c r="A32" s="630" t="s">
        <v>336</v>
      </c>
      <c r="B32" s="629">
        <v>1.02</v>
      </c>
      <c r="C32" s="630"/>
      <c r="D32" s="630" t="s">
        <v>319</v>
      </c>
      <c r="E32" s="630" t="s">
        <v>319</v>
      </c>
      <c r="F32" s="630" t="s">
        <v>319</v>
      </c>
      <c r="G32" s="630" t="s">
        <v>324</v>
      </c>
      <c r="H32" s="601" t="s">
        <v>325</v>
      </c>
      <c r="I32" s="601" t="s">
        <v>342</v>
      </c>
      <c r="J32" s="630" t="s">
        <v>338</v>
      </c>
      <c r="K32" s="630" t="s">
        <v>339</v>
      </c>
      <c r="L32" s="630" t="s">
        <v>320</v>
      </c>
      <c r="M32" s="630" t="s">
        <v>321</v>
      </c>
      <c r="N32" s="630" t="s">
        <v>340</v>
      </c>
      <c r="O32" s="630" t="s">
        <v>341</v>
      </c>
    </row>
    <row r="33" spans="1:15" hidden="1" x14ac:dyDescent="0.25">
      <c r="A33" s="630" t="s">
        <v>336</v>
      </c>
      <c r="B33" s="629">
        <v>1.02</v>
      </c>
      <c r="C33" s="630"/>
      <c r="D33" s="630" t="s">
        <v>319</v>
      </c>
      <c r="E33" s="630" t="s">
        <v>319</v>
      </c>
      <c r="F33" s="630" t="s">
        <v>319</v>
      </c>
      <c r="G33" s="630" t="s">
        <v>324</v>
      </c>
      <c r="H33" s="601" t="s">
        <v>325</v>
      </c>
      <c r="I33" s="601" t="s">
        <v>343</v>
      </c>
      <c r="J33" s="630" t="s">
        <v>338</v>
      </c>
      <c r="K33" s="630" t="s">
        <v>339</v>
      </c>
      <c r="L33" s="630" t="s">
        <v>320</v>
      </c>
      <c r="M33" s="630" t="s">
        <v>321</v>
      </c>
      <c r="N33" s="630" t="s">
        <v>340</v>
      </c>
      <c r="O33" s="630" t="s">
        <v>341</v>
      </c>
    </row>
    <row r="34" spans="1:15" hidden="1" x14ac:dyDescent="0.25">
      <c r="A34" s="630" t="s">
        <v>336</v>
      </c>
      <c r="B34" s="629">
        <v>1.02</v>
      </c>
      <c r="C34" s="630"/>
      <c r="D34" s="630" t="s">
        <v>319</v>
      </c>
      <c r="E34" s="630" t="s">
        <v>319</v>
      </c>
      <c r="F34" s="630" t="s">
        <v>319</v>
      </c>
      <c r="G34" s="630" t="s">
        <v>324</v>
      </c>
      <c r="H34" s="601" t="s">
        <v>325</v>
      </c>
      <c r="I34" s="601" t="s">
        <v>344</v>
      </c>
      <c r="J34" s="630" t="s">
        <v>338</v>
      </c>
      <c r="K34" s="630" t="s">
        <v>339</v>
      </c>
      <c r="L34" s="630" t="s">
        <v>320</v>
      </c>
      <c r="M34" s="630" t="s">
        <v>321</v>
      </c>
      <c r="N34" s="630" t="s">
        <v>340</v>
      </c>
      <c r="O34" s="630" t="s">
        <v>341</v>
      </c>
    </row>
    <row r="35" spans="1:15" hidden="1" x14ac:dyDescent="0.25">
      <c r="A35" s="630" t="s">
        <v>336</v>
      </c>
      <c r="B35" s="629">
        <v>1.02</v>
      </c>
      <c r="C35" s="630"/>
      <c r="D35" s="630" t="s">
        <v>319</v>
      </c>
      <c r="E35" s="630" t="s">
        <v>319</v>
      </c>
      <c r="F35" s="630" t="s">
        <v>319</v>
      </c>
      <c r="G35" s="630" t="s">
        <v>324</v>
      </c>
      <c r="H35" s="601" t="s">
        <v>325</v>
      </c>
      <c r="I35" s="601" t="s">
        <v>345</v>
      </c>
      <c r="J35" s="630" t="s">
        <v>338</v>
      </c>
      <c r="K35" s="630" t="s">
        <v>339</v>
      </c>
      <c r="L35" s="630" t="s">
        <v>320</v>
      </c>
      <c r="M35" s="630" t="s">
        <v>321</v>
      </c>
      <c r="N35" s="630" t="s">
        <v>340</v>
      </c>
      <c r="O35" s="630" t="s">
        <v>341</v>
      </c>
    </row>
    <row r="36" spans="1:15" hidden="1" x14ac:dyDescent="0.25">
      <c r="A36" s="630" t="s">
        <v>336</v>
      </c>
      <c r="B36" s="629">
        <v>1.08</v>
      </c>
      <c r="C36" s="630"/>
      <c r="D36" s="630" t="s">
        <v>319</v>
      </c>
      <c r="E36" s="630" t="s">
        <v>319</v>
      </c>
      <c r="F36" s="630" t="s">
        <v>319</v>
      </c>
      <c r="G36" s="630" t="s">
        <v>324</v>
      </c>
      <c r="H36" s="601" t="s">
        <v>325</v>
      </c>
      <c r="I36" s="601" t="s">
        <v>346</v>
      </c>
      <c r="J36" s="630" t="s">
        <v>338</v>
      </c>
      <c r="K36" s="630" t="s">
        <v>339</v>
      </c>
      <c r="L36" s="630" t="s">
        <v>320</v>
      </c>
      <c r="M36" s="630" t="s">
        <v>321</v>
      </c>
      <c r="N36" s="630" t="s">
        <v>340</v>
      </c>
      <c r="O36" s="630" t="s">
        <v>341</v>
      </c>
    </row>
    <row r="37" spans="1:15" hidden="1" x14ac:dyDescent="0.25">
      <c r="A37" s="630" t="s">
        <v>336</v>
      </c>
      <c r="B37" s="629">
        <v>1.08</v>
      </c>
      <c r="C37" s="630"/>
      <c r="D37" s="630" t="s">
        <v>319</v>
      </c>
      <c r="E37" s="630" t="s">
        <v>319</v>
      </c>
      <c r="F37" s="630" t="s">
        <v>319</v>
      </c>
      <c r="G37" s="630" t="s">
        <v>324</v>
      </c>
      <c r="H37" s="601" t="s">
        <v>325</v>
      </c>
      <c r="I37" s="601" t="s">
        <v>347</v>
      </c>
      <c r="J37" s="630" t="s">
        <v>338</v>
      </c>
      <c r="K37" s="630" t="s">
        <v>339</v>
      </c>
      <c r="L37" s="630" t="s">
        <v>320</v>
      </c>
      <c r="M37" s="630" t="s">
        <v>321</v>
      </c>
      <c r="N37" s="630" t="s">
        <v>340</v>
      </c>
      <c r="O37" s="630" t="s">
        <v>341</v>
      </c>
    </row>
    <row r="38" spans="1:15" hidden="1" x14ac:dyDescent="0.25">
      <c r="A38" s="630" t="s">
        <v>336</v>
      </c>
      <c r="B38" s="629">
        <v>1.08</v>
      </c>
      <c r="C38" s="630"/>
      <c r="D38" s="630" t="s">
        <v>319</v>
      </c>
      <c r="E38" s="630" t="s">
        <v>319</v>
      </c>
      <c r="F38" s="630" t="s">
        <v>319</v>
      </c>
      <c r="G38" s="630" t="s">
        <v>324</v>
      </c>
      <c r="H38" s="601" t="s">
        <v>325</v>
      </c>
      <c r="I38" s="601" t="s">
        <v>348</v>
      </c>
      <c r="J38" s="630" t="s">
        <v>338</v>
      </c>
      <c r="K38" s="630" t="s">
        <v>339</v>
      </c>
      <c r="L38" s="630" t="s">
        <v>320</v>
      </c>
      <c r="M38" s="630" t="s">
        <v>321</v>
      </c>
      <c r="N38" s="630" t="s">
        <v>340</v>
      </c>
      <c r="O38" s="630" t="s">
        <v>341</v>
      </c>
    </row>
    <row r="39" spans="1:15" hidden="1" x14ac:dyDescent="0.25">
      <c r="A39" s="630" t="s">
        <v>336</v>
      </c>
      <c r="B39" s="629">
        <v>1.08</v>
      </c>
      <c r="C39" s="630"/>
      <c r="D39" s="630" t="s">
        <v>319</v>
      </c>
      <c r="E39" s="630" t="s">
        <v>319</v>
      </c>
      <c r="F39" s="630" t="s">
        <v>319</v>
      </c>
      <c r="G39" s="630" t="s">
        <v>324</v>
      </c>
      <c r="H39" s="601" t="s">
        <v>325</v>
      </c>
      <c r="I39" s="601" t="s">
        <v>349</v>
      </c>
      <c r="J39" s="630" t="s">
        <v>338</v>
      </c>
      <c r="K39" s="630" t="s">
        <v>339</v>
      </c>
      <c r="L39" s="630" t="s">
        <v>320</v>
      </c>
      <c r="M39" s="630" t="s">
        <v>321</v>
      </c>
      <c r="N39" s="630" t="s">
        <v>340</v>
      </c>
      <c r="O39" s="630" t="s">
        <v>341</v>
      </c>
    </row>
    <row r="40" spans="1:15" hidden="1" x14ac:dyDescent="0.25">
      <c r="A40" s="630" t="s">
        <v>336</v>
      </c>
      <c r="B40" s="629">
        <v>1.08</v>
      </c>
      <c r="C40" s="630"/>
      <c r="D40" s="630" t="s">
        <v>319</v>
      </c>
      <c r="E40" s="630" t="s">
        <v>319</v>
      </c>
      <c r="F40" s="630" t="s">
        <v>319</v>
      </c>
      <c r="G40" s="630" t="s">
        <v>324</v>
      </c>
      <c r="H40" s="601" t="s">
        <v>325</v>
      </c>
      <c r="I40" s="601" t="s">
        <v>350</v>
      </c>
      <c r="J40" s="630" t="s">
        <v>338</v>
      </c>
      <c r="K40" s="630" t="s">
        <v>339</v>
      </c>
      <c r="L40" s="630" t="s">
        <v>320</v>
      </c>
      <c r="M40" s="630" t="s">
        <v>321</v>
      </c>
      <c r="N40" s="630" t="s">
        <v>340</v>
      </c>
      <c r="O40" s="630" t="s">
        <v>341</v>
      </c>
    </row>
    <row r="41" spans="1:15" hidden="1" x14ac:dyDescent="0.25">
      <c r="A41" s="630" t="s">
        <v>336</v>
      </c>
      <c r="B41" s="629">
        <v>1.08</v>
      </c>
      <c r="C41" s="630"/>
      <c r="D41" s="630" t="s">
        <v>319</v>
      </c>
      <c r="E41" s="630" t="s">
        <v>319</v>
      </c>
      <c r="F41" s="630" t="s">
        <v>319</v>
      </c>
      <c r="G41" s="630" t="s">
        <v>324</v>
      </c>
      <c r="H41" s="601" t="s">
        <v>325</v>
      </c>
      <c r="I41" s="601" t="s">
        <v>351</v>
      </c>
      <c r="J41" s="630" t="s">
        <v>338</v>
      </c>
      <c r="K41" s="630" t="s">
        <v>339</v>
      </c>
      <c r="L41" s="630" t="s">
        <v>320</v>
      </c>
      <c r="M41" s="630" t="s">
        <v>321</v>
      </c>
      <c r="N41" s="630" t="s">
        <v>340</v>
      </c>
      <c r="O41" s="630" t="s">
        <v>341</v>
      </c>
    </row>
    <row r="42" spans="1:15" hidden="1" x14ac:dyDescent="0.25">
      <c r="A42" s="630" t="s">
        <v>336</v>
      </c>
      <c r="B42" s="629">
        <v>1.08</v>
      </c>
      <c r="C42" s="630"/>
      <c r="D42" s="630" t="s">
        <v>319</v>
      </c>
      <c r="E42" s="630" t="s">
        <v>319</v>
      </c>
      <c r="F42" s="630" t="s">
        <v>319</v>
      </c>
      <c r="G42" s="630" t="s">
        <v>324</v>
      </c>
      <c r="H42" s="601" t="s">
        <v>325</v>
      </c>
      <c r="I42" s="601" t="s">
        <v>352</v>
      </c>
      <c r="J42" s="630" t="s">
        <v>338</v>
      </c>
      <c r="K42" s="630" t="s">
        <v>339</v>
      </c>
      <c r="L42" s="630" t="s">
        <v>320</v>
      </c>
      <c r="M42" s="630" t="s">
        <v>321</v>
      </c>
      <c r="N42" s="630" t="s">
        <v>340</v>
      </c>
      <c r="O42" s="630" t="s">
        <v>341</v>
      </c>
    </row>
    <row r="43" spans="1:15" hidden="1" x14ac:dyDescent="0.25">
      <c r="A43" s="630" t="s">
        <v>336</v>
      </c>
      <c r="B43" s="629">
        <v>1.08</v>
      </c>
      <c r="C43" s="630"/>
      <c r="D43" s="630" t="s">
        <v>319</v>
      </c>
      <c r="E43" s="630" t="s">
        <v>319</v>
      </c>
      <c r="F43" s="630" t="s">
        <v>319</v>
      </c>
      <c r="G43" s="630" t="s">
        <v>324</v>
      </c>
      <c r="H43" s="601" t="s">
        <v>325</v>
      </c>
      <c r="I43" s="601" t="s">
        <v>353</v>
      </c>
      <c r="J43" s="630" t="s">
        <v>338</v>
      </c>
      <c r="K43" s="630" t="s">
        <v>339</v>
      </c>
      <c r="L43" s="630" t="s">
        <v>320</v>
      </c>
      <c r="M43" s="630" t="s">
        <v>321</v>
      </c>
      <c r="N43" s="630" t="s">
        <v>340</v>
      </c>
      <c r="O43" s="630" t="s">
        <v>341</v>
      </c>
    </row>
    <row r="44" spans="1:15" hidden="1" x14ac:dyDescent="0.25">
      <c r="A44" s="630" t="s">
        <v>336</v>
      </c>
      <c r="B44" s="629">
        <v>1.08</v>
      </c>
      <c r="C44" s="630"/>
      <c r="D44" s="630" t="s">
        <v>319</v>
      </c>
      <c r="E44" s="630" t="s">
        <v>319</v>
      </c>
      <c r="F44" s="630" t="s">
        <v>319</v>
      </c>
      <c r="G44" s="630" t="s">
        <v>324</v>
      </c>
      <c r="H44" s="601" t="s">
        <v>325</v>
      </c>
      <c r="I44" s="601" t="s">
        <v>354</v>
      </c>
      <c r="J44" s="630" t="s">
        <v>338</v>
      </c>
      <c r="K44" s="630" t="s">
        <v>339</v>
      </c>
      <c r="L44" s="630" t="s">
        <v>320</v>
      </c>
      <c r="M44" s="630" t="s">
        <v>321</v>
      </c>
      <c r="N44" s="630" t="s">
        <v>340</v>
      </c>
      <c r="O44" s="630" t="s">
        <v>341</v>
      </c>
    </row>
    <row r="45" spans="1:15" hidden="1" x14ac:dyDescent="0.25">
      <c r="A45" s="630" t="s">
        <v>336</v>
      </c>
      <c r="B45" s="629">
        <v>1.08</v>
      </c>
      <c r="C45" s="630"/>
      <c r="D45" s="630" t="s">
        <v>319</v>
      </c>
      <c r="E45" s="630" t="s">
        <v>319</v>
      </c>
      <c r="F45" s="630" t="s">
        <v>319</v>
      </c>
      <c r="G45" s="630" t="s">
        <v>324</v>
      </c>
      <c r="H45" s="601" t="s">
        <v>325</v>
      </c>
      <c r="I45" s="601" t="s">
        <v>355</v>
      </c>
      <c r="J45" s="630" t="s">
        <v>338</v>
      </c>
      <c r="K45" s="630" t="s">
        <v>339</v>
      </c>
      <c r="L45" s="630" t="s">
        <v>320</v>
      </c>
      <c r="M45" s="630" t="s">
        <v>321</v>
      </c>
      <c r="N45" s="630" t="s">
        <v>340</v>
      </c>
      <c r="O45" s="630" t="s">
        <v>341</v>
      </c>
    </row>
    <row r="46" spans="1:15" hidden="1" x14ac:dyDescent="0.25">
      <c r="A46" s="630" t="s">
        <v>336</v>
      </c>
      <c r="B46" s="629">
        <v>1.2</v>
      </c>
      <c r="C46" s="630"/>
      <c r="D46" s="630" t="s">
        <v>319</v>
      </c>
      <c r="E46" s="630" t="s">
        <v>319</v>
      </c>
      <c r="F46" s="630" t="s">
        <v>319</v>
      </c>
      <c r="G46" s="630" t="s">
        <v>324</v>
      </c>
      <c r="H46" s="601" t="s">
        <v>325</v>
      </c>
      <c r="I46" s="601" t="s">
        <v>356</v>
      </c>
      <c r="J46" s="630" t="s">
        <v>338</v>
      </c>
      <c r="K46" s="630" t="s">
        <v>339</v>
      </c>
      <c r="L46" s="630" t="s">
        <v>320</v>
      </c>
      <c r="M46" s="630" t="s">
        <v>321</v>
      </c>
      <c r="N46" s="630" t="s">
        <v>340</v>
      </c>
      <c r="O46" s="630" t="s">
        <v>341</v>
      </c>
    </row>
    <row r="47" spans="1:15" hidden="1" x14ac:dyDescent="0.25">
      <c r="A47" s="630" t="s">
        <v>336</v>
      </c>
      <c r="B47" s="629">
        <v>1.2</v>
      </c>
      <c r="C47" s="630"/>
      <c r="D47" s="630" t="s">
        <v>319</v>
      </c>
      <c r="E47" s="630" t="s">
        <v>319</v>
      </c>
      <c r="F47" s="630" t="s">
        <v>319</v>
      </c>
      <c r="G47" s="630" t="s">
        <v>324</v>
      </c>
      <c r="H47" s="601" t="s">
        <v>325</v>
      </c>
      <c r="I47" s="601" t="s">
        <v>357</v>
      </c>
      <c r="J47" s="630" t="s">
        <v>338</v>
      </c>
      <c r="K47" s="630" t="s">
        <v>339</v>
      </c>
      <c r="L47" s="630" t="s">
        <v>320</v>
      </c>
      <c r="M47" s="630" t="s">
        <v>321</v>
      </c>
      <c r="N47" s="630" t="s">
        <v>340</v>
      </c>
      <c r="O47" s="630" t="s">
        <v>341</v>
      </c>
    </row>
    <row r="48" spans="1:15" hidden="1" x14ac:dyDescent="0.25">
      <c r="A48" s="630" t="s">
        <v>336</v>
      </c>
      <c r="B48" s="629">
        <v>1.2</v>
      </c>
      <c r="C48" s="630"/>
      <c r="D48" s="630" t="s">
        <v>319</v>
      </c>
      <c r="E48" s="630" t="s">
        <v>319</v>
      </c>
      <c r="F48" s="630" t="s">
        <v>319</v>
      </c>
      <c r="G48" s="630" t="s">
        <v>324</v>
      </c>
      <c r="H48" s="601" t="s">
        <v>325</v>
      </c>
      <c r="I48" s="601" t="s">
        <v>358</v>
      </c>
      <c r="J48" s="630" t="s">
        <v>338</v>
      </c>
      <c r="K48" s="630" t="s">
        <v>339</v>
      </c>
      <c r="L48" s="630" t="s">
        <v>320</v>
      </c>
      <c r="M48" s="630" t="s">
        <v>321</v>
      </c>
      <c r="N48" s="630" t="s">
        <v>340</v>
      </c>
      <c r="O48" s="630" t="s">
        <v>341</v>
      </c>
    </row>
    <row r="49" spans="1:15" hidden="1" x14ac:dyDescent="0.25">
      <c r="A49" s="630" t="s">
        <v>336</v>
      </c>
      <c r="B49" s="629">
        <v>1.2</v>
      </c>
      <c r="C49" s="630"/>
      <c r="D49" s="630" t="s">
        <v>319</v>
      </c>
      <c r="E49" s="630" t="s">
        <v>319</v>
      </c>
      <c r="F49" s="630" t="s">
        <v>319</v>
      </c>
      <c r="G49" s="630" t="s">
        <v>324</v>
      </c>
      <c r="H49" s="601" t="s">
        <v>325</v>
      </c>
      <c r="I49" s="601" t="s">
        <v>359</v>
      </c>
      <c r="J49" s="630" t="s">
        <v>338</v>
      </c>
      <c r="K49" s="630" t="s">
        <v>339</v>
      </c>
      <c r="L49" s="630" t="s">
        <v>320</v>
      </c>
      <c r="M49" s="630" t="s">
        <v>321</v>
      </c>
      <c r="N49" s="630" t="s">
        <v>340</v>
      </c>
      <c r="O49" s="630" t="s">
        <v>341</v>
      </c>
    </row>
    <row r="50" spans="1:15" hidden="1" x14ac:dyDescent="0.25">
      <c r="A50" s="630" t="s">
        <v>336</v>
      </c>
      <c r="B50" s="629">
        <v>1.2</v>
      </c>
      <c r="C50" s="630"/>
      <c r="D50" s="630" t="s">
        <v>319</v>
      </c>
      <c r="E50" s="630" t="s">
        <v>319</v>
      </c>
      <c r="F50" s="630" t="s">
        <v>319</v>
      </c>
      <c r="G50" s="630" t="s">
        <v>324</v>
      </c>
      <c r="H50" s="601" t="s">
        <v>325</v>
      </c>
      <c r="I50" s="601" t="s">
        <v>360</v>
      </c>
      <c r="J50" s="630" t="s">
        <v>338</v>
      </c>
      <c r="K50" s="630" t="s">
        <v>339</v>
      </c>
      <c r="L50" s="630" t="s">
        <v>320</v>
      </c>
      <c r="M50" s="630" t="s">
        <v>321</v>
      </c>
      <c r="N50" s="630" t="s">
        <v>340</v>
      </c>
      <c r="O50" s="630" t="s">
        <v>341</v>
      </c>
    </row>
    <row r="51" spans="1:15" hidden="1" x14ac:dyDescent="0.25">
      <c r="A51" s="630" t="s">
        <v>336</v>
      </c>
      <c r="B51" s="629">
        <v>1.2</v>
      </c>
      <c r="C51" s="630"/>
      <c r="D51" s="630" t="s">
        <v>319</v>
      </c>
      <c r="E51" s="630" t="s">
        <v>319</v>
      </c>
      <c r="F51" s="630" t="s">
        <v>319</v>
      </c>
      <c r="G51" s="630" t="s">
        <v>324</v>
      </c>
      <c r="H51" s="601" t="s">
        <v>325</v>
      </c>
      <c r="I51" s="601" t="s">
        <v>361</v>
      </c>
      <c r="J51" s="630" t="s">
        <v>338</v>
      </c>
      <c r="K51" s="630" t="s">
        <v>339</v>
      </c>
      <c r="L51" s="630" t="s">
        <v>320</v>
      </c>
      <c r="M51" s="630" t="s">
        <v>321</v>
      </c>
      <c r="N51" s="630" t="s">
        <v>340</v>
      </c>
      <c r="O51" s="630" t="s">
        <v>341</v>
      </c>
    </row>
    <row r="52" spans="1:15" hidden="1" x14ac:dyDescent="0.25">
      <c r="A52" s="630" t="s">
        <v>336</v>
      </c>
      <c r="B52" s="629">
        <v>1.2</v>
      </c>
      <c r="C52" s="630"/>
      <c r="D52" s="630" t="s">
        <v>319</v>
      </c>
      <c r="E52" s="630" t="s">
        <v>319</v>
      </c>
      <c r="F52" s="630" t="s">
        <v>319</v>
      </c>
      <c r="G52" s="630" t="s">
        <v>324</v>
      </c>
      <c r="H52" s="601" t="s">
        <v>325</v>
      </c>
      <c r="I52" s="601" t="s">
        <v>362</v>
      </c>
      <c r="J52" s="630" t="s">
        <v>338</v>
      </c>
      <c r="K52" s="630" t="s">
        <v>339</v>
      </c>
      <c r="L52" s="630" t="s">
        <v>320</v>
      </c>
      <c r="M52" s="630" t="s">
        <v>321</v>
      </c>
      <c r="N52" s="630" t="s">
        <v>340</v>
      </c>
      <c r="O52" s="630" t="s">
        <v>341</v>
      </c>
    </row>
    <row r="53" spans="1:15" hidden="1" x14ac:dyDescent="0.25">
      <c r="A53" s="630" t="s">
        <v>336</v>
      </c>
      <c r="B53" s="629">
        <v>1.2</v>
      </c>
      <c r="C53" s="630"/>
      <c r="D53" s="630" t="s">
        <v>319</v>
      </c>
      <c r="E53" s="630" t="s">
        <v>319</v>
      </c>
      <c r="F53" s="630" t="s">
        <v>319</v>
      </c>
      <c r="G53" s="630" t="s">
        <v>324</v>
      </c>
      <c r="H53" s="601" t="s">
        <v>325</v>
      </c>
      <c r="I53" s="601" t="s">
        <v>363</v>
      </c>
      <c r="J53" s="630" t="s">
        <v>338</v>
      </c>
      <c r="K53" s="630" t="s">
        <v>339</v>
      </c>
      <c r="L53" s="630" t="s">
        <v>320</v>
      </c>
      <c r="M53" s="630" t="s">
        <v>321</v>
      </c>
      <c r="N53" s="630" t="s">
        <v>340</v>
      </c>
      <c r="O53" s="630" t="s">
        <v>341</v>
      </c>
    </row>
    <row r="54" spans="1:15" hidden="1" x14ac:dyDescent="0.25">
      <c r="A54" s="630" t="s">
        <v>336</v>
      </c>
      <c r="B54" s="629">
        <v>1.2</v>
      </c>
      <c r="C54" s="630"/>
      <c r="D54" s="630" t="s">
        <v>319</v>
      </c>
      <c r="E54" s="630" t="s">
        <v>319</v>
      </c>
      <c r="F54" s="630" t="s">
        <v>319</v>
      </c>
      <c r="G54" s="630" t="s">
        <v>324</v>
      </c>
      <c r="H54" s="601" t="s">
        <v>325</v>
      </c>
      <c r="I54" s="601" t="s">
        <v>364</v>
      </c>
      <c r="J54" s="630" t="s">
        <v>338</v>
      </c>
      <c r="K54" s="630" t="s">
        <v>339</v>
      </c>
      <c r="L54" s="630" t="s">
        <v>320</v>
      </c>
      <c r="M54" s="630" t="s">
        <v>321</v>
      </c>
      <c r="N54" s="630" t="s">
        <v>340</v>
      </c>
      <c r="O54" s="630" t="s">
        <v>341</v>
      </c>
    </row>
    <row r="55" spans="1:15" hidden="1" x14ac:dyDescent="0.25">
      <c r="A55" s="630" t="s">
        <v>336</v>
      </c>
      <c r="B55" s="629">
        <v>1.2</v>
      </c>
      <c r="C55" s="630"/>
      <c r="D55" s="630" t="s">
        <v>319</v>
      </c>
      <c r="E55" s="630" t="s">
        <v>319</v>
      </c>
      <c r="F55" s="630" t="s">
        <v>319</v>
      </c>
      <c r="G55" s="630" t="s">
        <v>324</v>
      </c>
      <c r="H55" s="601" t="s">
        <v>325</v>
      </c>
      <c r="I55" s="601" t="s">
        <v>365</v>
      </c>
      <c r="J55" s="630" t="s">
        <v>338</v>
      </c>
      <c r="K55" s="630" t="s">
        <v>339</v>
      </c>
      <c r="L55" s="630" t="s">
        <v>320</v>
      </c>
      <c r="M55" s="630" t="s">
        <v>321</v>
      </c>
      <c r="N55" s="630" t="s">
        <v>340</v>
      </c>
      <c r="O55" s="630" t="s">
        <v>341</v>
      </c>
    </row>
    <row r="56" spans="1:15" hidden="1" x14ac:dyDescent="0.25">
      <c r="A56" s="630" t="s">
        <v>336</v>
      </c>
      <c r="B56" s="629">
        <v>1.38</v>
      </c>
      <c r="C56" s="630"/>
      <c r="D56" s="630" t="s">
        <v>319</v>
      </c>
      <c r="E56" s="630" t="s">
        <v>319</v>
      </c>
      <c r="F56" s="630" t="s">
        <v>319</v>
      </c>
      <c r="G56" s="630" t="s">
        <v>324</v>
      </c>
      <c r="H56" s="601" t="s">
        <v>325</v>
      </c>
      <c r="I56" s="601" t="s">
        <v>366</v>
      </c>
      <c r="J56" s="630" t="s">
        <v>338</v>
      </c>
      <c r="K56" s="630" t="s">
        <v>339</v>
      </c>
      <c r="L56" s="630" t="s">
        <v>320</v>
      </c>
      <c r="M56" s="630" t="s">
        <v>321</v>
      </c>
      <c r="N56" s="630" t="s">
        <v>340</v>
      </c>
      <c r="O56" s="630" t="s">
        <v>341</v>
      </c>
    </row>
    <row r="57" spans="1:15" hidden="1" x14ac:dyDescent="0.25">
      <c r="A57" s="630" t="s">
        <v>336</v>
      </c>
      <c r="B57" s="629">
        <v>1.38</v>
      </c>
      <c r="C57" s="630"/>
      <c r="D57" s="630" t="s">
        <v>319</v>
      </c>
      <c r="E57" s="630" t="s">
        <v>319</v>
      </c>
      <c r="F57" s="630" t="s">
        <v>319</v>
      </c>
      <c r="G57" s="630" t="s">
        <v>324</v>
      </c>
      <c r="H57" s="601" t="s">
        <v>325</v>
      </c>
      <c r="I57" s="601" t="s">
        <v>367</v>
      </c>
      <c r="J57" s="630" t="s">
        <v>338</v>
      </c>
      <c r="K57" s="630" t="s">
        <v>339</v>
      </c>
      <c r="L57" s="630" t="s">
        <v>320</v>
      </c>
      <c r="M57" s="630" t="s">
        <v>321</v>
      </c>
      <c r="N57" s="630" t="s">
        <v>340</v>
      </c>
      <c r="O57" s="630" t="s">
        <v>341</v>
      </c>
    </row>
    <row r="58" spans="1:15" hidden="1" x14ac:dyDescent="0.25">
      <c r="A58" s="630" t="s">
        <v>336</v>
      </c>
      <c r="B58" s="629">
        <v>1.38</v>
      </c>
      <c r="C58" s="630"/>
      <c r="D58" s="630" t="s">
        <v>319</v>
      </c>
      <c r="E58" s="630" t="s">
        <v>319</v>
      </c>
      <c r="F58" s="630" t="s">
        <v>319</v>
      </c>
      <c r="G58" s="630" t="s">
        <v>324</v>
      </c>
      <c r="H58" s="601" t="s">
        <v>325</v>
      </c>
      <c r="I58" s="601" t="s">
        <v>368</v>
      </c>
      <c r="J58" s="630" t="s">
        <v>338</v>
      </c>
      <c r="K58" s="630" t="s">
        <v>339</v>
      </c>
      <c r="L58" s="630" t="s">
        <v>320</v>
      </c>
      <c r="M58" s="630" t="s">
        <v>321</v>
      </c>
      <c r="N58" s="630" t="s">
        <v>340</v>
      </c>
      <c r="O58" s="630" t="s">
        <v>341</v>
      </c>
    </row>
    <row r="59" spans="1:15" hidden="1" x14ac:dyDescent="0.25">
      <c r="A59" s="630" t="s">
        <v>336</v>
      </c>
      <c r="B59" s="629">
        <v>1.38</v>
      </c>
      <c r="C59" s="630"/>
      <c r="D59" s="630" t="s">
        <v>319</v>
      </c>
      <c r="E59" s="630" t="s">
        <v>319</v>
      </c>
      <c r="F59" s="630" t="s">
        <v>319</v>
      </c>
      <c r="G59" s="630" t="s">
        <v>324</v>
      </c>
      <c r="H59" s="601" t="s">
        <v>325</v>
      </c>
      <c r="I59" s="601" t="s">
        <v>369</v>
      </c>
      <c r="J59" s="630" t="s">
        <v>338</v>
      </c>
      <c r="K59" s="630" t="s">
        <v>339</v>
      </c>
      <c r="L59" s="630" t="s">
        <v>320</v>
      </c>
      <c r="M59" s="630" t="s">
        <v>321</v>
      </c>
      <c r="N59" s="630" t="s">
        <v>340</v>
      </c>
      <c r="O59" s="630" t="s">
        <v>341</v>
      </c>
    </row>
    <row r="60" spans="1:15" hidden="1" x14ac:dyDescent="0.25">
      <c r="A60" s="630" t="s">
        <v>336</v>
      </c>
      <c r="B60" s="629">
        <v>1.38</v>
      </c>
      <c r="C60" s="630"/>
      <c r="D60" s="630" t="s">
        <v>319</v>
      </c>
      <c r="E60" s="630" t="s">
        <v>319</v>
      </c>
      <c r="F60" s="630" t="s">
        <v>319</v>
      </c>
      <c r="G60" s="630" t="s">
        <v>324</v>
      </c>
      <c r="H60" s="601" t="s">
        <v>325</v>
      </c>
      <c r="I60" s="601" t="s">
        <v>370</v>
      </c>
      <c r="J60" s="630" t="s">
        <v>338</v>
      </c>
      <c r="K60" s="630" t="s">
        <v>339</v>
      </c>
      <c r="L60" s="630" t="s">
        <v>320</v>
      </c>
      <c r="M60" s="630" t="s">
        <v>321</v>
      </c>
      <c r="N60" s="630" t="s">
        <v>340</v>
      </c>
      <c r="O60" s="630" t="s">
        <v>341</v>
      </c>
    </row>
    <row r="61" spans="1:15" hidden="1" x14ac:dyDescent="0.25">
      <c r="A61" s="630" t="s">
        <v>336</v>
      </c>
      <c r="B61" s="629">
        <v>1.38</v>
      </c>
      <c r="C61" s="630"/>
      <c r="D61" s="630" t="s">
        <v>319</v>
      </c>
      <c r="E61" s="630" t="s">
        <v>319</v>
      </c>
      <c r="F61" s="630" t="s">
        <v>319</v>
      </c>
      <c r="G61" s="630" t="s">
        <v>324</v>
      </c>
      <c r="H61" s="601" t="s">
        <v>325</v>
      </c>
      <c r="I61" s="601" t="s">
        <v>371</v>
      </c>
      <c r="J61" s="630" t="s">
        <v>338</v>
      </c>
      <c r="K61" s="630" t="s">
        <v>339</v>
      </c>
      <c r="L61" s="630" t="s">
        <v>320</v>
      </c>
      <c r="M61" s="630" t="s">
        <v>321</v>
      </c>
      <c r="N61" s="630" t="s">
        <v>340</v>
      </c>
      <c r="O61" s="630" t="s">
        <v>341</v>
      </c>
    </row>
    <row r="62" spans="1:15" hidden="1" x14ac:dyDescent="0.25">
      <c r="A62" s="630" t="s">
        <v>336</v>
      </c>
      <c r="B62" s="629">
        <v>1.38</v>
      </c>
      <c r="C62" s="630"/>
      <c r="D62" s="630" t="s">
        <v>319</v>
      </c>
      <c r="E62" s="630" t="s">
        <v>319</v>
      </c>
      <c r="F62" s="630" t="s">
        <v>319</v>
      </c>
      <c r="G62" s="630" t="s">
        <v>324</v>
      </c>
      <c r="H62" s="601" t="s">
        <v>325</v>
      </c>
      <c r="I62" s="601" t="s">
        <v>372</v>
      </c>
      <c r="J62" s="630" t="s">
        <v>338</v>
      </c>
      <c r="K62" s="630" t="s">
        <v>339</v>
      </c>
      <c r="L62" s="630" t="s">
        <v>320</v>
      </c>
      <c r="M62" s="630" t="s">
        <v>321</v>
      </c>
      <c r="N62" s="630" t="s">
        <v>340</v>
      </c>
      <c r="O62" s="630" t="s">
        <v>341</v>
      </c>
    </row>
    <row r="63" spans="1:15" hidden="1" x14ac:dyDescent="0.25">
      <c r="A63" s="630" t="s">
        <v>336</v>
      </c>
      <c r="B63" s="629">
        <v>1.38</v>
      </c>
      <c r="C63" s="630"/>
      <c r="D63" s="630" t="s">
        <v>319</v>
      </c>
      <c r="E63" s="630" t="s">
        <v>319</v>
      </c>
      <c r="F63" s="630" t="s">
        <v>319</v>
      </c>
      <c r="G63" s="630" t="s">
        <v>324</v>
      </c>
      <c r="H63" s="601" t="s">
        <v>325</v>
      </c>
      <c r="I63" s="601" t="s">
        <v>373</v>
      </c>
      <c r="J63" s="630" t="s">
        <v>338</v>
      </c>
      <c r="K63" s="630" t="s">
        <v>339</v>
      </c>
      <c r="L63" s="630" t="s">
        <v>320</v>
      </c>
      <c r="M63" s="630" t="s">
        <v>321</v>
      </c>
      <c r="N63" s="630" t="s">
        <v>340</v>
      </c>
      <c r="O63" s="630" t="s">
        <v>341</v>
      </c>
    </row>
    <row r="64" spans="1:15" hidden="1" x14ac:dyDescent="0.25">
      <c r="A64" s="630" t="s">
        <v>336</v>
      </c>
      <c r="B64" s="629">
        <v>1.38</v>
      </c>
      <c r="C64" s="630"/>
      <c r="D64" s="630" t="s">
        <v>319</v>
      </c>
      <c r="E64" s="630" t="s">
        <v>319</v>
      </c>
      <c r="F64" s="630" t="s">
        <v>319</v>
      </c>
      <c r="G64" s="630" t="s">
        <v>324</v>
      </c>
      <c r="H64" s="601" t="s">
        <v>325</v>
      </c>
      <c r="I64" s="601" t="s">
        <v>374</v>
      </c>
      <c r="J64" s="630" t="s">
        <v>338</v>
      </c>
      <c r="K64" s="630" t="s">
        <v>339</v>
      </c>
      <c r="L64" s="630" t="s">
        <v>320</v>
      </c>
      <c r="M64" s="630" t="s">
        <v>321</v>
      </c>
      <c r="N64" s="630" t="s">
        <v>340</v>
      </c>
      <c r="O64" s="630" t="s">
        <v>341</v>
      </c>
    </row>
    <row r="65" spans="1:15" hidden="1" x14ac:dyDescent="0.25">
      <c r="A65" s="630" t="s">
        <v>336</v>
      </c>
      <c r="B65" s="629">
        <v>1.38</v>
      </c>
      <c r="C65" s="630"/>
      <c r="D65" s="630" t="s">
        <v>319</v>
      </c>
      <c r="E65" s="630" t="s">
        <v>319</v>
      </c>
      <c r="F65" s="630" t="s">
        <v>319</v>
      </c>
      <c r="G65" s="630" t="s">
        <v>324</v>
      </c>
      <c r="H65" s="601" t="s">
        <v>325</v>
      </c>
      <c r="I65" s="601" t="s">
        <v>375</v>
      </c>
      <c r="J65" s="630" t="s">
        <v>338</v>
      </c>
      <c r="K65" s="630" t="s">
        <v>339</v>
      </c>
      <c r="L65" s="630" t="s">
        <v>320</v>
      </c>
      <c r="M65" s="630" t="s">
        <v>321</v>
      </c>
      <c r="N65" s="630" t="s">
        <v>340</v>
      </c>
      <c r="O65" s="630" t="s">
        <v>341</v>
      </c>
    </row>
    <row r="66" spans="1:15" hidden="1" x14ac:dyDescent="0.25">
      <c r="A66" s="630" t="s">
        <v>336</v>
      </c>
      <c r="B66" s="629">
        <v>2.4</v>
      </c>
      <c r="C66" s="630"/>
      <c r="D66" s="630" t="s">
        <v>319</v>
      </c>
      <c r="E66" s="630" t="s">
        <v>319</v>
      </c>
      <c r="F66" s="630" t="s">
        <v>319</v>
      </c>
      <c r="G66" s="630" t="s">
        <v>324</v>
      </c>
      <c r="H66" s="601" t="s">
        <v>325</v>
      </c>
      <c r="I66" s="601" t="s">
        <v>376</v>
      </c>
      <c r="J66" s="630" t="s">
        <v>338</v>
      </c>
      <c r="K66" s="630" t="s">
        <v>339</v>
      </c>
      <c r="L66" s="630" t="s">
        <v>320</v>
      </c>
      <c r="M66" s="630" t="s">
        <v>321</v>
      </c>
      <c r="N66" s="630" t="s">
        <v>340</v>
      </c>
      <c r="O66" s="630" t="s">
        <v>341</v>
      </c>
    </row>
    <row r="67" spans="1:15" hidden="1" x14ac:dyDescent="0.25">
      <c r="A67" s="630" t="s">
        <v>336</v>
      </c>
      <c r="B67" s="629">
        <v>2.4</v>
      </c>
      <c r="C67" s="630"/>
      <c r="D67" s="630" t="s">
        <v>319</v>
      </c>
      <c r="E67" s="630" t="s">
        <v>319</v>
      </c>
      <c r="F67" s="630" t="s">
        <v>319</v>
      </c>
      <c r="G67" s="630" t="s">
        <v>324</v>
      </c>
      <c r="H67" s="601" t="s">
        <v>325</v>
      </c>
      <c r="I67" s="601" t="s">
        <v>377</v>
      </c>
      <c r="J67" s="630" t="s">
        <v>338</v>
      </c>
      <c r="K67" s="630" t="s">
        <v>339</v>
      </c>
      <c r="L67" s="630" t="s">
        <v>320</v>
      </c>
      <c r="M67" s="630" t="s">
        <v>321</v>
      </c>
      <c r="N67" s="630" t="s">
        <v>340</v>
      </c>
      <c r="O67" s="630" t="s">
        <v>341</v>
      </c>
    </row>
    <row r="68" spans="1:15" hidden="1" x14ac:dyDescent="0.25">
      <c r="A68" s="630" t="s">
        <v>336</v>
      </c>
      <c r="B68" s="629">
        <v>2.4</v>
      </c>
      <c r="C68" s="630"/>
      <c r="D68" s="630" t="s">
        <v>319</v>
      </c>
      <c r="E68" s="630" t="s">
        <v>319</v>
      </c>
      <c r="F68" s="630" t="s">
        <v>319</v>
      </c>
      <c r="G68" s="630" t="s">
        <v>324</v>
      </c>
      <c r="H68" s="601" t="s">
        <v>325</v>
      </c>
      <c r="I68" s="601" t="s">
        <v>378</v>
      </c>
      <c r="J68" s="630" t="s">
        <v>338</v>
      </c>
      <c r="K68" s="630" t="s">
        <v>339</v>
      </c>
      <c r="L68" s="630" t="s">
        <v>320</v>
      </c>
      <c r="M68" s="630" t="s">
        <v>321</v>
      </c>
      <c r="N68" s="630" t="s">
        <v>340</v>
      </c>
      <c r="O68" s="630" t="s">
        <v>341</v>
      </c>
    </row>
    <row r="69" spans="1:15" hidden="1" x14ac:dyDescent="0.25">
      <c r="A69" s="630" t="s">
        <v>336</v>
      </c>
      <c r="B69" s="629">
        <v>2.4</v>
      </c>
      <c r="C69" s="630"/>
      <c r="D69" s="630" t="s">
        <v>319</v>
      </c>
      <c r="E69" s="630" t="s">
        <v>319</v>
      </c>
      <c r="F69" s="630" t="s">
        <v>319</v>
      </c>
      <c r="G69" s="630" t="s">
        <v>324</v>
      </c>
      <c r="H69" s="601" t="s">
        <v>325</v>
      </c>
      <c r="I69" s="601" t="s">
        <v>379</v>
      </c>
      <c r="J69" s="630" t="s">
        <v>338</v>
      </c>
      <c r="K69" s="630" t="s">
        <v>339</v>
      </c>
      <c r="L69" s="630" t="s">
        <v>320</v>
      </c>
      <c r="M69" s="630" t="s">
        <v>321</v>
      </c>
      <c r="N69" s="630" t="s">
        <v>340</v>
      </c>
      <c r="O69" s="630" t="s">
        <v>341</v>
      </c>
    </row>
    <row r="70" spans="1:15" hidden="1" x14ac:dyDescent="0.25">
      <c r="A70" s="630" t="s">
        <v>336</v>
      </c>
      <c r="B70" s="629">
        <v>2.4</v>
      </c>
      <c r="C70" s="630"/>
      <c r="D70" s="630" t="s">
        <v>319</v>
      </c>
      <c r="E70" s="630" t="s">
        <v>319</v>
      </c>
      <c r="F70" s="630" t="s">
        <v>319</v>
      </c>
      <c r="G70" s="630" t="s">
        <v>324</v>
      </c>
      <c r="H70" s="601" t="s">
        <v>325</v>
      </c>
      <c r="I70" s="601" t="s">
        <v>380</v>
      </c>
      <c r="J70" s="630" t="s">
        <v>338</v>
      </c>
      <c r="K70" s="630" t="s">
        <v>339</v>
      </c>
      <c r="L70" s="630" t="s">
        <v>320</v>
      </c>
      <c r="M70" s="630" t="s">
        <v>321</v>
      </c>
      <c r="N70" s="630" t="s">
        <v>340</v>
      </c>
      <c r="O70" s="630" t="s">
        <v>341</v>
      </c>
    </row>
    <row r="71" spans="1:15" hidden="1" x14ac:dyDescent="0.25">
      <c r="A71" s="630" t="s">
        <v>336</v>
      </c>
      <c r="B71" s="629">
        <v>2.4</v>
      </c>
      <c r="C71" s="630"/>
      <c r="D71" s="630" t="s">
        <v>319</v>
      </c>
      <c r="E71" s="630" t="s">
        <v>319</v>
      </c>
      <c r="F71" s="630" t="s">
        <v>319</v>
      </c>
      <c r="G71" s="630" t="s">
        <v>324</v>
      </c>
      <c r="H71" s="601" t="s">
        <v>325</v>
      </c>
      <c r="I71" s="601" t="s">
        <v>381</v>
      </c>
      <c r="J71" s="630" t="s">
        <v>338</v>
      </c>
      <c r="K71" s="630" t="s">
        <v>339</v>
      </c>
      <c r="L71" s="630" t="s">
        <v>320</v>
      </c>
      <c r="M71" s="630" t="s">
        <v>321</v>
      </c>
      <c r="N71" s="630" t="s">
        <v>340</v>
      </c>
      <c r="O71" s="630" t="s">
        <v>341</v>
      </c>
    </row>
    <row r="72" spans="1:15" hidden="1" x14ac:dyDescent="0.25">
      <c r="A72" s="630" t="s">
        <v>336</v>
      </c>
      <c r="B72" s="629">
        <v>2.4</v>
      </c>
      <c r="C72" s="630"/>
      <c r="D72" s="630" t="s">
        <v>319</v>
      </c>
      <c r="E72" s="630" t="s">
        <v>319</v>
      </c>
      <c r="F72" s="630" t="s">
        <v>319</v>
      </c>
      <c r="G72" s="630" t="s">
        <v>324</v>
      </c>
      <c r="H72" s="601" t="s">
        <v>325</v>
      </c>
      <c r="I72" s="601" t="s">
        <v>382</v>
      </c>
      <c r="J72" s="630" t="s">
        <v>338</v>
      </c>
      <c r="K72" s="630" t="s">
        <v>339</v>
      </c>
      <c r="L72" s="630" t="s">
        <v>320</v>
      </c>
      <c r="M72" s="630" t="s">
        <v>321</v>
      </c>
      <c r="N72" s="630" t="s">
        <v>340</v>
      </c>
      <c r="O72" s="630" t="s">
        <v>341</v>
      </c>
    </row>
    <row r="73" spans="1:15" hidden="1" x14ac:dyDescent="0.25">
      <c r="A73" s="630" t="s">
        <v>336</v>
      </c>
      <c r="B73" s="629">
        <v>2.4</v>
      </c>
      <c r="C73" s="630"/>
      <c r="D73" s="630" t="s">
        <v>319</v>
      </c>
      <c r="E73" s="630" t="s">
        <v>319</v>
      </c>
      <c r="F73" s="630" t="s">
        <v>319</v>
      </c>
      <c r="G73" s="630" t="s">
        <v>324</v>
      </c>
      <c r="H73" s="601" t="s">
        <v>325</v>
      </c>
      <c r="I73" s="601" t="s">
        <v>383</v>
      </c>
      <c r="J73" s="630" t="s">
        <v>338</v>
      </c>
      <c r="K73" s="630" t="s">
        <v>339</v>
      </c>
      <c r="L73" s="630" t="s">
        <v>320</v>
      </c>
      <c r="M73" s="630" t="s">
        <v>321</v>
      </c>
      <c r="N73" s="630" t="s">
        <v>340</v>
      </c>
      <c r="O73" s="630" t="s">
        <v>341</v>
      </c>
    </row>
    <row r="74" spans="1:15" hidden="1" x14ac:dyDescent="0.25">
      <c r="A74" s="630" t="s">
        <v>336</v>
      </c>
      <c r="B74" s="629">
        <v>2.4</v>
      </c>
      <c r="C74" s="630"/>
      <c r="D74" s="630" t="s">
        <v>319</v>
      </c>
      <c r="E74" s="630" t="s">
        <v>319</v>
      </c>
      <c r="F74" s="630" t="s">
        <v>319</v>
      </c>
      <c r="G74" s="630" t="s">
        <v>324</v>
      </c>
      <c r="H74" s="601" t="s">
        <v>325</v>
      </c>
      <c r="I74" s="601" t="s">
        <v>384</v>
      </c>
      <c r="J74" s="630" t="s">
        <v>338</v>
      </c>
      <c r="K74" s="630" t="s">
        <v>339</v>
      </c>
      <c r="L74" s="630" t="s">
        <v>320</v>
      </c>
      <c r="M74" s="630" t="s">
        <v>321</v>
      </c>
      <c r="N74" s="630" t="s">
        <v>340</v>
      </c>
      <c r="O74" s="630" t="s">
        <v>341</v>
      </c>
    </row>
    <row r="75" spans="1:15" hidden="1" x14ac:dyDescent="0.25">
      <c r="A75" s="630" t="s">
        <v>336</v>
      </c>
      <c r="B75" s="629">
        <v>2.4</v>
      </c>
      <c r="C75" s="630"/>
      <c r="D75" s="630" t="s">
        <v>319</v>
      </c>
      <c r="E75" s="630" t="s">
        <v>319</v>
      </c>
      <c r="F75" s="630" t="s">
        <v>319</v>
      </c>
      <c r="G75" s="630" t="s">
        <v>324</v>
      </c>
      <c r="H75" s="601" t="s">
        <v>325</v>
      </c>
      <c r="I75" s="601" t="s">
        <v>385</v>
      </c>
      <c r="J75" s="630" t="s">
        <v>338</v>
      </c>
      <c r="K75" s="630" t="s">
        <v>339</v>
      </c>
      <c r="L75" s="630" t="s">
        <v>320</v>
      </c>
      <c r="M75" s="630" t="s">
        <v>321</v>
      </c>
      <c r="N75" s="630" t="s">
        <v>340</v>
      </c>
      <c r="O75" s="630" t="s">
        <v>341</v>
      </c>
    </row>
    <row r="76" spans="1:15" hidden="1" x14ac:dyDescent="0.25">
      <c r="A76" s="630" t="s">
        <v>336</v>
      </c>
      <c r="B76" s="629">
        <v>3</v>
      </c>
      <c r="C76" s="630"/>
      <c r="D76" s="630" t="s">
        <v>319</v>
      </c>
      <c r="E76" s="630" t="s">
        <v>319</v>
      </c>
      <c r="F76" s="630" t="s">
        <v>319</v>
      </c>
      <c r="G76" s="630" t="s">
        <v>324</v>
      </c>
      <c r="H76" s="601" t="s">
        <v>325</v>
      </c>
      <c r="I76" s="601" t="s">
        <v>386</v>
      </c>
      <c r="J76" s="630" t="s">
        <v>338</v>
      </c>
      <c r="K76" s="630" t="s">
        <v>339</v>
      </c>
      <c r="L76" s="630" t="s">
        <v>320</v>
      </c>
      <c r="M76" s="630" t="s">
        <v>321</v>
      </c>
      <c r="N76" s="630" t="s">
        <v>340</v>
      </c>
      <c r="O76" s="630" t="s">
        <v>341</v>
      </c>
    </row>
    <row r="77" spans="1:15" hidden="1" x14ac:dyDescent="0.25">
      <c r="A77" s="630" t="s">
        <v>336</v>
      </c>
      <c r="B77" s="629">
        <v>3</v>
      </c>
      <c r="C77" s="630"/>
      <c r="D77" s="630" t="s">
        <v>319</v>
      </c>
      <c r="E77" s="630" t="s">
        <v>319</v>
      </c>
      <c r="F77" s="630" t="s">
        <v>319</v>
      </c>
      <c r="G77" s="630" t="s">
        <v>324</v>
      </c>
      <c r="H77" s="601" t="s">
        <v>325</v>
      </c>
      <c r="I77" s="601" t="s">
        <v>387</v>
      </c>
      <c r="J77" s="630" t="s">
        <v>338</v>
      </c>
      <c r="K77" s="630" t="s">
        <v>339</v>
      </c>
      <c r="L77" s="630" t="s">
        <v>320</v>
      </c>
      <c r="M77" s="630" t="s">
        <v>321</v>
      </c>
      <c r="N77" s="630" t="s">
        <v>340</v>
      </c>
      <c r="O77" s="630" t="s">
        <v>341</v>
      </c>
    </row>
    <row r="78" spans="1:15" hidden="1" x14ac:dyDescent="0.25">
      <c r="A78" s="630" t="s">
        <v>336</v>
      </c>
      <c r="B78" s="629">
        <v>3</v>
      </c>
      <c r="C78" s="630"/>
      <c r="D78" s="630" t="s">
        <v>319</v>
      </c>
      <c r="E78" s="630" t="s">
        <v>319</v>
      </c>
      <c r="F78" s="630" t="s">
        <v>319</v>
      </c>
      <c r="G78" s="630" t="s">
        <v>324</v>
      </c>
      <c r="H78" s="601" t="s">
        <v>325</v>
      </c>
      <c r="I78" s="601" t="s">
        <v>388</v>
      </c>
      <c r="J78" s="630" t="s">
        <v>338</v>
      </c>
      <c r="K78" s="630" t="s">
        <v>339</v>
      </c>
      <c r="L78" s="630" t="s">
        <v>320</v>
      </c>
      <c r="M78" s="630" t="s">
        <v>321</v>
      </c>
      <c r="N78" s="630" t="s">
        <v>340</v>
      </c>
      <c r="O78" s="630" t="s">
        <v>341</v>
      </c>
    </row>
    <row r="79" spans="1:15" hidden="1" x14ac:dyDescent="0.25">
      <c r="A79" s="630" t="s">
        <v>336</v>
      </c>
      <c r="B79" s="629">
        <v>3</v>
      </c>
      <c r="C79" s="630"/>
      <c r="D79" s="630" t="s">
        <v>319</v>
      </c>
      <c r="E79" s="630" t="s">
        <v>319</v>
      </c>
      <c r="F79" s="630" t="s">
        <v>319</v>
      </c>
      <c r="G79" s="630" t="s">
        <v>324</v>
      </c>
      <c r="H79" s="601" t="s">
        <v>325</v>
      </c>
      <c r="I79" s="601" t="s">
        <v>389</v>
      </c>
      <c r="J79" s="630" t="s">
        <v>338</v>
      </c>
      <c r="K79" s="630" t="s">
        <v>339</v>
      </c>
      <c r="L79" s="630" t="s">
        <v>320</v>
      </c>
      <c r="M79" s="630" t="s">
        <v>321</v>
      </c>
      <c r="N79" s="630" t="s">
        <v>340</v>
      </c>
      <c r="O79" s="630" t="s">
        <v>341</v>
      </c>
    </row>
    <row r="80" spans="1:15" hidden="1" x14ac:dyDescent="0.25">
      <c r="A80" s="630" t="s">
        <v>336</v>
      </c>
      <c r="B80" s="629">
        <v>3</v>
      </c>
      <c r="C80" s="630"/>
      <c r="D80" s="630" t="s">
        <v>319</v>
      </c>
      <c r="E80" s="630" t="s">
        <v>319</v>
      </c>
      <c r="F80" s="630" t="s">
        <v>319</v>
      </c>
      <c r="G80" s="630" t="s">
        <v>324</v>
      </c>
      <c r="H80" s="601" t="s">
        <v>325</v>
      </c>
      <c r="I80" s="601" t="s">
        <v>390</v>
      </c>
      <c r="J80" s="630" t="s">
        <v>338</v>
      </c>
      <c r="K80" s="630" t="s">
        <v>339</v>
      </c>
      <c r="L80" s="630" t="s">
        <v>320</v>
      </c>
      <c r="M80" s="630" t="s">
        <v>321</v>
      </c>
      <c r="N80" s="630" t="s">
        <v>340</v>
      </c>
      <c r="O80" s="630" t="s">
        <v>341</v>
      </c>
    </row>
    <row r="81" spans="1:15" hidden="1" x14ac:dyDescent="0.25">
      <c r="A81" s="630" t="s">
        <v>336</v>
      </c>
      <c r="B81" s="629">
        <v>3</v>
      </c>
      <c r="C81" s="630"/>
      <c r="D81" s="630" t="s">
        <v>319</v>
      </c>
      <c r="E81" s="630" t="s">
        <v>319</v>
      </c>
      <c r="F81" s="630" t="s">
        <v>319</v>
      </c>
      <c r="G81" s="630" t="s">
        <v>324</v>
      </c>
      <c r="H81" s="601" t="s">
        <v>325</v>
      </c>
      <c r="I81" s="601" t="s">
        <v>391</v>
      </c>
      <c r="J81" s="630" t="s">
        <v>338</v>
      </c>
      <c r="K81" s="630" t="s">
        <v>339</v>
      </c>
      <c r="L81" s="630" t="s">
        <v>320</v>
      </c>
      <c r="M81" s="630" t="s">
        <v>321</v>
      </c>
      <c r="N81" s="630" t="s">
        <v>340</v>
      </c>
      <c r="O81" s="630" t="s">
        <v>341</v>
      </c>
    </row>
    <row r="82" spans="1:15" hidden="1" x14ac:dyDescent="0.25">
      <c r="A82" s="630" t="s">
        <v>336</v>
      </c>
      <c r="B82" s="629">
        <v>3</v>
      </c>
      <c r="C82" s="630"/>
      <c r="D82" s="630" t="s">
        <v>319</v>
      </c>
      <c r="E82" s="630" t="s">
        <v>319</v>
      </c>
      <c r="F82" s="630" t="s">
        <v>319</v>
      </c>
      <c r="G82" s="630" t="s">
        <v>324</v>
      </c>
      <c r="H82" s="601" t="s">
        <v>325</v>
      </c>
      <c r="I82" s="601" t="s">
        <v>392</v>
      </c>
      <c r="J82" s="630" t="s">
        <v>338</v>
      </c>
      <c r="K82" s="630" t="s">
        <v>339</v>
      </c>
      <c r="L82" s="630" t="s">
        <v>320</v>
      </c>
      <c r="M82" s="630" t="s">
        <v>321</v>
      </c>
      <c r="N82" s="630" t="s">
        <v>340</v>
      </c>
      <c r="O82" s="630" t="s">
        <v>341</v>
      </c>
    </row>
    <row r="83" spans="1:15" hidden="1" x14ac:dyDescent="0.25">
      <c r="A83" s="630" t="s">
        <v>336</v>
      </c>
      <c r="B83" s="629">
        <v>3</v>
      </c>
      <c r="C83" s="630"/>
      <c r="D83" s="630" t="s">
        <v>319</v>
      </c>
      <c r="E83" s="630" t="s">
        <v>319</v>
      </c>
      <c r="F83" s="630" t="s">
        <v>319</v>
      </c>
      <c r="G83" s="630" t="s">
        <v>324</v>
      </c>
      <c r="H83" s="601" t="s">
        <v>325</v>
      </c>
      <c r="I83" s="601" t="s">
        <v>393</v>
      </c>
      <c r="J83" s="630" t="s">
        <v>338</v>
      </c>
      <c r="K83" s="630" t="s">
        <v>339</v>
      </c>
      <c r="L83" s="630" t="s">
        <v>320</v>
      </c>
      <c r="M83" s="630" t="s">
        <v>321</v>
      </c>
      <c r="N83" s="630" t="s">
        <v>340</v>
      </c>
      <c r="O83" s="630" t="s">
        <v>341</v>
      </c>
    </row>
    <row r="84" spans="1:15" hidden="1" x14ac:dyDescent="0.25">
      <c r="A84" s="630" t="s">
        <v>336</v>
      </c>
      <c r="B84" s="629">
        <v>3</v>
      </c>
      <c r="C84" s="630"/>
      <c r="D84" s="630" t="s">
        <v>319</v>
      </c>
      <c r="E84" s="630" t="s">
        <v>319</v>
      </c>
      <c r="F84" s="630" t="s">
        <v>319</v>
      </c>
      <c r="G84" s="630" t="s">
        <v>324</v>
      </c>
      <c r="H84" s="601" t="s">
        <v>325</v>
      </c>
      <c r="I84" s="601" t="s">
        <v>394</v>
      </c>
      <c r="J84" s="630" t="s">
        <v>338</v>
      </c>
      <c r="K84" s="630" t="s">
        <v>339</v>
      </c>
      <c r="L84" s="630" t="s">
        <v>320</v>
      </c>
      <c r="M84" s="630" t="s">
        <v>321</v>
      </c>
      <c r="N84" s="630" t="s">
        <v>340</v>
      </c>
      <c r="O84" s="630" t="s">
        <v>341</v>
      </c>
    </row>
    <row r="85" spans="1:15" hidden="1" x14ac:dyDescent="0.25">
      <c r="A85" s="630" t="s">
        <v>336</v>
      </c>
      <c r="B85" s="629">
        <v>3</v>
      </c>
      <c r="C85" s="630"/>
      <c r="D85" s="630" t="s">
        <v>319</v>
      </c>
      <c r="E85" s="630" t="s">
        <v>319</v>
      </c>
      <c r="F85" s="630" t="s">
        <v>319</v>
      </c>
      <c r="G85" s="630" t="s">
        <v>324</v>
      </c>
      <c r="H85" s="601" t="s">
        <v>325</v>
      </c>
      <c r="I85" s="601" t="s">
        <v>395</v>
      </c>
      <c r="J85" s="630" t="s">
        <v>338</v>
      </c>
      <c r="K85" s="630" t="s">
        <v>339</v>
      </c>
      <c r="L85" s="630" t="s">
        <v>320</v>
      </c>
      <c r="M85" s="630" t="s">
        <v>321</v>
      </c>
      <c r="N85" s="630" t="s">
        <v>340</v>
      </c>
      <c r="O85" s="630" t="s">
        <v>341</v>
      </c>
    </row>
    <row r="86" spans="1:15" hidden="1" x14ac:dyDescent="0.25">
      <c r="A86" s="630" t="s">
        <v>336</v>
      </c>
      <c r="B86" s="629">
        <v>3</v>
      </c>
      <c r="C86" s="630"/>
      <c r="D86" s="630" t="s">
        <v>319</v>
      </c>
      <c r="E86" s="630" t="s">
        <v>319</v>
      </c>
      <c r="F86" s="630" t="s">
        <v>319</v>
      </c>
      <c r="G86" s="630" t="s">
        <v>324</v>
      </c>
      <c r="H86" s="601" t="s">
        <v>325</v>
      </c>
      <c r="I86" s="601" t="s">
        <v>396</v>
      </c>
      <c r="J86" s="630" t="s">
        <v>338</v>
      </c>
      <c r="K86" s="630" t="s">
        <v>339</v>
      </c>
      <c r="L86" s="630" t="s">
        <v>320</v>
      </c>
      <c r="M86" s="630" t="s">
        <v>321</v>
      </c>
      <c r="N86" s="630" t="s">
        <v>340</v>
      </c>
      <c r="O86" s="630" t="s">
        <v>341</v>
      </c>
    </row>
    <row r="87" spans="1:15" hidden="1" x14ac:dyDescent="0.25">
      <c r="A87" s="630" t="s">
        <v>336</v>
      </c>
      <c r="B87" s="629">
        <v>3</v>
      </c>
      <c r="C87" s="630"/>
      <c r="D87" s="630" t="s">
        <v>319</v>
      </c>
      <c r="E87" s="630" t="s">
        <v>319</v>
      </c>
      <c r="F87" s="630" t="s">
        <v>319</v>
      </c>
      <c r="G87" s="630" t="s">
        <v>324</v>
      </c>
      <c r="H87" s="601" t="s">
        <v>325</v>
      </c>
      <c r="I87" s="601" t="s">
        <v>397</v>
      </c>
      <c r="J87" s="630" t="s">
        <v>338</v>
      </c>
      <c r="K87" s="630" t="s">
        <v>339</v>
      </c>
      <c r="L87" s="630" t="s">
        <v>320</v>
      </c>
      <c r="M87" s="630" t="s">
        <v>321</v>
      </c>
      <c r="N87" s="630" t="s">
        <v>340</v>
      </c>
      <c r="O87" s="630" t="s">
        <v>341</v>
      </c>
    </row>
    <row r="88" spans="1:15" hidden="1" x14ac:dyDescent="0.25">
      <c r="A88" s="630" t="s">
        <v>336</v>
      </c>
      <c r="B88" s="629">
        <v>3</v>
      </c>
      <c r="C88" s="630"/>
      <c r="D88" s="630" t="s">
        <v>319</v>
      </c>
      <c r="E88" s="630" t="s">
        <v>319</v>
      </c>
      <c r="F88" s="630" t="s">
        <v>319</v>
      </c>
      <c r="G88" s="630" t="s">
        <v>324</v>
      </c>
      <c r="H88" s="601" t="s">
        <v>325</v>
      </c>
      <c r="I88" s="601" t="s">
        <v>398</v>
      </c>
      <c r="J88" s="630" t="s">
        <v>338</v>
      </c>
      <c r="K88" s="630" t="s">
        <v>339</v>
      </c>
      <c r="L88" s="630" t="s">
        <v>320</v>
      </c>
      <c r="M88" s="630" t="s">
        <v>321</v>
      </c>
      <c r="N88" s="630" t="s">
        <v>340</v>
      </c>
      <c r="O88" s="630" t="s">
        <v>341</v>
      </c>
    </row>
    <row r="89" spans="1:15" hidden="1" x14ac:dyDescent="0.25">
      <c r="A89" s="630" t="s">
        <v>336</v>
      </c>
      <c r="B89" s="629">
        <v>3</v>
      </c>
      <c r="C89" s="630"/>
      <c r="D89" s="630" t="s">
        <v>319</v>
      </c>
      <c r="E89" s="630" t="s">
        <v>319</v>
      </c>
      <c r="F89" s="630" t="s">
        <v>319</v>
      </c>
      <c r="G89" s="630" t="s">
        <v>324</v>
      </c>
      <c r="H89" s="601" t="s">
        <v>325</v>
      </c>
      <c r="I89" s="601" t="s">
        <v>399</v>
      </c>
      <c r="J89" s="630" t="s">
        <v>338</v>
      </c>
      <c r="K89" s="630" t="s">
        <v>339</v>
      </c>
      <c r="L89" s="630" t="s">
        <v>320</v>
      </c>
      <c r="M89" s="630" t="s">
        <v>321</v>
      </c>
      <c r="N89" s="630" t="s">
        <v>340</v>
      </c>
      <c r="O89" s="630" t="s">
        <v>341</v>
      </c>
    </row>
    <row r="90" spans="1:15" hidden="1" x14ac:dyDescent="0.25">
      <c r="A90" s="630" t="s">
        <v>336</v>
      </c>
      <c r="B90" s="629">
        <v>3</v>
      </c>
      <c r="C90" s="630"/>
      <c r="D90" s="630" t="s">
        <v>319</v>
      </c>
      <c r="E90" s="630" t="s">
        <v>319</v>
      </c>
      <c r="F90" s="630" t="s">
        <v>319</v>
      </c>
      <c r="G90" s="630" t="s">
        <v>324</v>
      </c>
      <c r="H90" s="601" t="s">
        <v>325</v>
      </c>
      <c r="I90" s="601" t="s">
        <v>400</v>
      </c>
      <c r="J90" s="630" t="s">
        <v>338</v>
      </c>
      <c r="K90" s="630" t="s">
        <v>339</v>
      </c>
      <c r="L90" s="630" t="s">
        <v>320</v>
      </c>
      <c r="M90" s="630" t="s">
        <v>321</v>
      </c>
      <c r="N90" s="630" t="s">
        <v>340</v>
      </c>
      <c r="O90" s="630" t="s">
        <v>341</v>
      </c>
    </row>
    <row r="91" spans="1:15" hidden="1" x14ac:dyDescent="0.25">
      <c r="A91" s="630" t="s">
        <v>336</v>
      </c>
      <c r="B91" s="629">
        <v>3</v>
      </c>
      <c r="C91" s="630"/>
      <c r="D91" s="630" t="s">
        <v>319</v>
      </c>
      <c r="E91" s="630" t="s">
        <v>319</v>
      </c>
      <c r="F91" s="630" t="s">
        <v>319</v>
      </c>
      <c r="G91" s="630" t="s">
        <v>324</v>
      </c>
      <c r="H91" s="601" t="s">
        <v>325</v>
      </c>
      <c r="I91" s="601" t="s">
        <v>401</v>
      </c>
      <c r="J91" s="630" t="s">
        <v>338</v>
      </c>
      <c r="K91" s="630" t="s">
        <v>339</v>
      </c>
      <c r="L91" s="630" t="s">
        <v>320</v>
      </c>
      <c r="M91" s="630" t="s">
        <v>321</v>
      </c>
      <c r="N91" s="630" t="s">
        <v>340</v>
      </c>
      <c r="O91" s="630" t="s">
        <v>341</v>
      </c>
    </row>
    <row r="92" spans="1:15" hidden="1" x14ac:dyDescent="0.25">
      <c r="A92" s="630" t="s">
        <v>336</v>
      </c>
      <c r="B92" s="629">
        <v>3</v>
      </c>
      <c r="C92" s="630"/>
      <c r="D92" s="630" t="s">
        <v>319</v>
      </c>
      <c r="E92" s="630" t="s">
        <v>319</v>
      </c>
      <c r="F92" s="630" t="s">
        <v>319</v>
      </c>
      <c r="G92" s="630" t="s">
        <v>324</v>
      </c>
      <c r="H92" s="601" t="s">
        <v>325</v>
      </c>
      <c r="I92" s="601" t="s">
        <v>402</v>
      </c>
      <c r="J92" s="630" t="s">
        <v>338</v>
      </c>
      <c r="K92" s="630" t="s">
        <v>339</v>
      </c>
      <c r="L92" s="630" t="s">
        <v>320</v>
      </c>
      <c r="M92" s="630" t="s">
        <v>321</v>
      </c>
      <c r="N92" s="630" t="s">
        <v>340</v>
      </c>
      <c r="O92" s="630" t="s">
        <v>341</v>
      </c>
    </row>
    <row r="93" spans="1:15" hidden="1" x14ac:dyDescent="0.25">
      <c r="A93" s="630" t="s">
        <v>336</v>
      </c>
      <c r="B93" s="629">
        <v>3</v>
      </c>
      <c r="C93" s="630"/>
      <c r="D93" s="630" t="s">
        <v>319</v>
      </c>
      <c r="E93" s="630" t="s">
        <v>319</v>
      </c>
      <c r="F93" s="630" t="s">
        <v>319</v>
      </c>
      <c r="G93" s="630" t="s">
        <v>324</v>
      </c>
      <c r="H93" s="601" t="s">
        <v>325</v>
      </c>
      <c r="I93" s="601" t="s">
        <v>403</v>
      </c>
      <c r="J93" s="630" t="s">
        <v>338</v>
      </c>
      <c r="K93" s="630" t="s">
        <v>339</v>
      </c>
      <c r="L93" s="630" t="s">
        <v>320</v>
      </c>
      <c r="M93" s="630" t="s">
        <v>321</v>
      </c>
      <c r="N93" s="630" t="s">
        <v>340</v>
      </c>
      <c r="O93" s="630" t="s">
        <v>341</v>
      </c>
    </row>
    <row r="94" spans="1:15" hidden="1" x14ac:dyDescent="0.25">
      <c r="A94" s="630" t="s">
        <v>336</v>
      </c>
      <c r="B94" s="629">
        <v>3</v>
      </c>
      <c r="C94" s="630"/>
      <c r="D94" s="630" t="s">
        <v>319</v>
      </c>
      <c r="E94" s="630" t="s">
        <v>319</v>
      </c>
      <c r="F94" s="630" t="s">
        <v>319</v>
      </c>
      <c r="G94" s="630" t="s">
        <v>324</v>
      </c>
      <c r="H94" s="601" t="s">
        <v>325</v>
      </c>
      <c r="I94" s="601" t="s">
        <v>404</v>
      </c>
      <c r="J94" s="630" t="s">
        <v>338</v>
      </c>
      <c r="K94" s="630" t="s">
        <v>339</v>
      </c>
      <c r="L94" s="630" t="s">
        <v>320</v>
      </c>
      <c r="M94" s="630" t="s">
        <v>321</v>
      </c>
      <c r="N94" s="630" t="s">
        <v>340</v>
      </c>
      <c r="O94" s="630" t="s">
        <v>341</v>
      </c>
    </row>
    <row r="95" spans="1:15" hidden="1" x14ac:dyDescent="0.25">
      <c r="A95" s="630" t="s">
        <v>336</v>
      </c>
      <c r="B95" s="629">
        <v>3</v>
      </c>
      <c r="C95" s="630"/>
      <c r="D95" s="630" t="s">
        <v>319</v>
      </c>
      <c r="E95" s="630" t="s">
        <v>319</v>
      </c>
      <c r="F95" s="630" t="s">
        <v>319</v>
      </c>
      <c r="G95" s="630" t="s">
        <v>324</v>
      </c>
      <c r="H95" s="601" t="s">
        <v>325</v>
      </c>
      <c r="I95" s="601" t="s">
        <v>405</v>
      </c>
      <c r="J95" s="630" t="s">
        <v>338</v>
      </c>
      <c r="K95" s="630" t="s">
        <v>339</v>
      </c>
      <c r="L95" s="630" t="s">
        <v>320</v>
      </c>
      <c r="M95" s="630" t="s">
        <v>321</v>
      </c>
      <c r="N95" s="630" t="s">
        <v>340</v>
      </c>
      <c r="O95" s="630" t="s">
        <v>341</v>
      </c>
    </row>
    <row r="96" spans="1:15" hidden="1" x14ac:dyDescent="0.25">
      <c r="A96" s="630" t="s">
        <v>336</v>
      </c>
      <c r="B96" s="629">
        <v>3</v>
      </c>
      <c r="C96" s="630"/>
      <c r="D96" s="630" t="s">
        <v>319</v>
      </c>
      <c r="E96" s="630" t="s">
        <v>319</v>
      </c>
      <c r="F96" s="630" t="s">
        <v>319</v>
      </c>
      <c r="G96" s="630" t="s">
        <v>324</v>
      </c>
      <c r="H96" s="601" t="s">
        <v>325</v>
      </c>
      <c r="I96" s="601" t="s">
        <v>406</v>
      </c>
      <c r="J96" s="630" t="s">
        <v>338</v>
      </c>
      <c r="K96" s="630" t="s">
        <v>339</v>
      </c>
      <c r="L96" s="630" t="s">
        <v>320</v>
      </c>
      <c r="M96" s="630" t="s">
        <v>321</v>
      </c>
      <c r="N96" s="630" t="s">
        <v>340</v>
      </c>
      <c r="O96" s="630" t="s">
        <v>341</v>
      </c>
    </row>
    <row r="97" spans="1:15" hidden="1" x14ac:dyDescent="0.25">
      <c r="A97" s="630" t="s">
        <v>336</v>
      </c>
      <c r="B97" s="629">
        <v>3</v>
      </c>
      <c r="C97" s="630"/>
      <c r="D97" s="630" t="s">
        <v>319</v>
      </c>
      <c r="E97" s="630" t="s">
        <v>319</v>
      </c>
      <c r="F97" s="630" t="s">
        <v>319</v>
      </c>
      <c r="G97" s="630" t="s">
        <v>324</v>
      </c>
      <c r="H97" s="601" t="s">
        <v>325</v>
      </c>
      <c r="I97" s="601" t="s">
        <v>407</v>
      </c>
      <c r="J97" s="630" t="s">
        <v>338</v>
      </c>
      <c r="K97" s="630" t="s">
        <v>339</v>
      </c>
      <c r="L97" s="630" t="s">
        <v>320</v>
      </c>
      <c r="M97" s="630" t="s">
        <v>321</v>
      </c>
      <c r="N97" s="630" t="s">
        <v>340</v>
      </c>
      <c r="O97" s="630" t="s">
        <v>341</v>
      </c>
    </row>
    <row r="98" spans="1:15" hidden="1" x14ac:dyDescent="0.25">
      <c r="A98" s="630" t="s">
        <v>336</v>
      </c>
      <c r="B98" s="629">
        <v>3</v>
      </c>
      <c r="C98" s="630"/>
      <c r="D98" s="630" t="s">
        <v>319</v>
      </c>
      <c r="E98" s="630" t="s">
        <v>319</v>
      </c>
      <c r="F98" s="630" t="s">
        <v>319</v>
      </c>
      <c r="G98" s="630" t="s">
        <v>324</v>
      </c>
      <c r="H98" s="601" t="s">
        <v>325</v>
      </c>
      <c r="I98" s="601" t="s">
        <v>408</v>
      </c>
      <c r="J98" s="630" t="s">
        <v>338</v>
      </c>
      <c r="K98" s="630" t="s">
        <v>339</v>
      </c>
      <c r="L98" s="630" t="s">
        <v>320</v>
      </c>
      <c r="M98" s="630" t="s">
        <v>321</v>
      </c>
      <c r="N98" s="630" t="s">
        <v>340</v>
      </c>
      <c r="O98" s="630" t="s">
        <v>341</v>
      </c>
    </row>
    <row r="99" spans="1:15" hidden="1" x14ac:dyDescent="0.25">
      <c r="A99" s="630" t="s">
        <v>336</v>
      </c>
      <c r="B99" s="629">
        <v>3</v>
      </c>
      <c r="C99" s="630"/>
      <c r="D99" s="630" t="s">
        <v>319</v>
      </c>
      <c r="E99" s="630" t="s">
        <v>319</v>
      </c>
      <c r="F99" s="630" t="s">
        <v>319</v>
      </c>
      <c r="G99" s="630" t="s">
        <v>324</v>
      </c>
      <c r="H99" s="601" t="s">
        <v>325</v>
      </c>
      <c r="I99" s="601" t="s">
        <v>409</v>
      </c>
      <c r="J99" s="630" t="s">
        <v>338</v>
      </c>
      <c r="K99" s="630" t="s">
        <v>339</v>
      </c>
      <c r="L99" s="630" t="s">
        <v>320</v>
      </c>
      <c r="M99" s="630" t="s">
        <v>321</v>
      </c>
      <c r="N99" s="630" t="s">
        <v>340</v>
      </c>
      <c r="O99" s="630" t="s">
        <v>341</v>
      </c>
    </row>
    <row r="100" spans="1:15" hidden="1" x14ac:dyDescent="0.25">
      <c r="A100" s="630" t="s">
        <v>336</v>
      </c>
      <c r="B100" s="629">
        <v>3</v>
      </c>
      <c r="C100" s="630"/>
      <c r="D100" s="630" t="s">
        <v>319</v>
      </c>
      <c r="E100" s="630" t="s">
        <v>319</v>
      </c>
      <c r="F100" s="630" t="s">
        <v>319</v>
      </c>
      <c r="G100" s="630" t="s">
        <v>324</v>
      </c>
      <c r="H100" s="601" t="s">
        <v>325</v>
      </c>
      <c r="I100" s="601" t="s">
        <v>410</v>
      </c>
      <c r="J100" s="630" t="s">
        <v>338</v>
      </c>
      <c r="K100" s="630" t="s">
        <v>339</v>
      </c>
      <c r="L100" s="630" t="s">
        <v>320</v>
      </c>
      <c r="M100" s="630" t="s">
        <v>321</v>
      </c>
      <c r="N100" s="630" t="s">
        <v>340</v>
      </c>
      <c r="O100" s="630" t="s">
        <v>341</v>
      </c>
    </row>
    <row r="101" spans="1:15" hidden="1" x14ac:dyDescent="0.25">
      <c r="A101" s="630" t="s">
        <v>336</v>
      </c>
      <c r="B101" s="629">
        <v>3</v>
      </c>
      <c r="C101" s="630"/>
      <c r="D101" s="630" t="s">
        <v>319</v>
      </c>
      <c r="E101" s="630" t="s">
        <v>319</v>
      </c>
      <c r="F101" s="630" t="s">
        <v>319</v>
      </c>
      <c r="G101" s="630" t="s">
        <v>324</v>
      </c>
      <c r="H101" s="601" t="s">
        <v>325</v>
      </c>
      <c r="I101" s="601" t="s">
        <v>411</v>
      </c>
      <c r="J101" s="630" t="s">
        <v>338</v>
      </c>
      <c r="K101" s="630" t="s">
        <v>339</v>
      </c>
      <c r="L101" s="630" t="s">
        <v>320</v>
      </c>
      <c r="M101" s="630" t="s">
        <v>321</v>
      </c>
      <c r="N101" s="630" t="s">
        <v>340</v>
      </c>
      <c r="O101" s="630" t="s">
        <v>341</v>
      </c>
    </row>
    <row r="102" spans="1:15" hidden="1" x14ac:dyDescent="0.25">
      <c r="A102" s="630" t="s">
        <v>336</v>
      </c>
      <c r="B102" s="629">
        <v>3</v>
      </c>
      <c r="C102" s="630"/>
      <c r="D102" s="630" t="s">
        <v>319</v>
      </c>
      <c r="E102" s="630" t="s">
        <v>319</v>
      </c>
      <c r="F102" s="630" t="s">
        <v>319</v>
      </c>
      <c r="G102" s="630" t="s">
        <v>324</v>
      </c>
      <c r="H102" s="601" t="s">
        <v>325</v>
      </c>
      <c r="I102" s="601" t="s">
        <v>412</v>
      </c>
      <c r="J102" s="630" t="s">
        <v>338</v>
      </c>
      <c r="K102" s="630" t="s">
        <v>339</v>
      </c>
      <c r="L102" s="630" t="s">
        <v>320</v>
      </c>
      <c r="M102" s="630" t="s">
        <v>321</v>
      </c>
      <c r="N102" s="630" t="s">
        <v>340</v>
      </c>
      <c r="O102" s="630" t="s">
        <v>341</v>
      </c>
    </row>
    <row r="103" spans="1:15" hidden="1" x14ac:dyDescent="0.25">
      <c r="A103" s="630" t="s">
        <v>336</v>
      </c>
      <c r="B103" s="629">
        <v>3</v>
      </c>
      <c r="C103" s="630"/>
      <c r="D103" s="630" t="s">
        <v>319</v>
      </c>
      <c r="E103" s="630" t="s">
        <v>319</v>
      </c>
      <c r="F103" s="630" t="s">
        <v>319</v>
      </c>
      <c r="G103" s="630" t="s">
        <v>324</v>
      </c>
      <c r="H103" s="601" t="s">
        <v>325</v>
      </c>
      <c r="I103" s="601" t="s">
        <v>413</v>
      </c>
      <c r="J103" s="630" t="s">
        <v>338</v>
      </c>
      <c r="K103" s="630" t="s">
        <v>339</v>
      </c>
      <c r="L103" s="630" t="s">
        <v>320</v>
      </c>
      <c r="M103" s="630" t="s">
        <v>321</v>
      </c>
      <c r="N103" s="630" t="s">
        <v>340</v>
      </c>
      <c r="O103" s="630" t="s">
        <v>341</v>
      </c>
    </row>
    <row r="104" spans="1:15" hidden="1" x14ac:dyDescent="0.25">
      <c r="A104" s="630" t="s">
        <v>336</v>
      </c>
      <c r="B104" s="629">
        <v>3</v>
      </c>
      <c r="C104" s="630"/>
      <c r="D104" s="630" t="s">
        <v>319</v>
      </c>
      <c r="E104" s="630" t="s">
        <v>319</v>
      </c>
      <c r="F104" s="630" t="s">
        <v>319</v>
      </c>
      <c r="G104" s="630" t="s">
        <v>324</v>
      </c>
      <c r="H104" s="601" t="s">
        <v>325</v>
      </c>
      <c r="I104" s="601" t="s">
        <v>414</v>
      </c>
      <c r="J104" s="630" t="s">
        <v>338</v>
      </c>
      <c r="K104" s="630" t="s">
        <v>339</v>
      </c>
      <c r="L104" s="630" t="s">
        <v>320</v>
      </c>
      <c r="M104" s="630" t="s">
        <v>321</v>
      </c>
      <c r="N104" s="630" t="s">
        <v>340</v>
      </c>
      <c r="O104" s="630" t="s">
        <v>341</v>
      </c>
    </row>
    <row r="105" spans="1:15" hidden="1" x14ac:dyDescent="0.25">
      <c r="A105" s="630" t="s">
        <v>336</v>
      </c>
      <c r="B105" s="629">
        <v>3</v>
      </c>
      <c r="C105" s="630"/>
      <c r="D105" s="630" t="s">
        <v>319</v>
      </c>
      <c r="E105" s="630" t="s">
        <v>319</v>
      </c>
      <c r="F105" s="630" t="s">
        <v>319</v>
      </c>
      <c r="G105" s="630" t="s">
        <v>324</v>
      </c>
      <c r="H105" s="601" t="s">
        <v>325</v>
      </c>
      <c r="I105" s="601" t="s">
        <v>415</v>
      </c>
      <c r="J105" s="630" t="s">
        <v>338</v>
      </c>
      <c r="K105" s="630" t="s">
        <v>339</v>
      </c>
      <c r="L105" s="630" t="s">
        <v>320</v>
      </c>
      <c r="M105" s="630" t="s">
        <v>321</v>
      </c>
      <c r="N105" s="630" t="s">
        <v>340</v>
      </c>
      <c r="O105" s="630" t="s">
        <v>341</v>
      </c>
    </row>
    <row r="106" spans="1:15" hidden="1" x14ac:dyDescent="0.25">
      <c r="A106" s="630" t="s">
        <v>336</v>
      </c>
      <c r="B106" s="629">
        <v>3</v>
      </c>
      <c r="C106" s="630"/>
      <c r="D106" s="630" t="s">
        <v>319</v>
      </c>
      <c r="E106" s="630" t="s">
        <v>319</v>
      </c>
      <c r="F106" s="630" t="s">
        <v>319</v>
      </c>
      <c r="G106" s="630" t="s">
        <v>324</v>
      </c>
      <c r="H106" s="601" t="s">
        <v>325</v>
      </c>
      <c r="I106" s="601" t="s">
        <v>416</v>
      </c>
      <c r="J106" s="630" t="s">
        <v>338</v>
      </c>
      <c r="K106" s="630" t="s">
        <v>339</v>
      </c>
      <c r="L106" s="630" t="s">
        <v>320</v>
      </c>
      <c r="M106" s="630" t="s">
        <v>321</v>
      </c>
      <c r="N106" s="630" t="s">
        <v>340</v>
      </c>
      <c r="O106" s="630" t="s">
        <v>341</v>
      </c>
    </row>
    <row r="107" spans="1:15" hidden="1" x14ac:dyDescent="0.25">
      <c r="A107" s="630" t="s">
        <v>336</v>
      </c>
      <c r="B107" s="629">
        <v>0.85</v>
      </c>
      <c r="C107" s="630"/>
      <c r="D107" s="630" t="s">
        <v>319</v>
      </c>
      <c r="E107" s="630" t="s">
        <v>319</v>
      </c>
      <c r="F107" s="630" t="s">
        <v>319</v>
      </c>
      <c r="G107" s="630" t="s">
        <v>324</v>
      </c>
      <c r="H107" s="601" t="s">
        <v>325</v>
      </c>
      <c r="I107" s="601" t="s">
        <v>337</v>
      </c>
      <c r="J107" s="630" t="s">
        <v>338</v>
      </c>
      <c r="K107" s="630" t="s">
        <v>339</v>
      </c>
      <c r="L107" s="630" t="b">
        <v>0</v>
      </c>
      <c r="M107" s="630" t="s">
        <v>321</v>
      </c>
      <c r="N107" s="630" t="s">
        <v>340</v>
      </c>
      <c r="O107" s="630" t="s">
        <v>341</v>
      </c>
    </row>
    <row r="108" spans="1:15" hidden="1" x14ac:dyDescent="0.25">
      <c r="A108" s="630" t="s">
        <v>336</v>
      </c>
      <c r="B108" s="629">
        <v>0.85</v>
      </c>
      <c r="C108" s="630"/>
      <c r="D108" s="630" t="s">
        <v>319</v>
      </c>
      <c r="E108" s="630" t="s">
        <v>319</v>
      </c>
      <c r="F108" s="630" t="s">
        <v>319</v>
      </c>
      <c r="G108" s="630" t="s">
        <v>324</v>
      </c>
      <c r="H108" s="601" t="s">
        <v>325</v>
      </c>
      <c r="I108" s="601" t="s">
        <v>342</v>
      </c>
      <c r="J108" s="630" t="s">
        <v>338</v>
      </c>
      <c r="K108" s="630" t="s">
        <v>339</v>
      </c>
      <c r="L108" s="630" t="b">
        <v>0</v>
      </c>
      <c r="M108" s="630" t="s">
        <v>321</v>
      </c>
      <c r="N108" s="630" t="s">
        <v>340</v>
      </c>
      <c r="O108" s="630" t="s">
        <v>341</v>
      </c>
    </row>
    <row r="109" spans="1:15" hidden="1" x14ac:dyDescent="0.25">
      <c r="A109" s="630" t="s">
        <v>336</v>
      </c>
      <c r="B109" s="629">
        <v>0.85</v>
      </c>
      <c r="C109" s="630"/>
      <c r="D109" s="630" t="s">
        <v>319</v>
      </c>
      <c r="E109" s="630" t="s">
        <v>319</v>
      </c>
      <c r="F109" s="630" t="s">
        <v>319</v>
      </c>
      <c r="G109" s="630" t="s">
        <v>324</v>
      </c>
      <c r="H109" s="601" t="s">
        <v>325</v>
      </c>
      <c r="I109" s="601" t="s">
        <v>343</v>
      </c>
      <c r="J109" s="630" t="s">
        <v>338</v>
      </c>
      <c r="K109" s="630" t="s">
        <v>339</v>
      </c>
      <c r="L109" s="630" t="b">
        <v>0</v>
      </c>
      <c r="M109" s="630" t="s">
        <v>321</v>
      </c>
      <c r="N109" s="630" t="s">
        <v>340</v>
      </c>
      <c r="O109" s="630" t="s">
        <v>341</v>
      </c>
    </row>
    <row r="110" spans="1:15" hidden="1" x14ac:dyDescent="0.25">
      <c r="A110" s="630" t="s">
        <v>336</v>
      </c>
      <c r="B110" s="629">
        <v>0.85</v>
      </c>
      <c r="C110" s="630"/>
      <c r="D110" s="630" t="s">
        <v>319</v>
      </c>
      <c r="E110" s="630" t="s">
        <v>319</v>
      </c>
      <c r="F110" s="630" t="s">
        <v>319</v>
      </c>
      <c r="G110" s="630" t="s">
        <v>324</v>
      </c>
      <c r="H110" s="601" t="s">
        <v>325</v>
      </c>
      <c r="I110" s="601" t="s">
        <v>344</v>
      </c>
      <c r="J110" s="630" t="s">
        <v>338</v>
      </c>
      <c r="K110" s="630" t="s">
        <v>339</v>
      </c>
      <c r="L110" s="630" t="b">
        <v>0</v>
      </c>
      <c r="M110" s="630" t="s">
        <v>321</v>
      </c>
      <c r="N110" s="630" t="s">
        <v>340</v>
      </c>
      <c r="O110" s="630" t="s">
        <v>341</v>
      </c>
    </row>
    <row r="111" spans="1:15" hidden="1" x14ac:dyDescent="0.25">
      <c r="A111" s="630" t="s">
        <v>336</v>
      </c>
      <c r="B111" s="629">
        <v>0.85</v>
      </c>
      <c r="C111" s="630"/>
      <c r="D111" s="630" t="s">
        <v>319</v>
      </c>
      <c r="E111" s="630" t="s">
        <v>319</v>
      </c>
      <c r="F111" s="630" t="s">
        <v>319</v>
      </c>
      <c r="G111" s="630" t="s">
        <v>324</v>
      </c>
      <c r="H111" s="601" t="s">
        <v>325</v>
      </c>
      <c r="I111" s="601" t="s">
        <v>345</v>
      </c>
      <c r="J111" s="630" t="s">
        <v>338</v>
      </c>
      <c r="K111" s="630" t="s">
        <v>339</v>
      </c>
      <c r="L111" s="630" t="b">
        <v>0</v>
      </c>
      <c r="M111" s="630" t="s">
        <v>321</v>
      </c>
      <c r="N111" s="630" t="s">
        <v>340</v>
      </c>
      <c r="O111" s="630" t="s">
        <v>341</v>
      </c>
    </row>
    <row r="112" spans="1:15" hidden="1" x14ac:dyDescent="0.25">
      <c r="A112" s="630" t="s">
        <v>336</v>
      </c>
      <c r="B112" s="629">
        <v>0.9</v>
      </c>
      <c r="C112" s="630"/>
      <c r="D112" s="630" t="s">
        <v>319</v>
      </c>
      <c r="E112" s="630" t="s">
        <v>319</v>
      </c>
      <c r="F112" s="630" t="s">
        <v>319</v>
      </c>
      <c r="G112" s="630" t="s">
        <v>324</v>
      </c>
      <c r="H112" s="601" t="s">
        <v>325</v>
      </c>
      <c r="I112" s="601" t="s">
        <v>346</v>
      </c>
      <c r="J112" s="630" t="s">
        <v>338</v>
      </c>
      <c r="K112" s="630" t="s">
        <v>339</v>
      </c>
      <c r="L112" s="630" t="b">
        <v>0</v>
      </c>
      <c r="M112" s="630" t="s">
        <v>321</v>
      </c>
      <c r="N112" s="630" t="s">
        <v>340</v>
      </c>
      <c r="O112" s="630" t="s">
        <v>341</v>
      </c>
    </row>
    <row r="113" spans="1:15" hidden="1" x14ac:dyDescent="0.25">
      <c r="A113" s="630" t="s">
        <v>336</v>
      </c>
      <c r="B113" s="629">
        <v>0.9</v>
      </c>
      <c r="C113" s="630"/>
      <c r="D113" s="630" t="s">
        <v>319</v>
      </c>
      <c r="E113" s="630" t="s">
        <v>319</v>
      </c>
      <c r="F113" s="630" t="s">
        <v>319</v>
      </c>
      <c r="G113" s="630" t="s">
        <v>324</v>
      </c>
      <c r="H113" s="601" t="s">
        <v>325</v>
      </c>
      <c r="I113" s="601" t="s">
        <v>347</v>
      </c>
      <c r="J113" s="630" t="s">
        <v>338</v>
      </c>
      <c r="K113" s="630" t="s">
        <v>339</v>
      </c>
      <c r="L113" s="630" t="b">
        <v>0</v>
      </c>
      <c r="M113" s="630" t="s">
        <v>321</v>
      </c>
      <c r="N113" s="630" t="s">
        <v>340</v>
      </c>
      <c r="O113" s="630" t="s">
        <v>341</v>
      </c>
    </row>
    <row r="114" spans="1:15" hidden="1" x14ac:dyDescent="0.25">
      <c r="A114" s="630" t="s">
        <v>336</v>
      </c>
      <c r="B114" s="629">
        <v>0.9</v>
      </c>
      <c r="C114" s="630"/>
      <c r="D114" s="630" t="s">
        <v>319</v>
      </c>
      <c r="E114" s="630" t="s">
        <v>319</v>
      </c>
      <c r="F114" s="630" t="s">
        <v>319</v>
      </c>
      <c r="G114" s="630" t="s">
        <v>324</v>
      </c>
      <c r="H114" s="601" t="s">
        <v>325</v>
      </c>
      <c r="I114" s="601" t="s">
        <v>348</v>
      </c>
      <c r="J114" s="630" t="s">
        <v>338</v>
      </c>
      <c r="K114" s="630" t="s">
        <v>339</v>
      </c>
      <c r="L114" s="630" t="b">
        <v>0</v>
      </c>
      <c r="M114" s="630" t="s">
        <v>321</v>
      </c>
      <c r="N114" s="630" t="s">
        <v>340</v>
      </c>
      <c r="O114" s="630" t="s">
        <v>341</v>
      </c>
    </row>
    <row r="115" spans="1:15" hidden="1" x14ac:dyDescent="0.25">
      <c r="A115" s="630" t="s">
        <v>336</v>
      </c>
      <c r="B115" s="629">
        <v>0.9</v>
      </c>
      <c r="C115" s="630"/>
      <c r="D115" s="630" t="s">
        <v>319</v>
      </c>
      <c r="E115" s="630" t="s">
        <v>319</v>
      </c>
      <c r="F115" s="630" t="s">
        <v>319</v>
      </c>
      <c r="G115" s="630" t="s">
        <v>324</v>
      </c>
      <c r="H115" s="601" t="s">
        <v>325</v>
      </c>
      <c r="I115" s="601" t="s">
        <v>349</v>
      </c>
      <c r="J115" s="630" t="s">
        <v>338</v>
      </c>
      <c r="K115" s="630" t="s">
        <v>339</v>
      </c>
      <c r="L115" s="630" t="b">
        <v>0</v>
      </c>
      <c r="M115" s="630" t="s">
        <v>321</v>
      </c>
      <c r="N115" s="630" t="s">
        <v>340</v>
      </c>
      <c r="O115" s="630" t="s">
        <v>341</v>
      </c>
    </row>
    <row r="116" spans="1:15" hidden="1" x14ac:dyDescent="0.25">
      <c r="A116" s="630" t="s">
        <v>336</v>
      </c>
      <c r="B116" s="629">
        <v>0.9</v>
      </c>
      <c r="C116" s="630"/>
      <c r="D116" s="630" t="s">
        <v>319</v>
      </c>
      <c r="E116" s="630" t="s">
        <v>319</v>
      </c>
      <c r="F116" s="630" t="s">
        <v>319</v>
      </c>
      <c r="G116" s="630" t="s">
        <v>324</v>
      </c>
      <c r="H116" s="601" t="s">
        <v>325</v>
      </c>
      <c r="I116" s="601" t="s">
        <v>350</v>
      </c>
      <c r="J116" s="630" t="s">
        <v>338</v>
      </c>
      <c r="K116" s="630" t="s">
        <v>339</v>
      </c>
      <c r="L116" s="630" t="b">
        <v>0</v>
      </c>
      <c r="M116" s="630" t="s">
        <v>321</v>
      </c>
      <c r="N116" s="630" t="s">
        <v>340</v>
      </c>
      <c r="O116" s="630" t="s">
        <v>341</v>
      </c>
    </row>
    <row r="117" spans="1:15" hidden="1" x14ac:dyDescent="0.25">
      <c r="A117" s="630" t="s">
        <v>336</v>
      </c>
      <c r="B117" s="629">
        <v>0.9</v>
      </c>
      <c r="C117" s="630"/>
      <c r="D117" s="630" t="s">
        <v>319</v>
      </c>
      <c r="E117" s="630" t="s">
        <v>319</v>
      </c>
      <c r="F117" s="630" t="s">
        <v>319</v>
      </c>
      <c r="G117" s="630" t="s">
        <v>324</v>
      </c>
      <c r="H117" s="601" t="s">
        <v>325</v>
      </c>
      <c r="I117" s="601" t="s">
        <v>351</v>
      </c>
      <c r="J117" s="630" t="s">
        <v>338</v>
      </c>
      <c r="K117" s="630" t="s">
        <v>339</v>
      </c>
      <c r="L117" s="630" t="b">
        <v>0</v>
      </c>
      <c r="M117" s="630" t="s">
        <v>321</v>
      </c>
      <c r="N117" s="630" t="s">
        <v>340</v>
      </c>
      <c r="O117" s="630" t="s">
        <v>341</v>
      </c>
    </row>
    <row r="118" spans="1:15" hidden="1" x14ac:dyDescent="0.25">
      <c r="A118" s="630" t="s">
        <v>336</v>
      </c>
      <c r="B118" s="629">
        <v>0.9</v>
      </c>
      <c r="C118" s="630"/>
      <c r="D118" s="630" t="s">
        <v>319</v>
      </c>
      <c r="E118" s="630" t="s">
        <v>319</v>
      </c>
      <c r="F118" s="630" t="s">
        <v>319</v>
      </c>
      <c r="G118" s="630" t="s">
        <v>324</v>
      </c>
      <c r="H118" s="601" t="s">
        <v>325</v>
      </c>
      <c r="I118" s="601" t="s">
        <v>352</v>
      </c>
      <c r="J118" s="630" t="s">
        <v>338</v>
      </c>
      <c r="K118" s="630" t="s">
        <v>339</v>
      </c>
      <c r="L118" s="630" t="b">
        <v>0</v>
      </c>
      <c r="M118" s="630" t="s">
        <v>321</v>
      </c>
      <c r="N118" s="630" t="s">
        <v>340</v>
      </c>
      <c r="O118" s="630" t="s">
        <v>341</v>
      </c>
    </row>
    <row r="119" spans="1:15" hidden="1" x14ac:dyDescent="0.25">
      <c r="A119" s="630" t="s">
        <v>336</v>
      </c>
      <c r="B119" s="629">
        <v>0.9</v>
      </c>
      <c r="C119" s="630"/>
      <c r="D119" s="630" t="s">
        <v>319</v>
      </c>
      <c r="E119" s="630" t="s">
        <v>319</v>
      </c>
      <c r="F119" s="630" t="s">
        <v>319</v>
      </c>
      <c r="G119" s="630" t="s">
        <v>324</v>
      </c>
      <c r="H119" s="601" t="s">
        <v>325</v>
      </c>
      <c r="I119" s="601" t="s">
        <v>353</v>
      </c>
      <c r="J119" s="630" t="s">
        <v>338</v>
      </c>
      <c r="K119" s="630" t="s">
        <v>339</v>
      </c>
      <c r="L119" s="630" t="b">
        <v>0</v>
      </c>
      <c r="M119" s="630" t="s">
        <v>321</v>
      </c>
      <c r="N119" s="630" t="s">
        <v>340</v>
      </c>
      <c r="O119" s="630" t="s">
        <v>341</v>
      </c>
    </row>
    <row r="120" spans="1:15" hidden="1" x14ac:dyDescent="0.25">
      <c r="A120" s="630" t="s">
        <v>336</v>
      </c>
      <c r="B120" s="629">
        <v>0.9</v>
      </c>
      <c r="C120" s="630"/>
      <c r="D120" s="630" t="s">
        <v>319</v>
      </c>
      <c r="E120" s="630" t="s">
        <v>319</v>
      </c>
      <c r="F120" s="630" t="s">
        <v>319</v>
      </c>
      <c r="G120" s="630" t="s">
        <v>324</v>
      </c>
      <c r="H120" s="601" t="s">
        <v>325</v>
      </c>
      <c r="I120" s="601" t="s">
        <v>354</v>
      </c>
      <c r="J120" s="630" t="s">
        <v>338</v>
      </c>
      <c r="K120" s="630" t="s">
        <v>339</v>
      </c>
      <c r="L120" s="630" t="b">
        <v>0</v>
      </c>
      <c r="M120" s="630" t="s">
        <v>321</v>
      </c>
      <c r="N120" s="630" t="s">
        <v>340</v>
      </c>
      <c r="O120" s="630" t="s">
        <v>341</v>
      </c>
    </row>
    <row r="121" spans="1:15" hidden="1" x14ac:dyDescent="0.25">
      <c r="A121" s="630" t="s">
        <v>336</v>
      </c>
      <c r="B121" s="629">
        <v>0.9</v>
      </c>
      <c r="C121" s="630"/>
      <c r="D121" s="630" t="s">
        <v>319</v>
      </c>
      <c r="E121" s="630" t="s">
        <v>319</v>
      </c>
      <c r="F121" s="630" t="s">
        <v>319</v>
      </c>
      <c r="G121" s="630" t="s">
        <v>324</v>
      </c>
      <c r="H121" s="601" t="s">
        <v>325</v>
      </c>
      <c r="I121" s="601" t="s">
        <v>355</v>
      </c>
      <c r="J121" s="630" t="s">
        <v>338</v>
      </c>
      <c r="K121" s="630" t="s">
        <v>339</v>
      </c>
      <c r="L121" s="630" t="b">
        <v>0</v>
      </c>
      <c r="M121" s="630" t="s">
        <v>321</v>
      </c>
      <c r="N121" s="630" t="s">
        <v>340</v>
      </c>
      <c r="O121" s="630" t="s">
        <v>341</v>
      </c>
    </row>
    <row r="122" spans="1:15" hidden="1" x14ac:dyDescent="0.25">
      <c r="A122" s="630" t="s">
        <v>336</v>
      </c>
      <c r="B122" s="629">
        <v>1</v>
      </c>
      <c r="C122" s="630"/>
      <c r="D122" s="630" t="s">
        <v>319</v>
      </c>
      <c r="E122" s="630" t="s">
        <v>319</v>
      </c>
      <c r="F122" s="630" t="s">
        <v>319</v>
      </c>
      <c r="G122" s="630" t="s">
        <v>324</v>
      </c>
      <c r="H122" s="601" t="s">
        <v>325</v>
      </c>
      <c r="I122" s="601" t="s">
        <v>356</v>
      </c>
      <c r="J122" s="630" t="s">
        <v>338</v>
      </c>
      <c r="K122" s="630" t="s">
        <v>339</v>
      </c>
      <c r="L122" s="630" t="b">
        <v>0</v>
      </c>
      <c r="M122" s="630" t="s">
        <v>321</v>
      </c>
      <c r="N122" s="630" t="s">
        <v>340</v>
      </c>
      <c r="O122" s="630" t="s">
        <v>341</v>
      </c>
    </row>
    <row r="123" spans="1:15" hidden="1" x14ac:dyDescent="0.25">
      <c r="A123" s="630" t="s">
        <v>336</v>
      </c>
      <c r="B123" s="629">
        <v>1</v>
      </c>
      <c r="C123" s="630"/>
      <c r="D123" s="630" t="s">
        <v>319</v>
      </c>
      <c r="E123" s="630" t="s">
        <v>319</v>
      </c>
      <c r="F123" s="630" t="s">
        <v>319</v>
      </c>
      <c r="G123" s="630" t="s">
        <v>324</v>
      </c>
      <c r="H123" s="601" t="s">
        <v>325</v>
      </c>
      <c r="I123" s="601" t="s">
        <v>357</v>
      </c>
      <c r="J123" s="630" t="s">
        <v>338</v>
      </c>
      <c r="K123" s="630" t="s">
        <v>339</v>
      </c>
      <c r="L123" s="630" t="b">
        <v>0</v>
      </c>
      <c r="M123" s="630" t="s">
        <v>321</v>
      </c>
      <c r="N123" s="630" t="s">
        <v>340</v>
      </c>
      <c r="O123" s="630" t="s">
        <v>341</v>
      </c>
    </row>
    <row r="124" spans="1:15" hidden="1" x14ac:dyDescent="0.25">
      <c r="A124" s="630" t="s">
        <v>336</v>
      </c>
      <c r="B124" s="629">
        <v>1</v>
      </c>
      <c r="C124" s="630"/>
      <c r="D124" s="630" t="s">
        <v>319</v>
      </c>
      <c r="E124" s="630" t="s">
        <v>319</v>
      </c>
      <c r="F124" s="630" t="s">
        <v>319</v>
      </c>
      <c r="G124" s="630" t="s">
        <v>324</v>
      </c>
      <c r="H124" s="601" t="s">
        <v>325</v>
      </c>
      <c r="I124" s="601" t="s">
        <v>358</v>
      </c>
      <c r="J124" s="630" t="s">
        <v>338</v>
      </c>
      <c r="K124" s="630" t="s">
        <v>339</v>
      </c>
      <c r="L124" s="630" t="b">
        <v>0</v>
      </c>
      <c r="M124" s="630" t="s">
        <v>321</v>
      </c>
      <c r="N124" s="630" t="s">
        <v>340</v>
      </c>
      <c r="O124" s="630" t="s">
        <v>341</v>
      </c>
    </row>
    <row r="125" spans="1:15" hidden="1" x14ac:dyDescent="0.25">
      <c r="A125" s="630" t="s">
        <v>336</v>
      </c>
      <c r="B125" s="629">
        <v>1</v>
      </c>
      <c r="C125" s="630"/>
      <c r="D125" s="630" t="s">
        <v>319</v>
      </c>
      <c r="E125" s="630" t="s">
        <v>319</v>
      </c>
      <c r="F125" s="630" t="s">
        <v>319</v>
      </c>
      <c r="G125" s="630" t="s">
        <v>324</v>
      </c>
      <c r="H125" s="601" t="s">
        <v>325</v>
      </c>
      <c r="I125" s="601" t="s">
        <v>359</v>
      </c>
      <c r="J125" s="630" t="s">
        <v>338</v>
      </c>
      <c r="K125" s="630" t="s">
        <v>339</v>
      </c>
      <c r="L125" s="630" t="b">
        <v>0</v>
      </c>
      <c r="M125" s="630" t="s">
        <v>321</v>
      </c>
      <c r="N125" s="630" t="s">
        <v>340</v>
      </c>
      <c r="O125" s="630" t="s">
        <v>341</v>
      </c>
    </row>
    <row r="126" spans="1:15" hidden="1" x14ac:dyDescent="0.25">
      <c r="A126" s="630" t="s">
        <v>336</v>
      </c>
      <c r="B126" s="629">
        <v>1</v>
      </c>
      <c r="C126" s="630"/>
      <c r="D126" s="630" t="s">
        <v>319</v>
      </c>
      <c r="E126" s="630" t="s">
        <v>319</v>
      </c>
      <c r="F126" s="630" t="s">
        <v>319</v>
      </c>
      <c r="G126" s="630" t="s">
        <v>324</v>
      </c>
      <c r="H126" s="601" t="s">
        <v>325</v>
      </c>
      <c r="I126" s="601" t="s">
        <v>360</v>
      </c>
      <c r="J126" s="630" t="s">
        <v>338</v>
      </c>
      <c r="K126" s="630" t="s">
        <v>339</v>
      </c>
      <c r="L126" s="630" t="b">
        <v>0</v>
      </c>
      <c r="M126" s="630" t="s">
        <v>321</v>
      </c>
      <c r="N126" s="630" t="s">
        <v>340</v>
      </c>
      <c r="O126" s="630" t="s">
        <v>341</v>
      </c>
    </row>
    <row r="127" spans="1:15" hidden="1" x14ac:dyDescent="0.25">
      <c r="A127" s="630" t="s">
        <v>336</v>
      </c>
      <c r="B127" s="629">
        <v>1</v>
      </c>
      <c r="C127" s="630"/>
      <c r="D127" s="630" t="s">
        <v>319</v>
      </c>
      <c r="E127" s="630" t="s">
        <v>319</v>
      </c>
      <c r="F127" s="630" t="s">
        <v>319</v>
      </c>
      <c r="G127" s="630" t="s">
        <v>324</v>
      </c>
      <c r="H127" s="601" t="s">
        <v>325</v>
      </c>
      <c r="I127" s="601" t="s">
        <v>361</v>
      </c>
      <c r="J127" s="630" t="s">
        <v>338</v>
      </c>
      <c r="K127" s="630" t="s">
        <v>339</v>
      </c>
      <c r="L127" s="630" t="b">
        <v>0</v>
      </c>
      <c r="M127" s="630" t="s">
        <v>321</v>
      </c>
      <c r="N127" s="630" t="s">
        <v>340</v>
      </c>
      <c r="O127" s="630" t="s">
        <v>341</v>
      </c>
    </row>
    <row r="128" spans="1:15" hidden="1" x14ac:dyDescent="0.25">
      <c r="A128" s="630" t="s">
        <v>336</v>
      </c>
      <c r="B128" s="629">
        <v>1</v>
      </c>
      <c r="C128" s="630"/>
      <c r="D128" s="630" t="s">
        <v>319</v>
      </c>
      <c r="E128" s="630" t="s">
        <v>319</v>
      </c>
      <c r="F128" s="630" t="s">
        <v>319</v>
      </c>
      <c r="G128" s="630" t="s">
        <v>324</v>
      </c>
      <c r="H128" s="601" t="s">
        <v>325</v>
      </c>
      <c r="I128" s="601" t="s">
        <v>362</v>
      </c>
      <c r="J128" s="630" t="s">
        <v>338</v>
      </c>
      <c r="K128" s="630" t="s">
        <v>339</v>
      </c>
      <c r="L128" s="630" t="b">
        <v>0</v>
      </c>
      <c r="M128" s="630" t="s">
        <v>321</v>
      </c>
      <c r="N128" s="630" t="s">
        <v>340</v>
      </c>
      <c r="O128" s="630" t="s">
        <v>341</v>
      </c>
    </row>
    <row r="129" spans="1:15" hidden="1" x14ac:dyDescent="0.25">
      <c r="A129" s="630" t="s">
        <v>336</v>
      </c>
      <c r="B129" s="629">
        <v>1</v>
      </c>
      <c r="C129" s="630"/>
      <c r="D129" s="630" t="s">
        <v>319</v>
      </c>
      <c r="E129" s="630" t="s">
        <v>319</v>
      </c>
      <c r="F129" s="630" t="s">
        <v>319</v>
      </c>
      <c r="G129" s="630" t="s">
        <v>324</v>
      </c>
      <c r="H129" s="601" t="s">
        <v>325</v>
      </c>
      <c r="I129" s="601" t="s">
        <v>363</v>
      </c>
      <c r="J129" s="630" t="s">
        <v>338</v>
      </c>
      <c r="K129" s="630" t="s">
        <v>339</v>
      </c>
      <c r="L129" s="630" t="b">
        <v>0</v>
      </c>
      <c r="M129" s="630" t="s">
        <v>321</v>
      </c>
      <c r="N129" s="630" t="s">
        <v>340</v>
      </c>
      <c r="O129" s="630" t="s">
        <v>341</v>
      </c>
    </row>
    <row r="130" spans="1:15" hidden="1" x14ac:dyDescent="0.25">
      <c r="A130" s="630" t="s">
        <v>336</v>
      </c>
      <c r="B130" s="629">
        <v>1</v>
      </c>
      <c r="C130" s="630"/>
      <c r="D130" s="630" t="s">
        <v>319</v>
      </c>
      <c r="E130" s="630" t="s">
        <v>319</v>
      </c>
      <c r="F130" s="630" t="s">
        <v>319</v>
      </c>
      <c r="G130" s="630" t="s">
        <v>324</v>
      </c>
      <c r="H130" s="601" t="s">
        <v>325</v>
      </c>
      <c r="I130" s="601" t="s">
        <v>364</v>
      </c>
      <c r="J130" s="630" t="s">
        <v>338</v>
      </c>
      <c r="K130" s="630" t="s">
        <v>339</v>
      </c>
      <c r="L130" s="630" t="b">
        <v>0</v>
      </c>
      <c r="M130" s="630" t="s">
        <v>321</v>
      </c>
      <c r="N130" s="630" t="s">
        <v>340</v>
      </c>
      <c r="O130" s="630" t="s">
        <v>341</v>
      </c>
    </row>
    <row r="131" spans="1:15" hidden="1" x14ac:dyDescent="0.25">
      <c r="A131" s="630" t="s">
        <v>336</v>
      </c>
      <c r="B131" s="629">
        <v>1</v>
      </c>
      <c r="C131" s="630"/>
      <c r="D131" s="630" t="s">
        <v>319</v>
      </c>
      <c r="E131" s="630" t="s">
        <v>319</v>
      </c>
      <c r="F131" s="630" t="s">
        <v>319</v>
      </c>
      <c r="G131" s="630" t="s">
        <v>324</v>
      </c>
      <c r="H131" s="601" t="s">
        <v>325</v>
      </c>
      <c r="I131" s="601" t="s">
        <v>365</v>
      </c>
      <c r="J131" s="630" t="s">
        <v>338</v>
      </c>
      <c r="K131" s="630" t="s">
        <v>339</v>
      </c>
      <c r="L131" s="630" t="b">
        <v>0</v>
      </c>
      <c r="M131" s="630" t="s">
        <v>321</v>
      </c>
      <c r="N131" s="630" t="s">
        <v>340</v>
      </c>
      <c r="O131" s="630" t="s">
        <v>341</v>
      </c>
    </row>
    <row r="132" spans="1:15" hidden="1" x14ac:dyDescent="0.25">
      <c r="A132" s="630" t="s">
        <v>336</v>
      </c>
      <c r="B132" s="629">
        <v>1.1499999999999999</v>
      </c>
      <c r="C132" s="630"/>
      <c r="D132" s="630" t="s">
        <v>319</v>
      </c>
      <c r="E132" s="630" t="s">
        <v>319</v>
      </c>
      <c r="F132" s="630" t="s">
        <v>319</v>
      </c>
      <c r="G132" s="630" t="s">
        <v>324</v>
      </c>
      <c r="H132" s="601" t="s">
        <v>325</v>
      </c>
      <c r="I132" s="601" t="s">
        <v>366</v>
      </c>
      <c r="J132" s="630" t="s">
        <v>338</v>
      </c>
      <c r="K132" s="630" t="s">
        <v>339</v>
      </c>
      <c r="L132" s="630" t="b">
        <v>0</v>
      </c>
      <c r="M132" s="630" t="s">
        <v>321</v>
      </c>
      <c r="N132" s="630" t="s">
        <v>340</v>
      </c>
      <c r="O132" s="630" t="s">
        <v>341</v>
      </c>
    </row>
    <row r="133" spans="1:15" hidden="1" x14ac:dyDescent="0.25">
      <c r="A133" s="630" t="s">
        <v>336</v>
      </c>
      <c r="B133" s="629">
        <v>1.1499999999999999</v>
      </c>
      <c r="C133" s="630"/>
      <c r="D133" s="630" t="s">
        <v>319</v>
      </c>
      <c r="E133" s="630" t="s">
        <v>319</v>
      </c>
      <c r="F133" s="630" t="s">
        <v>319</v>
      </c>
      <c r="G133" s="630" t="s">
        <v>324</v>
      </c>
      <c r="H133" s="601" t="s">
        <v>325</v>
      </c>
      <c r="I133" s="601" t="s">
        <v>367</v>
      </c>
      <c r="J133" s="630" t="s">
        <v>338</v>
      </c>
      <c r="K133" s="630" t="s">
        <v>339</v>
      </c>
      <c r="L133" s="630" t="b">
        <v>0</v>
      </c>
      <c r="M133" s="630" t="s">
        <v>321</v>
      </c>
      <c r="N133" s="630" t="s">
        <v>340</v>
      </c>
      <c r="O133" s="630" t="s">
        <v>341</v>
      </c>
    </row>
    <row r="134" spans="1:15" hidden="1" x14ac:dyDescent="0.25">
      <c r="A134" s="630" t="s">
        <v>336</v>
      </c>
      <c r="B134" s="629">
        <v>1.1499999999999999</v>
      </c>
      <c r="C134" s="630"/>
      <c r="D134" s="630" t="s">
        <v>319</v>
      </c>
      <c r="E134" s="630" t="s">
        <v>319</v>
      </c>
      <c r="F134" s="630" t="s">
        <v>319</v>
      </c>
      <c r="G134" s="630" t="s">
        <v>324</v>
      </c>
      <c r="H134" s="601" t="s">
        <v>325</v>
      </c>
      <c r="I134" s="601" t="s">
        <v>368</v>
      </c>
      <c r="J134" s="630" t="s">
        <v>338</v>
      </c>
      <c r="K134" s="630" t="s">
        <v>339</v>
      </c>
      <c r="L134" s="630" t="b">
        <v>0</v>
      </c>
      <c r="M134" s="630" t="s">
        <v>321</v>
      </c>
      <c r="N134" s="630" t="s">
        <v>340</v>
      </c>
      <c r="O134" s="630" t="s">
        <v>341</v>
      </c>
    </row>
    <row r="135" spans="1:15" hidden="1" x14ac:dyDescent="0.25">
      <c r="A135" s="630" t="s">
        <v>336</v>
      </c>
      <c r="B135" s="629">
        <v>1.1499999999999999</v>
      </c>
      <c r="C135" s="630"/>
      <c r="D135" s="630" t="s">
        <v>319</v>
      </c>
      <c r="E135" s="630" t="s">
        <v>319</v>
      </c>
      <c r="F135" s="630" t="s">
        <v>319</v>
      </c>
      <c r="G135" s="630" t="s">
        <v>324</v>
      </c>
      <c r="H135" s="601" t="s">
        <v>325</v>
      </c>
      <c r="I135" s="601" t="s">
        <v>369</v>
      </c>
      <c r="J135" s="630" t="s">
        <v>338</v>
      </c>
      <c r="K135" s="630" t="s">
        <v>339</v>
      </c>
      <c r="L135" s="630" t="b">
        <v>0</v>
      </c>
      <c r="M135" s="630" t="s">
        <v>321</v>
      </c>
      <c r="N135" s="630" t="s">
        <v>340</v>
      </c>
      <c r="O135" s="630" t="s">
        <v>341</v>
      </c>
    </row>
    <row r="136" spans="1:15" hidden="1" x14ac:dyDescent="0.25">
      <c r="A136" s="630" t="s">
        <v>336</v>
      </c>
      <c r="B136" s="629">
        <v>1.1499999999999999</v>
      </c>
      <c r="C136" s="630"/>
      <c r="D136" s="630" t="s">
        <v>319</v>
      </c>
      <c r="E136" s="630" t="s">
        <v>319</v>
      </c>
      <c r="F136" s="630" t="s">
        <v>319</v>
      </c>
      <c r="G136" s="630" t="s">
        <v>324</v>
      </c>
      <c r="H136" s="601" t="s">
        <v>325</v>
      </c>
      <c r="I136" s="601" t="s">
        <v>370</v>
      </c>
      <c r="J136" s="630" t="s">
        <v>338</v>
      </c>
      <c r="K136" s="630" t="s">
        <v>339</v>
      </c>
      <c r="L136" s="630" t="b">
        <v>0</v>
      </c>
      <c r="M136" s="630" t="s">
        <v>321</v>
      </c>
      <c r="N136" s="630" t="s">
        <v>340</v>
      </c>
      <c r="O136" s="630" t="s">
        <v>341</v>
      </c>
    </row>
    <row r="137" spans="1:15" hidden="1" x14ac:dyDescent="0.25">
      <c r="A137" s="630" t="s">
        <v>336</v>
      </c>
      <c r="B137" s="629">
        <v>1.1499999999999999</v>
      </c>
      <c r="C137" s="630"/>
      <c r="D137" s="630" t="s">
        <v>319</v>
      </c>
      <c r="E137" s="630" t="s">
        <v>319</v>
      </c>
      <c r="F137" s="630" t="s">
        <v>319</v>
      </c>
      <c r="G137" s="630" t="s">
        <v>324</v>
      </c>
      <c r="H137" s="601" t="s">
        <v>325</v>
      </c>
      <c r="I137" s="601" t="s">
        <v>371</v>
      </c>
      <c r="J137" s="630" t="s">
        <v>338</v>
      </c>
      <c r="K137" s="630" t="s">
        <v>339</v>
      </c>
      <c r="L137" s="630" t="b">
        <v>0</v>
      </c>
      <c r="M137" s="630" t="s">
        <v>321</v>
      </c>
      <c r="N137" s="630" t="s">
        <v>340</v>
      </c>
      <c r="O137" s="630" t="s">
        <v>341</v>
      </c>
    </row>
    <row r="138" spans="1:15" hidden="1" x14ac:dyDescent="0.25">
      <c r="A138" s="630" t="s">
        <v>336</v>
      </c>
      <c r="B138" s="629">
        <v>1.1499999999999999</v>
      </c>
      <c r="C138" s="630"/>
      <c r="D138" s="630" t="s">
        <v>319</v>
      </c>
      <c r="E138" s="630" t="s">
        <v>319</v>
      </c>
      <c r="F138" s="630" t="s">
        <v>319</v>
      </c>
      <c r="G138" s="630" t="s">
        <v>324</v>
      </c>
      <c r="H138" s="601" t="s">
        <v>325</v>
      </c>
      <c r="I138" s="601" t="s">
        <v>372</v>
      </c>
      <c r="J138" s="630" t="s">
        <v>338</v>
      </c>
      <c r="K138" s="630" t="s">
        <v>339</v>
      </c>
      <c r="L138" s="630" t="b">
        <v>0</v>
      </c>
      <c r="M138" s="630" t="s">
        <v>321</v>
      </c>
      <c r="N138" s="630" t="s">
        <v>340</v>
      </c>
      <c r="O138" s="630" t="s">
        <v>341</v>
      </c>
    </row>
    <row r="139" spans="1:15" hidden="1" x14ac:dyDescent="0.25">
      <c r="A139" s="630" t="s">
        <v>336</v>
      </c>
      <c r="B139" s="629">
        <v>1.1499999999999999</v>
      </c>
      <c r="C139" s="630"/>
      <c r="D139" s="630" t="s">
        <v>319</v>
      </c>
      <c r="E139" s="630" t="s">
        <v>319</v>
      </c>
      <c r="F139" s="630" t="s">
        <v>319</v>
      </c>
      <c r="G139" s="630" t="s">
        <v>324</v>
      </c>
      <c r="H139" s="601" t="s">
        <v>325</v>
      </c>
      <c r="I139" s="601" t="s">
        <v>373</v>
      </c>
      <c r="J139" s="630" t="s">
        <v>338</v>
      </c>
      <c r="K139" s="630" t="s">
        <v>339</v>
      </c>
      <c r="L139" s="630" t="b">
        <v>0</v>
      </c>
      <c r="M139" s="630" t="s">
        <v>321</v>
      </c>
      <c r="N139" s="630" t="s">
        <v>340</v>
      </c>
      <c r="O139" s="630" t="s">
        <v>341</v>
      </c>
    </row>
    <row r="140" spans="1:15" hidden="1" x14ac:dyDescent="0.25">
      <c r="A140" s="630" t="s">
        <v>336</v>
      </c>
      <c r="B140" s="629">
        <v>1.1499999999999999</v>
      </c>
      <c r="C140" s="630"/>
      <c r="D140" s="630" t="s">
        <v>319</v>
      </c>
      <c r="E140" s="630" t="s">
        <v>319</v>
      </c>
      <c r="F140" s="630" t="s">
        <v>319</v>
      </c>
      <c r="G140" s="630" t="s">
        <v>324</v>
      </c>
      <c r="H140" s="601" t="s">
        <v>325</v>
      </c>
      <c r="I140" s="601" t="s">
        <v>374</v>
      </c>
      <c r="J140" s="630" t="s">
        <v>338</v>
      </c>
      <c r="K140" s="630" t="s">
        <v>339</v>
      </c>
      <c r="L140" s="630" t="b">
        <v>0</v>
      </c>
      <c r="M140" s="630" t="s">
        <v>321</v>
      </c>
      <c r="N140" s="630" t="s">
        <v>340</v>
      </c>
      <c r="O140" s="630" t="s">
        <v>341</v>
      </c>
    </row>
    <row r="141" spans="1:15" hidden="1" x14ac:dyDescent="0.25">
      <c r="A141" s="630" t="s">
        <v>336</v>
      </c>
      <c r="B141" s="629">
        <v>1.1499999999999999</v>
      </c>
      <c r="C141" s="630"/>
      <c r="D141" s="630" t="s">
        <v>319</v>
      </c>
      <c r="E141" s="630" t="s">
        <v>319</v>
      </c>
      <c r="F141" s="630" t="s">
        <v>319</v>
      </c>
      <c r="G141" s="630" t="s">
        <v>324</v>
      </c>
      <c r="H141" s="601" t="s">
        <v>325</v>
      </c>
      <c r="I141" s="601" t="s">
        <v>375</v>
      </c>
      <c r="J141" s="630" t="s">
        <v>338</v>
      </c>
      <c r="K141" s="630" t="s">
        <v>339</v>
      </c>
      <c r="L141" s="630" t="b">
        <v>0</v>
      </c>
      <c r="M141" s="630" t="s">
        <v>321</v>
      </c>
      <c r="N141" s="630" t="s">
        <v>340</v>
      </c>
      <c r="O141" s="630" t="s">
        <v>341</v>
      </c>
    </row>
    <row r="142" spans="1:15" hidden="1" x14ac:dyDescent="0.25">
      <c r="A142" s="630" t="s">
        <v>336</v>
      </c>
      <c r="B142" s="629">
        <v>2</v>
      </c>
      <c r="C142" s="630"/>
      <c r="D142" s="630" t="s">
        <v>319</v>
      </c>
      <c r="E142" s="630" t="s">
        <v>319</v>
      </c>
      <c r="F142" s="630" t="s">
        <v>319</v>
      </c>
      <c r="G142" s="630" t="s">
        <v>324</v>
      </c>
      <c r="H142" s="601" t="s">
        <v>325</v>
      </c>
      <c r="I142" s="601" t="s">
        <v>376</v>
      </c>
      <c r="J142" s="630" t="s">
        <v>338</v>
      </c>
      <c r="K142" s="630" t="s">
        <v>339</v>
      </c>
      <c r="L142" s="630" t="b">
        <v>0</v>
      </c>
      <c r="M142" s="630" t="s">
        <v>321</v>
      </c>
      <c r="N142" s="630" t="s">
        <v>340</v>
      </c>
      <c r="O142" s="630" t="s">
        <v>341</v>
      </c>
    </row>
    <row r="143" spans="1:15" hidden="1" x14ac:dyDescent="0.25">
      <c r="A143" s="630" t="s">
        <v>336</v>
      </c>
      <c r="B143" s="629">
        <v>2</v>
      </c>
      <c r="C143" s="630"/>
      <c r="D143" s="630" t="s">
        <v>319</v>
      </c>
      <c r="E143" s="630" t="s">
        <v>319</v>
      </c>
      <c r="F143" s="630" t="s">
        <v>319</v>
      </c>
      <c r="G143" s="630" t="s">
        <v>324</v>
      </c>
      <c r="H143" s="601" t="s">
        <v>325</v>
      </c>
      <c r="I143" s="601" t="s">
        <v>377</v>
      </c>
      <c r="J143" s="630" t="s">
        <v>338</v>
      </c>
      <c r="K143" s="630" t="s">
        <v>339</v>
      </c>
      <c r="L143" s="630" t="b">
        <v>0</v>
      </c>
      <c r="M143" s="630" t="s">
        <v>321</v>
      </c>
      <c r="N143" s="630" t="s">
        <v>340</v>
      </c>
      <c r="O143" s="630" t="s">
        <v>341</v>
      </c>
    </row>
    <row r="144" spans="1:15" hidden="1" x14ac:dyDescent="0.25">
      <c r="A144" s="630" t="s">
        <v>336</v>
      </c>
      <c r="B144" s="629">
        <v>2</v>
      </c>
      <c r="C144" s="630"/>
      <c r="D144" s="630" t="s">
        <v>319</v>
      </c>
      <c r="E144" s="630" t="s">
        <v>319</v>
      </c>
      <c r="F144" s="630" t="s">
        <v>319</v>
      </c>
      <c r="G144" s="630" t="s">
        <v>324</v>
      </c>
      <c r="H144" s="601" t="s">
        <v>325</v>
      </c>
      <c r="I144" s="601" t="s">
        <v>378</v>
      </c>
      <c r="J144" s="630" t="s">
        <v>338</v>
      </c>
      <c r="K144" s="630" t="s">
        <v>339</v>
      </c>
      <c r="L144" s="630" t="b">
        <v>0</v>
      </c>
      <c r="M144" s="630" t="s">
        <v>321</v>
      </c>
      <c r="N144" s="630" t="s">
        <v>340</v>
      </c>
      <c r="O144" s="630" t="s">
        <v>341</v>
      </c>
    </row>
    <row r="145" spans="1:15" hidden="1" x14ac:dyDescent="0.25">
      <c r="A145" s="630" t="s">
        <v>336</v>
      </c>
      <c r="B145" s="629">
        <v>2</v>
      </c>
      <c r="C145" s="630"/>
      <c r="D145" s="630" t="s">
        <v>319</v>
      </c>
      <c r="E145" s="630" t="s">
        <v>319</v>
      </c>
      <c r="F145" s="630" t="s">
        <v>319</v>
      </c>
      <c r="G145" s="630" t="s">
        <v>324</v>
      </c>
      <c r="H145" s="601" t="s">
        <v>325</v>
      </c>
      <c r="I145" s="601" t="s">
        <v>379</v>
      </c>
      <c r="J145" s="630" t="s">
        <v>338</v>
      </c>
      <c r="K145" s="630" t="s">
        <v>339</v>
      </c>
      <c r="L145" s="630" t="b">
        <v>0</v>
      </c>
      <c r="M145" s="630" t="s">
        <v>321</v>
      </c>
      <c r="N145" s="630" t="s">
        <v>340</v>
      </c>
      <c r="O145" s="630" t="s">
        <v>341</v>
      </c>
    </row>
    <row r="146" spans="1:15" hidden="1" x14ac:dyDescent="0.25">
      <c r="A146" s="630" t="s">
        <v>336</v>
      </c>
      <c r="B146" s="629">
        <v>2</v>
      </c>
      <c r="C146" s="630"/>
      <c r="D146" s="630" t="s">
        <v>319</v>
      </c>
      <c r="E146" s="630" t="s">
        <v>319</v>
      </c>
      <c r="F146" s="630" t="s">
        <v>319</v>
      </c>
      <c r="G146" s="630" t="s">
        <v>324</v>
      </c>
      <c r="H146" s="601" t="s">
        <v>325</v>
      </c>
      <c r="I146" s="601" t="s">
        <v>380</v>
      </c>
      <c r="J146" s="630" t="s">
        <v>338</v>
      </c>
      <c r="K146" s="630" t="s">
        <v>339</v>
      </c>
      <c r="L146" s="630" t="b">
        <v>0</v>
      </c>
      <c r="M146" s="630" t="s">
        <v>321</v>
      </c>
      <c r="N146" s="630" t="s">
        <v>340</v>
      </c>
      <c r="O146" s="630" t="s">
        <v>341</v>
      </c>
    </row>
    <row r="147" spans="1:15" hidden="1" x14ac:dyDescent="0.25">
      <c r="A147" s="630" t="s">
        <v>336</v>
      </c>
      <c r="B147" s="629">
        <v>2</v>
      </c>
      <c r="C147" s="630"/>
      <c r="D147" s="630" t="s">
        <v>319</v>
      </c>
      <c r="E147" s="630" t="s">
        <v>319</v>
      </c>
      <c r="F147" s="630" t="s">
        <v>319</v>
      </c>
      <c r="G147" s="630" t="s">
        <v>324</v>
      </c>
      <c r="H147" s="601" t="s">
        <v>325</v>
      </c>
      <c r="I147" s="601" t="s">
        <v>381</v>
      </c>
      <c r="J147" s="630" t="s">
        <v>338</v>
      </c>
      <c r="K147" s="630" t="s">
        <v>339</v>
      </c>
      <c r="L147" s="630" t="b">
        <v>0</v>
      </c>
      <c r="M147" s="630" t="s">
        <v>321</v>
      </c>
      <c r="N147" s="630" t="s">
        <v>340</v>
      </c>
      <c r="O147" s="630" t="s">
        <v>341</v>
      </c>
    </row>
    <row r="148" spans="1:15" hidden="1" x14ac:dyDescent="0.25">
      <c r="A148" s="630" t="s">
        <v>336</v>
      </c>
      <c r="B148" s="629">
        <v>2</v>
      </c>
      <c r="C148" s="630"/>
      <c r="D148" s="630" t="s">
        <v>319</v>
      </c>
      <c r="E148" s="630" t="s">
        <v>319</v>
      </c>
      <c r="F148" s="630" t="s">
        <v>319</v>
      </c>
      <c r="G148" s="630" t="s">
        <v>324</v>
      </c>
      <c r="H148" s="601" t="s">
        <v>325</v>
      </c>
      <c r="I148" s="601" t="s">
        <v>382</v>
      </c>
      <c r="J148" s="630" t="s">
        <v>338</v>
      </c>
      <c r="K148" s="630" t="s">
        <v>339</v>
      </c>
      <c r="L148" s="630" t="b">
        <v>0</v>
      </c>
      <c r="M148" s="630" t="s">
        <v>321</v>
      </c>
      <c r="N148" s="630" t="s">
        <v>340</v>
      </c>
      <c r="O148" s="630" t="s">
        <v>341</v>
      </c>
    </row>
    <row r="149" spans="1:15" hidden="1" x14ac:dyDescent="0.25">
      <c r="A149" s="630" t="s">
        <v>336</v>
      </c>
      <c r="B149" s="629">
        <v>2</v>
      </c>
      <c r="C149" s="630"/>
      <c r="D149" s="630" t="s">
        <v>319</v>
      </c>
      <c r="E149" s="630" t="s">
        <v>319</v>
      </c>
      <c r="F149" s="630" t="s">
        <v>319</v>
      </c>
      <c r="G149" s="630" t="s">
        <v>324</v>
      </c>
      <c r="H149" s="601" t="s">
        <v>325</v>
      </c>
      <c r="I149" s="601" t="s">
        <v>383</v>
      </c>
      <c r="J149" s="630" t="s">
        <v>338</v>
      </c>
      <c r="K149" s="630" t="s">
        <v>339</v>
      </c>
      <c r="L149" s="630" t="b">
        <v>0</v>
      </c>
      <c r="M149" s="630" t="s">
        <v>321</v>
      </c>
      <c r="N149" s="630" t="s">
        <v>340</v>
      </c>
      <c r="O149" s="630" t="s">
        <v>341</v>
      </c>
    </row>
    <row r="150" spans="1:15" hidden="1" x14ac:dyDescent="0.25">
      <c r="A150" s="630" t="s">
        <v>336</v>
      </c>
      <c r="B150" s="629">
        <v>2</v>
      </c>
      <c r="C150" s="630"/>
      <c r="D150" s="630" t="s">
        <v>319</v>
      </c>
      <c r="E150" s="630" t="s">
        <v>319</v>
      </c>
      <c r="F150" s="630" t="s">
        <v>319</v>
      </c>
      <c r="G150" s="630" t="s">
        <v>324</v>
      </c>
      <c r="H150" s="601" t="s">
        <v>325</v>
      </c>
      <c r="I150" s="601" t="s">
        <v>384</v>
      </c>
      <c r="J150" s="630" t="s">
        <v>338</v>
      </c>
      <c r="K150" s="630" t="s">
        <v>339</v>
      </c>
      <c r="L150" s="630" t="b">
        <v>0</v>
      </c>
      <c r="M150" s="630" t="s">
        <v>321</v>
      </c>
      <c r="N150" s="630" t="s">
        <v>340</v>
      </c>
      <c r="O150" s="630" t="s">
        <v>341</v>
      </c>
    </row>
    <row r="151" spans="1:15" hidden="1" x14ac:dyDescent="0.25">
      <c r="A151" s="630" t="s">
        <v>336</v>
      </c>
      <c r="B151" s="629">
        <v>2</v>
      </c>
      <c r="C151" s="630"/>
      <c r="D151" s="630" t="s">
        <v>319</v>
      </c>
      <c r="E151" s="630" t="s">
        <v>319</v>
      </c>
      <c r="F151" s="630" t="s">
        <v>319</v>
      </c>
      <c r="G151" s="630" t="s">
        <v>324</v>
      </c>
      <c r="H151" s="601" t="s">
        <v>325</v>
      </c>
      <c r="I151" s="601" t="s">
        <v>385</v>
      </c>
      <c r="J151" s="630" t="s">
        <v>338</v>
      </c>
      <c r="K151" s="630" t="s">
        <v>339</v>
      </c>
      <c r="L151" s="630" t="b">
        <v>0</v>
      </c>
      <c r="M151" s="630" t="s">
        <v>321</v>
      </c>
      <c r="N151" s="630" t="s">
        <v>340</v>
      </c>
      <c r="O151" s="630" t="s">
        <v>341</v>
      </c>
    </row>
    <row r="152" spans="1:15" hidden="1" x14ac:dyDescent="0.25">
      <c r="A152" s="630" t="s">
        <v>336</v>
      </c>
      <c r="B152" s="629">
        <v>2.5</v>
      </c>
      <c r="C152" s="630"/>
      <c r="D152" s="630" t="s">
        <v>319</v>
      </c>
      <c r="E152" s="630" t="s">
        <v>319</v>
      </c>
      <c r="F152" s="630" t="s">
        <v>319</v>
      </c>
      <c r="G152" s="630" t="s">
        <v>324</v>
      </c>
      <c r="H152" s="601" t="s">
        <v>325</v>
      </c>
      <c r="I152" s="601" t="s">
        <v>386</v>
      </c>
      <c r="J152" s="630" t="s">
        <v>338</v>
      </c>
      <c r="K152" s="630" t="s">
        <v>339</v>
      </c>
      <c r="L152" s="630" t="b">
        <v>0</v>
      </c>
      <c r="M152" s="630" t="s">
        <v>321</v>
      </c>
      <c r="N152" s="630" t="s">
        <v>340</v>
      </c>
      <c r="O152" s="630" t="s">
        <v>341</v>
      </c>
    </row>
    <row r="153" spans="1:15" hidden="1" x14ac:dyDescent="0.25">
      <c r="A153" s="630" t="s">
        <v>336</v>
      </c>
      <c r="B153" s="629">
        <v>2.5</v>
      </c>
      <c r="C153" s="630"/>
      <c r="D153" s="630" t="s">
        <v>319</v>
      </c>
      <c r="E153" s="630" t="s">
        <v>319</v>
      </c>
      <c r="F153" s="630" t="s">
        <v>319</v>
      </c>
      <c r="G153" s="630" t="s">
        <v>324</v>
      </c>
      <c r="H153" s="601" t="s">
        <v>325</v>
      </c>
      <c r="I153" s="601" t="s">
        <v>387</v>
      </c>
      <c r="J153" s="630" t="s">
        <v>338</v>
      </c>
      <c r="K153" s="630" t="s">
        <v>339</v>
      </c>
      <c r="L153" s="630" t="b">
        <v>0</v>
      </c>
      <c r="M153" s="630" t="s">
        <v>321</v>
      </c>
      <c r="N153" s="630" t="s">
        <v>340</v>
      </c>
      <c r="O153" s="630" t="s">
        <v>341</v>
      </c>
    </row>
    <row r="154" spans="1:15" hidden="1" x14ac:dyDescent="0.25">
      <c r="A154" s="630" t="s">
        <v>336</v>
      </c>
      <c r="B154" s="629">
        <v>2.5</v>
      </c>
      <c r="C154" s="630"/>
      <c r="D154" s="630" t="s">
        <v>319</v>
      </c>
      <c r="E154" s="630" t="s">
        <v>319</v>
      </c>
      <c r="F154" s="630" t="s">
        <v>319</v>
      </c>
      <c r="G154" s="630" t="s">
        <v>324</v>
      </c>
      <c r="H154" s="601" t="s">
        <v>325</v>
      </c>
      <c r="I154" s="601" t="s">
        <v>388</v>
      </c>
      <c r="J154" s="630" t="s">
        <v>338</v>
      </c>
      <c r="K154" s="630" t="s">
        <v>339</v>
      </c>
      <c r="L154" s="630" t="b">
        <v>0</v>
      </c>
      <c r="M154" s="630" t="s">
        <v>321</v>
      </c>
      <c r="N154" s="630" t="s">
        <v>340</v>
      </c>
      <c r="O154" s="630" t="s">
        <v>341</v>
      </c>
    </row>
    <row r="155" spans="1:15" hidden="1" x14ac:dyDescent="0.25">
      <c r="A155" s="630" t="s">
        <v>336</v>
      </c>
      <c r="B155" s="629">
        <v>2.5</v>
      </c>
      <c r="C155" s="630"/>
      <c r="D155" s="630" t="s">
        <v>319</v>
      </c>
      <c r="E155" s="630" t="s">
        <v>319</v>
      </c>
      <c r="F155" s="630" t="s">
        <v>319</v>
      </c>
      <c r="G155" s="630" t="s">
        <v>324</v>
      </c>
      <c r="H155" s="601" t="s">
        <v>325</v>
      </c>
      <c r="I155" s="601" t="s">
        <v>389</v>
      </c>
      <c r="J155" s="630" t="s">
        <v>338</v>
      </c>
      <c r="K155" s="630" t="s">
        <v>339</v>
      </c>
      <c r="L155" s="630" t="b">
        <v>0</v>
      </c>
      <c r="M155" s="630" t="s">
        <v>321</v>
      </c>
      <c r="N155" s="630" t="s">
        <v>340</v>
      </c>
      <c r="O155" s="630" t="s">
        <v>341</v>
      </c>
    </row>
    <row r="156" spans="1:15" hidden="1" x14ac:dyDescent="0.25">
      <c r="A156" s="630" t="s">
        <v>336</v>
      </c>
      <c r="B156" s="629">
        <v>2.5</v>
      </c>
      <c r="C156" s="630"/>
      <c r="D156" s="630" t="s">
        <v>319</v>
      </c>
      <c r="E156" s="630" t="s">
        <v>319</v>
      </c>
      <c r="F156" s="630" t="s">
        <v>319</v>
      </c>
      <c r="G156" s="630" t="s">
        <v>324</v>
      </c>
      <c r="H156" s="601" t="s">
        <v>325</v>
      </c>
      <c r="I156" s="601" t="s">
        <v>390</v>
      </c>
      <c r="J156" s="630" t="s">
        <v>338</v>
      </c>
      <c r="K156" s="630" t="s">
        <v>339</v>
      </c>
      <c r="L156" s="630" t="b">
        <v>0</v>
      </c>
      <c r="M156" s="630" t="s">
        <v>321</v>
      </c>
      <c r="N156" s="630" t="s">
        <v>340</v>
      </c>
      <c r="O156" s="630" t="s">
        <v>341</v>
      </c>
    </row>
    <row r="157" spans="1:15" hidden="1" x14ac:dyDescent="0.25">
      <c r="A157" s="630" t="s">
        <v>336</v>
      </c>
      <c r="B157" s="629">
        <v>2.5</v>
      </c>
      <c r="C157" s="630"/>
      <c r="D157" s="630" t="s">
        <v>319</v>
      </c>
      <c r="E157" s="630" t="s">
        <v>319</v>
      </c>
      <c r="F157" s="630" t="s">
        <v>319</v>
      </c>
      <c r="G157" s="630" t="s">
        <v>324</v>
      </c>
      <c r="H157" s="601" t="s">
        <v>325</v>
      </c>
      <c r="I157" s="601" t="s">
        <v>391</v>
      </c>
      <c r="J157" s="630" t="s">
        <v>338</v>
      </c>
      <c r="K157" s="630" t="s">
        <v>339</v>
      </c>
      <c r="L157" s="630" t="b">
        <v>0</v>
      </c>
      <c r="M157" s="630" t="s">
        <v>321</v>
      </c>
      <c r="N157" s="630" t="s">
        <v>340</v>
      </c>
      <c r="O157" s="630" t="s">
        <v>341</v>
      </c>
    </row>
    <row r="158" spans="1:15" hidden="1" x14ac:dyDescent="0.25">
      <c r="A158" s="630" t="s">
        <v>336</v>
      </c>
      <c r="B158" s="629">
        <v>2.5</v>
      </c>
      <c r="C158" s="630"/>
      <c r="D158" s="630" t="s">
        <v>319</v>
      </c>
      <c r="E158" s="630" t="s">
        <v>319</v>
      </c>
      <c r="F158" s="630" t="s">
        <v>319</v>
      </c>
      <c r="G158" s="630" t="s">
        <v>324</v>
      </c>
      <c r="H158" s="601" t="s">
        <v>325</v>
      </c>
      <c r="I158" s="601" t="s">
        <v>392</v>
      </c>
      <c r="J158" s="630" t="s">
        <v>338</v>
      </c>
      <c r="K158" s="630" t="s">
        <v>339</v>
      </c>
      <c r="L158" s="630" t="b">
        <v>0</v>
      </c>
      <c r="M158" s="630" t="s">
        <v>321</v>
      </c>
      <c r="N158" s="630" t="s">
        <v>340</v>
      </c>
      <c r="O158" s="630" t="s">
        <v>341</v>
      </c>
    </row>
    <row r="159" spans="1:15" hidden="1" x14ac:dyDescent="0.25">
      <c r="A159" s="630" t="s">
        <v>336</v>
      </c>
      <c r="B159" s="629">
        <v>2.5</v>
      </c>
      <c r="C159" s="630"/>
      <c r="D159" s="630" t="s">
        <v>319</v>
      </c>
      <c r="E159" s="630" t="s">
        <v>319</v>
      </c>
      <c r="F159" s="630" t="s">
        <v>319</v>
      </c>
      <c r="G159" s="630" t="s">
        <v>324</v>
      </c>
      <c r="H159" s="601" t="s">
        <v>325</v>
      </c>
      <c r="I159" s="601" t="s">
        <v>393</v>
      </c>
      <c r="J159" s="630" t="s">
        <v>338</v>
      </c>
      <c r="K159" s="630" t="s">
        <v>339</v>
      </c>
      <c r="L159" s="630" t="b">
        <v>0</v>
      </c>
      <c r="M159" s="630" t="s">
        <v>321</v>
      </c>
      <c r="N159" s="630" t="s">
        <v>340</v>
      </c>
      <c r="O159" s="630" t="s">
        <v>341</v>
      </c>
    </row>
    <row r="160" spans="1:15" hidden="1" x14ac:dyDescent="0.25">
      <c r="A160" s="630" t="s">
        <v>336</v>
      </c>
      <c r="B160" s="629">
        <v>2.5</v>
      </c>
      <c r="C160" s="630"/>
      <c r="D160" s="630" t="s">
        <v>319</v>
      </c>
      <c r="E160" s="630" t="s">
        <v>319</v>
      </c>
      <c r="F160" s="630" t="s">
        <v>319</v>
      </c>
      <c r="G160" s="630" t="s">
        <v>324</v>
      </c>
      <c r="H160" s="601" t="s">
        <v>325</v>
      </c>
      <c r="I160" s="601" t="s">
        <v>394</v>
      </c>
      <c r="J160" s="630" t="s">
        <v>338</v>
      </c>
      <c r="K160" s="630" t="s">
        <v>339</v>
      </c>
      <c r="L160" s="630" t="b">
        <v>0</v>
      </c>
      <c r="M160" s="630" t="s">
        <v>321</v>
      </c>
      <c r="N160" s="630" t="s">
        <v>340</v>
      </c>
      <c r="O160" s="630" t="s">
        <v>341</v>
      </c>
    </row>
    <row r="161" spans="1:15" hidden="1" x14ac:dyDescent="0.25">
      <c r="A161" s="630" t="s">
        <v>336</v>
      </c>
      <c r="B161" s="629">
        <v>2.5</v>
      </c>
      <c r="C161" s="630"/>
      <c r="D161" s="630" t="s">
        <v>319</v>
      </c>
      <c r="E161" s="630" t="s">
        <v>319</v>
      </c>
      <c r="F161" s="630" t="s">
        <v>319</v>
      </c>
      <c r="G161" s="630" t="s">
        <v>324</v>
      </c>
      <c r="H161" s="601" t="s">
        <v>325</v>
      </c>
      <c r="I161" s="601" t="s">
        <v>395</v>
      </c>
      <c r="J161" s="630" t="s">
        <v>338</v>
      </c>
      <c r="K161" s="630" t="s">
        <v>339</v>
      </c>
      <c r="L161" s="630" t="b">
        <v>0</v>
      </c>
      <c r="M161" s="630" t="s">
        <v>321</v>
      </c>
      <c r="N161" s="630" t="s">
        <v>340</v>
      </c>
      <c r="O161" s="630" t="s">
        <v>341</v>
      </c>
    </row>
    <row r="162" spans="1:15" hidden="1" x14ac:dyDescent="0.25">
      <c r="A162" s="630" t="s">
        <v>336</v>
      </c>
      <c r="B162" s="629">
        <v>2.5</v>
      </c>
      <c r="C162" s="630"/>
      <c r="D162" s="630" t="s">
        <v>319</v>
      </c>
      <c r="E162" s="630" t="s">
        <v>319</v>
      </c>
      <c r="F162" s="630" t="s">
        <v>319</v>
      </c>
      <c r="G162" s="630" t="s">
        <v>324</v>
      </c>
      <c r="H162" s="601" t="s">
        <v>325</v>
      </c>
      <c r="I162" s="601" t="s">
        <v>396</v>
      </c>
      <c r="J162" s="630" t="s">
        <v>338</v>
      </c>
      <c r="K162" s="630" t="s">
        <v>339</v>
      </c>
      <c r="L162" s="630" t="b">
        <v>0</v>
      </c>
      <c r="M162" s="630" t="s">
        <v>321</v>
      </c>
      <c r="N162" s="630" t="s">
        <v>340</v>
      </c>
      <c r="O162" s="630" t="s">
        <v>341</v>
      </c>
    </row>
    <row r="163" spans="1:15" hidden="1" x14ac:dyDescent="0.25">
      <c r="A163" s="630" t="s">
        <v>336</v>
      </c>
      <c r="B163" s="629">
        <v>2.5</v>
      </c>
      <c r="C163" s="630"/>
      <c r="D163" s="630" t="s">
        <v>319</v>
      </c>
      <c r="E163" s="630" t="s">
        <v>319</v>
      </c>
      <c r="F163" s="630" t="s">
        <v>319</v>
      </c>
      <c r="G163" s="630" t="s">
        <v>324</v>
      </c>
      <c r="H163" s="601" t="s">
        <v>325</v>
      </c>
      <c r="I163" s="601" t="s">
        <v>397</v>
      </c>
      <c r="J163" s="630" t="s">
        <v>338</v>
      </c>
      <c r="K163" s="630" t="s">
        <v>339</v>
      </c>
      <c r="L163" s="630" t="b">
        <v>0</v>
      </c>
      <c r="M163" s="630" t="s">
        <v>321</v>
      </c>
      <c r="N163" s="630" t="s">
        <v>340</v>
      </c>
      <c r="O163" s="630" t="s">
        <v>341</v>
      </c>
    </row>
    <row r="164" spans="1:15" hidden="1" x14ac:dyDescent="0.25">
      <c r="A164" s="630" t="s">
        <v>336</v>
      </c>
      <c r="B164" s="629">
        <v>2.5</v>
      </c>
      <c r="C164" s="630"/>
      <c r="D164" s="630" t="s">
        <v>319</v>
      </c>
      <c r="E164" s="630" t="s">
        <v>319</v>
      </c>
      <c r="F164" s="630" t="s">
        <v>319</v>
      </c>
      <c r="G164" s="630" t="s">
        <v>324</v>
      </c>
      <c r="H164" s="601" t="s">
        <v>325</v>
      </c>
      <c r="I164" s="601" t="s">
        <v>398</v>
      </c>
      <c r="J164" s="630" t="s">
        <v>338</v>
      </c>
      <c r="K164" s="630" t="s">
        <v>339</v>
      </c>
      <c r="L164" s="630" t="b">
        <v>0</v>
      </c>
      <c r="M164" s="630" t="s">
        <v>321</v>
      </c>
      <c r="N164" s="630" t="s">
        <v>340</v>
      </c>
      <c r="O164" s="630" t="s">
        <v>341</v>
      </c>
    </row>
    <row r="165" spans="1:15" hidden="1" x14ac:dyDescent="0.25">
      <c r="A165" s="630" t="s">
        <v>336</v>
      </c>
      <c r="B165" s="629">
        <v>2.5</v>
      </c>
      <c r="C165" s="630"/>
      <c r="D165" s="630" t="s">
        <v>319</v>
      </c>
      <c r="E165" s="630" t="s">
        <v>319</v>
      </c>
      <c r="F165" s="630" t="s">
        <v>319</v>
      </c>
      <c r="G165" s="630" t="s">
        <v>324</v>
      </c>
      <c r="H165" s="601" t="s">
        <v>325</v>
      </c>
      <c r="I165" s="601" t="s">
        <v>399</v>
      </c>
      <c r="J165" s="630" t="s">
        <v>338</v>
      </c>
      <c r="K165" s="630" t="s">
        <v>339</v>
      </c>
      <c r="L165" s="630" t="b">
        <v>0</v>
      </c>
      <c r="M165" s="630" t="s">
        <v>321</v>
      </c>
      <c r="N165" s="630" t="s">
        <v>340</v>
      </c>
      <c r="O165" s="630" t="s">
        <v>341</v>
      </c>
    </row>
    <row r="166" spans="1:15" hidden="1" x14ac:dyDescent="0.25">
      <c r="A166" s="630" t="s">
        <v>336</v>
      </c>
      <c r="B166" s="629">
        <v>2.5</v>
      </c>
      <c r="C166" s="630"/>
      <c r="D166" s="630" t="s">
        <v>319</v>
      </c>
      <c r="E166" s="630" t="s">
        <v>319</v>
      </c>
      <c r="F166" s="630" t="s">
        <v>319</v>
      </c>
      <c r="G166" s="630" t="s">
        <v>324</v>
      </c>
      <c r="H166" s="601" t="s">
        <v>325</v>
      </c>
      <c r="I166" s="601" t="s">
        <v>400</v>
      </c>
      <c r="J166" s="630" t="s">
        <v>338</v>
      </c>
      <c r="K166" s="630" t="s">
        <v>339</v>
      </c>
      <c r="L166" s="630" t="b">
        <v>0</v>
      </c>
      <c r="M166" s="630" t="s">
        <v>321</v>
      </c>
      <c r="N166" s="630" t="s">
        <v>340</v>
      </c>
      <c r="O166" s="630" t="s">
        <v>341</v>
      </c>
    </row>
    <row r="167" spans="1:15" hidden="1" x14ac:dyDescent="0.25">
      <c r="A167" s="630" t="s">
        <v>336</v>
      </c>
      <c r="B167" s="629">
        <v>2.5</v>
      </c>
      <c r="C167" s="630"/>
      <c r="D167" s="630" t="s">
        <v>319</v>
      </c>
      <c r="E167" s="630" t="s">
        <v>319</v>
      </c>
      <c r="F167" s="630" t="s">
        <v>319</v>
      </c>
      <c r="G167" s="630" t="s">
        <v>324</v>
      </c>
      <c r="H167" s="601" t="s">
        <v>325</v>
      </c>
      <c r="I167" s="601" t="s">
        <v>401</v>
      </c>
      <c r="J167" s="630" t="s">
        <v>338</v>
      </c>
      <c r="K167" s="630" t="s">
        <v>339</v>
      </c>
      <c r="L167" s="630" t="b">
        <v>0</v>
      </c>
      <c r="M167" s="630" t="s">
        <v>321</v>
      </c>
      <c r="N167" s="630" t="s">
        <v>340</v>
      </c>
      <c r="O167" s="630" t="s">
        <v>341</v>
      </c>
    </row>
    <row r="168" spans="1:15" hidden="1" x14ac:dyDescent="0.25">
      <c r="A168" s="630" t="s">
        <v>336</v>
      </c>
      <c r="B168" s="629">
        <v>2.5</v>
      </c>
      <c r="C168" s="630"/>
      <c r="D168" s="630" t="s">
        <v>319</v>
      </c>
      <c r="E168" s="630" t="s">
        <v>319</v>
      </c>
      <c r="F168" s="630" t="s">
        <v>319</v>
      </c>
      <c r="G168" s="630" t="s">
        <v>324</v>
      </c>
      <c r="H168" s="601" t="s">
        <v>325</v>
      </c>
      <c r="I168" s="601" t="s">
        <v>402</v>
      </c>
      <c r="J168" s="630" t="s">
        <v>338</v>
      </c>
      <c r="K168" s="630" t="s">
        <v>339</v>
      </c>
      <c r="L168" s="630" t="b">
        <v>0</v>
      </c>
      <c r="M168" s="630" t="s">
        <v>321</v>
      </c>
      <c r="N168" s="630" t="s">
        <v>340</v>
      </c>
      <c r="O168" s="630" t="s">
        <v>341</v>
      </c>
    </row>
    <row r="169" spans="1:15" hidden="1" x14ac:dyDescent="0.25">
      <c r="A169" s="630" t="s">
        <v>336</v>
      </c>
      <c r="B169" s="629">
        <v>2.5</v>
      </c>
      <c r="C169" s="630"/>
      <c r="D169" s="630" t="s">
        <v>319</v>
      </c>
      <c r="E169" s="630" t="s">
        <v>319</v>
      </c>
      <c r="F169" s="630" t="s">
        <v>319</v>
      </c>
      <c r="G169" s="630" t="s">
        <v>324</v>
      </c>
      <c r="H169" s="601" t="s">
        <v>325</v>
      </c>
      <c r="I169" s="601" t="s">
        <v>403</v>
      </c>
      <c r="J169" s="630" t="s">
        <v>338</v>
      </c>
      <c r="K169" s="630" t="s">
        <v>339</v>
      </c>
      <c r="L169" s="630" t="b">
        <v>0</v>
      </c>
      <c r="M169" s="630" t="s">
        <v>321</v>
      </c>
      <c r="N169" s="630" t="s">
        <v>340</v>
      </c>
      <c r="O169" s="630" t="s">
        <v>341</v>
      </c>
    </row>
    <row r="170" spans="1:15" hidden="1" x14ac:dyDescent="0.25">
      <c r="A170" s="630" t="s">
        <v>336</v>
      </c>
      <c r="B170" s="629">
        <v>2.5</v>
      </c>
      <c r="C170" s="630"/>
      <c r="D170" s="630" t="s">
        <v>319</v>
      </c>
      <c r="E170" s="630" t="s">
        <v>319</v>
      </c>
      <c r="F170" s="630" t="s">
        <v>319</v>
      </c>
      <c r="G170" s="630" t="s">
        <v>324</v>
      </c>
      <c r="H170" s="601" t="s">
        <v>325</v>
      </c>
      <c r="I170" s="601" t="s">
        <v>404</v>
      </c>
      <c r="J170" s="630" t="s">
        <v>338</v>
      </c>
      <c r="K170" s="630" t="s">
        <v>339</v>
      </c>
      <c r="L170" s="630" t="b">
        <v>0</v>
      </c>
      <c r="M170" s="630" t="s">
        <v>321</v>
      </c>
      <c r="N170" s="630" t="s">
        <v>340</v>
      </c>
      <c r="O170" s="630" t="s">
        <v>341</v>
      </c>
    </row>
    <row r="171" spans="1:15" hidden="1" x14ac:dyDescent="0.25">
      <c r="A171" s="630" t="s">
        <v>336</v>
      </c>
      <c r="B171" s="629">
        <v>2.5</v>
      </c>
      <c r="C171" s="630"/>
      <c r="D171" s="630" t="s">
        <v>319</v>
      </c>
      <c r="E171" s="630" t="s">
        <v>319</v>
      </c>
      <c r="F171" s="630" t="s">
        <v>319</v>
      </c>
      <c r="G171" s="630" t="s">
        <v>324</v>
      </c>
      <c r="H171" s="601" t="s">
        <v>325</v>
      </c>
      <c r="I171" s="601" t="s">
        <v>405</v>
      </c>
      <c r="J171" s="630" t="s">
        <v>338</v>
      </c>
      <c r="K171" s="630" t="s">
        <v>339</v>
      </c>
      <c r="L171" s="630" t="b">
        <v>0</v>
      </c>
      <c r="M171" s="630" t="s">
        <v>321</v>
      </c>
      <c r="N171" s="630" t="s">
        <v>340</v>
      </c>
      <c r="O171" s="630" t="s">
        <v>341</v>
      </c>
    </row>
    <row r="172" spans="1:15" hidden="1" x14ac:dyDescent="0.25">
      <c r="A172" s="630" t="s">
        <v>336</v>
      </c>
      <c r="B172" s="629">
        <v>2.5</v>
      </c>
      <c r="C172" s="630"/>
      <c r="D172" s="630" t="s">
        <v>319</v>
      </c>
      <c r="E172" s="630" t="s">
        <v>319</v>
      </c>
      <c r="F172" s="630" t="s">
        <v>319</v>
      </c>
      <c r="G172" s="630" t="s">
        <v>324</v>
      </c>
      <c r="H172" s="601" t="s">
        <v>325</v>
      </c>
      <c r="I172" s="601" t="s">
        <v>406</v>
      </c>
      <c r="J172" s="630" t="s">
        <v>338</v>
      </c>
      <c r="K172" s="630" t="s">
        <v>339</v>
      </c>
      <c r="L172" s="630" t="b">
        <v>0</v>
      </c>
      <c r="M172" s="630" t="s">
        <v>321</v>
      </c>
      <c r="N172" s="630" t="s">
        <v>340</v>
      </c>
      <c r="O172" s="630" t="s">
        <v>341</v>
      </c>
    </row>
    <row r="173" spans="1:15" hidden="1" x14ac:dyDescent="0.25">
      <c r="A173" s="630" t="s">
        <v>336</v>
      </c>
      <c r="B173" s="629">
        <v>2.5</v>
      </c>
      <c r="C173" s="630"/>
      <c r="D173" s="630" t="s">
        <v>319</v>
      </c>
      <c r="E173" s="630" t="s">
        <v>319</v>
      </c>
      <c r="F173" s="630" t="s">
        <v>319</v>
      </c>
      <c r="G173" s="630" t="s">
        <v>324</v>
      </c>
      <c r="H173" s="601" t="s">
        <v>325</v>
      </c>
      <c r="I173" s="601" t="s">
        <v>407</v>
      </c>
      <c r="J173" s="630" t="s">
        <v>338</v>
      </c>
      <c r="K173" s="630" t="s">
        <v>339</v>
      </c>
      <c r="L173" s="630" t="b">
        <v>0</v>
      </c>
      <c r="M173" s="630" t="s">
        <v>321</v>
      </c>
      <c r="N173" s="630" t="s">
        <v>340</v>
      </c>
      <c r="O173" s="630" t="s">
        <v>341</v>
      </c>
    </row>
    <row r="174" spans="1:15" hidden="1" x14ac:dyDescent="0.25">
      <c r="A174" s="630" t="s">
        <v>336</v>
      </c>
      <c r="B174" s="629">
        <v>2.5</v>
      </c>
      <c r="C174" s="630"/>
      <c r="D174" s="630" t="s">
        <v>319</v>
      </c>
      <c r="E174" s="630" t="s">
        <v>319</v>
      </c>
      <c r="F174" s="630" t="s">
        <v>319</v>
      </c>
      <c r="G174" s="630" t="s">
        <v>324</v>
      </c>
      <c r="H174" s="601" t="s">
        <v>325</v>
      </c>
      <c r="I174" s="601" t="s">
        <v>408</v>
      </c>
      <c r="J174" s="630" t="s">
        <v>338</v>
      </c>
      <c r="K174" s="630" t="s">
        <v>339</v>
      </c>
      <c r="L174" s="630" t="b">
        <v>0</v>
      </c>
      <c r="M174" s="630" t="s">
        <v>321</v>
      </c>
      <c r="N174" s="630" t="s">
        <v>340</v>
      </c>
      <c r="O174" s="630" t="s">
        <v>341</v>
      </c>
    </row>
    <row r="175" spans="1:15" hidden="1" x14ac:dyDescent="0.25">
      <c r="A175" s="630" t="s">
        <v>336</v>
      </c>
      <c r="B175" s="629">
        <v>2.5</v>
      </c>
      <c r="C175" s="630"/>
      <c r="D175" s="630" t="s">
        <v>319</v>
      </c>
      <c r="E175" s="630" t="s">
        <v>319</v>
      </c>
      <c r="F175" s="630" t="s">
        <v>319</v>
      </c>
      <c r="G175" s="630" t="s">
        <v>324</v>
      </c>
      <c r="H175" s="601" t="s">
        <v>325</v>
      </c>
      <c r="I175" s="601" t="s">
        <v>409</v>
      </c>
      <c r="J175" s="630" t="s">
        <v>338</v>
      </c>
      <c r="K175" s="630" t="s">
        <v>339</v>
      </c>
      <c r="L175" s="630" t="b">
        <v>0</v>
      </c>
      <c r="M175" s="630" t="s">
        <v>321</v>
      </c>
      <c r="N175" s="630" t="s">
        <v>340</v>
      </c>
      <c r="O175" s="630" t="s">
        <v>341</v>
      </c>
    </row>
    <row r="176" spans="1:15" hidden="1" x14ac:dyDescent="0.25">
      <c r="A176" s="630" t="s">
        <v>336</v>
      </c>
      <c r="B176" s="629">
        <v>2.5</v>
      </c>
      <c r="C176" s="630"/>
      <c r="D176" s="630" t="s">
        <v>319</v>
      </c>
      <c r="E176" s="630" t="s">
        <v>319</v>
      </c>
      <c r="F176" s="630" t="s">
        <v>319</v>
      </c>
      <c r="G176" s="630" t="s">
        <v>324</v>
      </c>
      <c r="H176" s="601" t="s">
        <v>325</v>
      </c>
      <c r="I176" s="601" t="s">
        <v>410</v>
      </c>
      <c r="J176" s="630" t="s">
        <v>338</v>
      </c>
      <c r="K176" s="630" t="s">
        <v>339</v>
      </c>
      <c r="L176" s="630" t="b">
        <v>0</v>
      </c>
      <c r="M176" s="630" t="s">
        <v>321</v>
      </c>
      <c r="N176" s="630" t="s">
        <v>340</v>
      </c>
      <c r="O176" s="630" t="s">
        <v>341</v>
      </c>
    </row>
    <row r="177" spans="1:15" hidden="1" x14ac:dyDescent="0.25">
      <c r="A177" s="630" t="s">
        <v>336</v>
      </c>
      <c r="B177" s="629">
        <v>2.5</v>
      </c>
      <c r="C177" s="630"/>
      <c r="D177" s="630" t="s">
        <v>319</v>
      </c>
      <c r="E177" s="630" t="s">
        <v>319</v>
      </c>
      <c r="F177" s="630" t="s">
        <v>319</v>
      </c>
      <c r="G177" s="630" t="s">
        <v>324</v>
      </c>
      <c r="H177" s="601" t="s">
        <v>325</v>
      </c>
      <c r="I177" s="601" t="s">
        <v>411</v>
      </c>
      <c r="J177" s="630" t="s">
        <v>338</v>
      </c>
      <c r="K177" s="630" t="s">
        <v>339</v>
      </c>
      <c r="L177" s="630" t="b">
        <v>0</v>
      </c>
      <c r="M177" s="630" t="s">
        <v>321</v>
      </c>
      <c r="N177" s="630" t="s">
        <v>340</v>
      </c>
      <c r="O177" s="630" t="s">
        <v>341</v>
      </c>
    </row>
    <row r="178" spans="1:15" hidden="1" x14ac:dyDescent="0.25">
      <c r="A178" s="630" t="s">
        <v>336</v>
      </c>
      <c r="B178" s="629">
        <v>2.5</v>
      </c>
      <c r="C178" s="630"/>
      <c r="D178" s="630" t="s">
        <v>319</v>
      </c>
      <c r="E178" s="630" t="s">
        <v>319</v>
      </c>
      <c r="F178" s="630" t="s">
        <v>319</v>
      </c>
      <c r="G178" s="630" t="s">
        <v>324</v>
      </c>
      <c r="H178" s="601" t="s">
        <v>325</v>
      </c>
      <c r="I178" s="601" t="s">
        <v>412</v>
      </c>
      <c r="J178" s="630" t="s">
        <v>338</v>
      </c>
      <c r="K178" s="630" t="s">
        <v>339</v>
      </c>
      <c r="L178" s="630" t="b">
        <v>0</v>
      </c>
      <c r="M178" s="630" t="s">
        <v>321</v>
      </c>
      <c r="N178" s="630" t="s">
        <v>340</v>
      </c>
      <c r="O178" s="630" t="s">
        <v>341</v>
      </c>
    </row>
    <row r="179" spans="1:15" hidden="1" x14ac:dyDescent="0.25">
      <c r="A179" s="630" t="s">
        <v>336</v>
      </c>
      <c r="B179" s="629">
        <v>2.5</v>
      </c>
      <c r="C179" s="630"/>
      <c r="D179" s="630" t="s">
        <v>319</v>
      </c>
      <c r="E179" s="630" t="s">
        <v>319</v>
      </c>
      <c r="F179" s="630" t="s">
        <v>319</v>
      </c>
      <c r="G179" s="630" t="s">
        <v>324</v>
      </c>
      <c r="H179" s="601" t="s">
        <v>325</v>
      </c>
      <c r="I179" s="601" t="s">
        <v>413</v>
      </c>
      <c r="J179" s="630" t="s">
        <v>338</v>
      </c>
      <c r="K179" s="630" t="s">
        <v>339</v>
      </c>
      <c r="L179" s="630" t="b">
        <v>0</v>
      </c>
      <c r="M179" s="630" t="s">
        <v>321</v>
      </c>
      <c r="N179" s="630" t="s">
        <v>340</v>
      </c>
      <c r="O179" s="630" t="s">
        <v>341</v>
      </c>
    </row>
    <row r="180" spans="1:15" hidden="1" x14ac:dyDescent="0.25">
      <c r="A180" s="630" t="s">
        <v>336</v>
      </c>
      <c r="B180" s="629">
        <v>2.5</v>
      </c>
      <c r="C180" s="630"/>
      <c r="D180" s="630" t="s">
        <v>319</v>
      </c>
      <c r="E180" s="630" t="s">
        <v>319</v>
      </c>
      <c r="F180" s="630" t="s">
        <v>319</v>
      </c>
      <c r="G180" s="630" t="s">
        <v>324</v>
      </c>
      <c r="H180" s="601" t="s">
        <v>325</v>
      </c>
      <c r="I180" s="601" t="s">
        <v>414</v>
      </c>
      <c r="J180" s="630" t="s">
        <v>338</v>
      </c>
      <c r="K180" s="630" t="s">
        <v>339</v>
      </c>
      <c r="L180" s="630" t="b">
        <v>0</v>
      </c>
      <c r="M180" s="630" t="s">
        <v>321</v>
      </c>
      <c r="N180" s="630" t="s">
        <v>340</v>
      </c>
      <c r="O180" s="630" t="s">
        <v>341</v>
      </c>
    </row>
    <row r="181" spans="1:15" hidden="1" x14ac:dyDescent="0.25">
      <c r="A181" s="630" t="s">
        <v>336</v>
      </c>
      <c r="B181" s="629">
        <v>2.5</v>
      </c>
      <c r="C181" s="630"/>
      <c r="D181" s="630" t="s">
        <v>319</v>
      </c>
      <c r="E181" s="630" t="s">
        <v>319</v>
      </c>
      <c r="F181" s="630" t="s">
        <v>319</v>
      </c>
      <c r="G181" s="630" t="s">
        <v>324</v>
      </c>
      <c r="H181" s="601" t="s">
        <v>325</v>
      </c>
      <c r="I181" s="601" t="s">
        <v>415</v>
      </c>
      <c r="J181" s="630" t="s">
        <v>338</v>
      </c>
      <c r="K181" s="630" t="s">
        <v>339</v>
      </c>
      <c r="L181" s="630" t="b">
        <v>0</v>
      </c>
      <c r="M181" s="630" t="s">
        <v>321</v>
      </c>
      <c r="N181" s="630" t="s">
        <v>340</v>
      </c>
      <c r="O181" s="630" t="s">
        <v>341</v>
      </c>
    </row>
    <row r="182" spans="1:15" hidden="1" x14ac:dyDescent="0.25">
      <c r="A182" s="630" t="s">
        <v>336</v>
      </c>
      <c r="B182" s="629">
        <v>2.5</v>
      </c>
      <c r="C182" s="630"/>
      <c r="D182" s="630" t="s">
        <v>319</v>
      </c>
      <c r="E182" s="630" t="s">
        <v>319</v>
      </c>
      <c r="F182" s="630" t="s">
        <v>319</v>
      </c>
      <c r="G182" s="630" t="s">
        <v>324</v>
      </c>
      <c r="H182" s="601" t="s">
        <v>325</v>
      </c>
      <c r="I182" s="601" t="s">
        <v>416</v>
      </c>
      <c r="J182" s="630" t="s">
        <v>338</v>
      </c>
      <c r="K182" s="630" t="s">
        <v>339</v>
      </c>
      <c r="L182" s="630" t="b">
        <v>0</v>
      </c>
      <c r="M182" s="630" t="s">
        <v>321</v>
      </c>
      <c r="N182" s="630" t="s">
        <v>340</v>
      </c>
      <c r="O182" s="630" t="s">
        <v>341</v>
      </c>
    </row>
    <row r="183" spans="1:15" hidden="1" x14ac:dyDescent="0.25">
      <c r="A183" s="630" t="s">
        <v>417</v>
      </c>
      <c r="B183" s="629">
        <v>1</v>
      </c>
      <c r="C183" s="630"/>
      <c r="D183" s="630" t="s">
        <v>319</v>
      </c>
      <c r="E183" s="630" t="s">
        <v>319</v>
      </c>
      <c r="F183" s="630" t="s">
        <v>319</v>
      </c>
      <c r="G183" s="630" t="s">
        <v>418</v>
      </c>
      <c r="H183" s="601" t="s">
        <v>325</v>
      </c>
      <c r="I183" s="601" t="s">
        <v>419</v>
      </c>
      <c r="J183" s="630"/>
      <c r="K183" s="630"/>
      <c r="L183" s="630"/>
      <c r="M183" s="630"/>
      <c r="N183" s="630"/>
      <c r="O183" s="630"/>
    </row>
    <row r="184" spans="1:15" hidden="1" x14ac:dyDescent="0.25">
      <c r="A184" s="630" t="s">
        <v>417</v>
      </c>
      <c r="B184" s="629">
        <v>0.89500000000000002</v>
      </c>
      <c r="C184" s="630"/>
      <c r="D184" s="630" t="s">
        <v>319</v>
      </c>
      <c r="E184" s="630" t="s">
        <v>319</v>
      </c>
      <c r="F184" s="630" t="s">
        <v>319</v>
      </c>
      <c r="G184" s="630" t="s">
        <v>418</v>
      </c>
      <c r="H184" s="601" t="s">
        <v>325</v>
      </c>
      <c r="I184" s="601" t="s">
        <v>420</v>
      </c>
      <c r="J184" s="630"/>
      <c r="K184" s="630"/>
      <c r="L184" s="630"/>
      <c r="M184" s="630"/>
      <c r="N184" s="630"/>
      <c r="O184" s="630"/>
    </row>
    <row r="185" spans="1:15" hidden="1" x14ac:dyDescent="0.25">
      <c r="A185" s="630" t="s">
        <v>417</v>
      </c>
      <c r="B185" s="629">
        <v>0.79</v>
      </c>
      <c r="C185" s="630"/>
      <c r="D185" s="630" t="s">
        <v>319</v>
      </c>
      <c r="E185" s="630" t="s">
        <v>319</v>
      </c>
      <c r="F185" s="630" t="s">
        <v>319</v>
      </c>
      <c r="G185" s="630" t="s">
        <v>418</v>
      </c>
      <c r="H185" s="601" t="s">
        <v>325</v>
      </c>
      <c r="I185" s="601" t="s">
        <v>421</v>
      </c>
      <c r="J185" s="630"/>
      <c r="K185" s="630"/>
      <c r="L185" s="630"/>
      <c r="M185" s="630"/>
      <c r="N185" s="630"/>
      <c r="O185" s="630"/>
    </row>
    <row r="186" spans="1:15" hidden="1" x14ac:dyDescent="0.25">
      <c r="A186" s="630" t="s">
        <v>417</v>
      </c>
      <c r="B186" s="629">
        <v>0.63</v>
      </c>
      <c r="C186" s="630"/>
      <c r="D186" s="630" t="s">
        <v>319</v>
      </c>
      <c r="E186" s="630" t="s">
        <v>319</v>
      </c>
      <c r="F186" s="630" t="s">
        <v>319</v>
      </c>
      <c r="G186" s="630" t="s">
        <v>418</v>
      </c>
      <c r="H186" s="601" t="s">
        <v>325</v>
      </c>
      <c r="I186" s="601" t="s">
        <v>422</v>
      </c>
      <c r="J186" s="630"/>
      <c r="K186" s="630"/>
      <c r="L186" s="630"/>
      <c r="M186" s="630"/>
      <c r="N186" s="630"/>
      <c r="O186" s="630"/>
    </row>
    <row r="187" spans="1:15" hidden="1" x14ac:dyDescent="0.25">
      <c r="A187" s="630" t="s">
        <v>417</v>
      </c>
      <c r="B187" s="629">
        <v>0.53849999999999998</v>
      </c>
      <c r="C187" s="630"/>
      <c r="D187" s="630" t="s">
        <v>319</v>
      </c>
      <c r="E187" s="630" t="s">
        <v>319</v>
      </c>
      <c r="F187" s="630" t="s">
        <v>319</v>
      </c>
      <c r="G187" s="630" t="s">
        <v>418</v>
      </c>
      <c r="H187" s="601" t="s">
        <v>325</v>
      </c>
      <c r="I187" s="601" t="s">
        <v>423</v>
      </c>
      <c r="J187" s="630"/>
      <c r="K187" s="630"/>
      <c r="L187" s="630"/>
      <c r="M187" s="630"/>
      <c r="N187" s="630"/>
      <c r="O187" s="630"/>
    </row>
    <row r="188" spans="1:15" hidden="1" x14ac:dyDescent="0.25">
      <c r="A188" s="630" t="s">
        <v>417</v>
      </c>
      <c r="B188" s="629">
        <v>0.47110000000000002</v>
      </c>
      <c r="C188" s="630"/>
      <c r="D188" s="630" t="s">
        <v>319</v>
      </c>
      <c r="E188" s="630" t="s">
        <v>319</v>
      </c>
      <c r="F188" s="630" t="s">
        <v>319</v>
      </c>
      <c r="G188" s="630" t="s">
        <v>418</v>
      </c>
      <c r="H188" s="601" t="s">
        <v>325</v>
      </c>
      <c r="I188" s="601" t="s">
        <v>424</v>
      </c>
      <c r="J188" s="630"/>
      <c r="K188" s="630"/>
      <c r="L188" s="630"/>
      <c r="M188" s="630"/>
      <c r="N188" s="630"/>
      <c r="O188" s="630"/>
    </row>
    <row r="189" spans="1:15" hidden="1" x14ac:dyDescent="0.25">
      <c r="A189" s="630" t="s">
        <v>417</v>
      </c>
      <c r="B189" s="629">
        <v>0.4239</v>
      </c>
      <c r="C189" s="630"/>
      <c r="D189" s="630" t="s">
        <v>319</v>
      </c>
      <c r="E189" s="630" t="s">
        <v>319</v>
      </c>
      <c r="F189" s="630" t="s">
        <v>319</v>
      </c>
      <c r="G189" s="630" t="s">
        <v>418</v>
      </c>
      <c r="H189" s="601" t="s">
        <v>325</v>
      </c>
      <c r="I189" s="601" t="s">
        <v>425</v>
      </c>
      <c r="J189" s="630"/>
      <c r="K189" s="630"/>
      <c r="L189" s="630"/>
      <c r="M189" s="630"/>
      <c r="N189" s="630"/>
      <c r="O189" s="630"/>
    </row>
    <row r="190" spans="1:15" hidden="1" x14ac:dyDescent="0.25">
      <c r="A190" s="630" t="s">
        <v>417</v>
      </c>
      <c r="B190" s="629">
        <v>0.38940000000000002</v>
      </c>
      <c r="C190" s="630"/>
      <c r="D190" s="630" t="s">
        <v>319</v>
      </c>
      <c r="E190" s="630" t="s">
        <v>319</v>
      </c>
      <c r="F190" s="630" t="s">
        <v>319</v>
      </c>
      <c r="G190" s="630" t="s">
        <v>418</v>
      </c>
      <c r="H190" s="601" t="s">
        <v>325</v>
      </c>
      <c r="I190" s="601" t="s">
        <v>426</v>
      </c>
      <c r="J190" s="630"/>
      <c r="K190" s="630"/>
      <c r="L190" s="630"/>
      <c r="M190" s="630"/>
      <c r="N190" s="630"/>
      <c r="O190" s="630"/>
    </row>
    <row r="191" spans="1:15" hidden="1" x14ac:dyDescent="0.25">
      <c r="A191" s="630" t="s">
        <v>417</v>
      </c>
      <c r="B191" s="629">
        <v>0.3634</v>
      </c>
      <c r="C191" s="630"/>
      <c r="D191" s="630" t="s">
        <v>319</v>
      </c>
      <c r="E191" s="630" t="s">
        <v>319</v>
      </c>
      <c r="F191" s="630" t="s">
        <v>319</v>
      </c>
      <c r="G191" s="630" t="s">
        <v>418</v>
      </c>
      <c r="H191" s="601" t="s">
        <v>325</v>
      </c>
      <c r="I191" s="601" t="s">
        <v>427</v>
      </c>
      <c r="J191" s="630"/>
      <c r="K191" s="630"/>
      <c r="L191" s="630"/>
      <c r="M191" s="630"/>
      <c r="N191" s="630"/>
      <c r="O191" s="630"/>
    </row>
    <row r="192" spans="1:15" hidden="1" x14ac:dyDescent="0.25">
      <c r="A192" s="630" t="s">
        <v>417</v>
      </c>
      <c r="B192" s="629">
        <v>0.34339999999999998</v>
      </c>
      <c r="C192" s="630"/>
      <c r="D192" s="630" t="s">
        <v>319</v>
      </c>
      <c r="E192" s="630" t="s">
        <v>319</v>
      </c>
      <c r="F192" s="630" t="s">
        <v>319</v>
      </c>
      <c r="G192" s="630" t="s">
        <v>418</v>
      </c>
      <c r="H192" s="601" t="s">
        <v>325</v>
      </c>
      <c r="I192" s="601" t="s">
        <v>428</v>
      </c>
      <c r="J192" s="630"/>
      <c r="K192" s="630"/>
      <c r="L192" s="630"/>
      <c r="M192" s="630"/>
      <c r="N192" s="630"/>
      <c r="O192" s="630"/>
    </row>
    <row r="193" spans="1:15" hidden="1" x14ac:dyDescent="0.25">
      <c r="A193" s="630" t="s">
        <v>417</v>
      </c>
      <c r="B193" s="629">
        <v>0.32769999999999999</v>
      </c>
      <c r="C193" s="630"/>
      <c r="D193" s="630" t="s">
        <v>319</v>
      </c>
      <c r="E193" s="630" t="s">
        <v>319</v>
      </c>
      <c r="F193" s="630" t="s">
        <v>319</v>
      </c>
      <c r="G193" s="630" t="s">
        <v>418</v>
      </c>
      <c r="H193" s="601" t="s">
        <v>325</v>
      </c>
      <c r="I193" s="601" t="s">
        <v>429</v>
      </c>
      <c r="J193" s="630"/>
      <c r="K193" s="630"/>
      <c r="L193" s="630"/>
      <c r="M193" s="630"/>
      <c r="N193" s="630"/>
      <c r="O193" s="630"/>
    </row>
    <row r="194" spans="1:15" hidden="1" x14ac:dyDescent="0.25">
      <c r="A194" s="630" t="s">
        <v>417</v>
      </c>
      <c r="B194" s="629">
        <v>0.31540000000000001</v>
      </c>
      <c r="C194" s="630"/>
      <c r="D194" s="630" t="s">
        <v>319</v>
      </c>
      <c r="E194" s="630" t="s">
        <v>319</v>
      </c>
      <c r="F194" s="630" t="s">
        <v>319</v>
      </c>
      <c r="G194" s="630" t="s">
        <v>418</v>
      </c>
      <c r="H194" s="601" t="s">
        <v>325</v>
      </c>
      <c r="I194" s="601" t="s">
        <v>430</v>
      </c>
      <c r="J194" s="630"/>
      <c r="K194" s="630"/>
      <c r="L194" s="630"/>
      <c r="M194" s="630"/>
      <c r="N194" s="630"/>
      <c r="O194" s="630"/>
    </row>
    <row r="195" spans="1:15" hidden="1" x14ac:dyDescent="0.25">
      <c r="A195" s="630" t="s">
        <v>417</v>
      </c>
      <c r="B195" s="629">
        <v>0.29959999999999998</v>
      </c>
      <c r="C195" s="630"/>
      <c r="D195" s="630" t="s">
        <v>319</v>
      </c>
      <c r="E195" s="630" t="s">
        <v>319</v>
      </c>
      <c r="F195" s="630" t="s">
        <v>319</v>
      </c>
      <c r="G195" s="630" t="s">
        <v>418</v>
      </c>
      <c r="H195" s="601" t="s">
        <v>325</v>
      </c>
      <c r="I195" s="601" t="s">
        <v>431</v>
      </c>
      <c r="J195" s="630"/>
      <c r="K195" s="630"/>
      <c r="L195" s="630"/>
      <c r="M195" s="630"/>
      <c r="N195" s="630"/>
      <c r="O195" s="630"/>
    </row>
    <row r="196" spans="1:15" hidden="1" x14ac:dyDescent="0.25">
      <c r="A196" s="630" t="s">
        <v>417</v>
      </c>
      <c r="B196" s="629">
        <v>0.28639999999999999</v>
      </c>
      <c r="C196" s="630"/>
      <c r="D196" s="630" t="s">
        <v>319</v>
      </c>
      <c r="E196" s="630" t="s">
        <v>319</v>
      </c>
      <c r="F196" s="630" t="s">
        <v>319</v>
      </c>
      <c r="G196" s="630" t="s">
        <v>418</v>
      </c>
      <c r="H196" s="601" t="s">
        <v>325</v>
      </c>
      <c r="I196" s="601" t="s">
        <v>432</v>
      </c>
      <c r="J196" s="630"/>
      <c r="K196" s="630"/>
      <c r="L196" s="630"/>
      <c r="M196" s="630"/>
      <c r="N196" s="630"/>
      <c r="O196" s="630"/>
    </row>
    <row r="197" spans="1:15" hidden="1" x14ac:dyDescent="0.25">
      <c r="A197" s="630" t="s">
        <v>417</v>
      </c>
      <c r="B197" s="629">
        <v>0.27510000000000001</v>
      </c>
      <c r="C197" s="630"/>
      <c r="D197" s="630" t="s">
        <v>319</v>
      </c>
      <c r="E197" s="630" t="s">
        <v>319</v>
      </c>
      <c r="F197" s="630" t="s">
        <v>319</v>
      </c>
      <c r="G197" s="630" t="s">
        <v>418</v>
      </c>
      <c r="H197" s="601" t="s">
        <v>325</v>
      </c>
      <c r="I197" s="601" t="s">
        <v>433</v>
      </c>
      <c r="J197" s="630"/>
      <c r="K197" s="630"/>
      <c r="L197" s="630"/>
      <c r="M197" s="630"/>
      <c r="N197" s="630"/>
      <c r="O197" s="630"/>
    </row>
    <row r="198" spans="1:15" hidden="1" x14ac:dyDescent="0.25">
      <c r="A198" s="630" t="s">
        <v>417</v>
      </c>
      <c r="B198" s="629">
        <v>0.26550000000000001</v>
      </c>
      <c r="C198" s="630"/>
      <c r="D198" s="630" t="s">
        <v>319</v>
      </c>
      <c r="E198" s="630" t="s">
        <v>319</v>
      </c>
      <c r="F198" s="630" t="s">
        <v>319</v>
      </c>
      <c r="G198" s="630" t="s">
        <v>418</v>
      </c>
      <c r="H198" s="601" t="s">
        <v>325</v>
      </c>
      <c r="I198" s="601" t="s">
        <v>434</v>
      </c>
      <c r="J198" s="630"/>
      <c r="K198" s="630"/>
      <c r="L198" s="630"/>
      <c r="M198" s="630"/>
      <c r="N198" s="630"/>
      <c r="O198" s="630"/>
    </row>
    <row r="199" spans="1:15" hidden="1" x14ac:dyDescent="0.25">
      <c r="A199" s="630" t="s">
        <v>417</v>
      </c>
      <c r="B199" s="629">
        <v>0.25719999999999998</v>
      </c>
      <c r="C199" s="630"/>
      <c r="D199" s="630" t="s">
        <v>319</v>
      </c>
      <c r="E199" s="630" t="s">
        <v>319</v>
      </c>
      <c r="F199" s="630" t="s">
        <v>319</v>
      </c>
      <c r="G199" s="630" t="s">
        <v>418</v>
      </c>
      <c r="H199" s="601" t="s">
        <v>325</v>
      </c>
      <c r="I199" s="601" t="s">
        <v>435</v>
      </c>
      <c r="J199" s="630"/>
      <c r="K199" s="630"/>
      <c r="L199" s="630"/>
      <c r="M199" s="630"/>
      <c r="N199" s="630"/>
      <c r="O199" s="630"/>
    </row>
    <row r="200" spans="1:15" hidden="1" x14ac:dyDescent="0.25">
      <c r="A200" s="630" t="s">
        <v>417</v>
      </c>
      <c r="B200" s="629">
        <v>0.25</v>
      </c>
      <c r="C200" s="630"/>
      <c r="D200" s="630" t="s">
        <v>319</v>
      </c>
      <c r="E200" s="630" t="s">
        <v>319</v>
      </c>
      <c r="F200" s="630" t="s">
        <v>319</v>
      </c>
      <c r="G200" s="630" t="s">
        <v>418</v>
      </c>
      <c r="H200" s="601" t="s">
        <v>325</v>
      </c>
      <c r="I200" s="601" t="s">
        <v>436</v>
      </c>
      <c r="J200" s="630"/>
      <c r="K200" s="630"/>
      <c r="L200" s="630"/>
      <c r="M200" s="630"/>
      <c r="N200" s="630"/>
      <c r="O200" s="630"/>
    </row>
    <row r="201" spans="1:15" hidden="1" x14ac:dyDescent="0.25">
      <c r="A201" s="630" t="s">
        <v>417</v>
      </c>
      <c r="B201" s="629">
        <v>0.24199999999999999</v>
      </c>
      <c r="C201" s="630"/>
      <c r="D201" s="630" t="s">
        <v>319</v>
      </c>
      <c r="E201" s="630" t="s">
        <v>319</v>
      </c>
      <c r="F201" s="630" t="s">
        <v>319</v>
      </c>
      <c r="G201" s="630" t="s">
        <v>418</v>
      </c>
      <c r="H201" s="601" t="s">
        <v>325</v>
      </c>
      <c r="I201" s="601" t="s">
        <v>437</v>
      </c>
      <c r="J201" s="630"/>
      <c r="K201" s="630"/>
      <c r="L201" s="630"/>
      <c r="M201" s="630"/>
      <c r="N201" s="630"/>
      <c r="O201" s="630"/>
    </row>
    <row r="202" spans="1:15" hidden="1" x14ac:dyDescent="0.25">
      <c r="A202" s="630" t="s">
        <v>417</v>
      </c>
      <c r="B202" s="629">
        <v>0.23499999999999999</v>
      </c>
      <c r="C202" s="630"/>
      <c r="D202" s="630" t="s">
        <v>319</v>
      </c>
      <c r="E202" s="630" t="s">
        <v>319</v>
      </c>
      <c r="F202" s="630" t="s">
        <v>319</v>
      </c>
      <c r="G202" s="630" t="s">
        <v>418</v>
      </c>
      <c r="H202" s="601" t="s">
        <v>325</v>
      </c>
      <c r="I202" s="601" t="s">
        <v>438</v>
      </c>
      <c r="J202" s="630"/>
      <c r="K202" s="630"/>
      <c r="L202" s="630"/>
      <c r="M202" s="630"/>
      <c r="N202" s="630"/>
      <c r="O202" s="630"/>
    </row>
    <row r="203" spans="1:15" hidden="1" x14ac:dyDescent="0.25">
      <c r="A203" s="630" t="s">
        <v>417</v>
      </c>
      <c r="B203" s="629">
        <v>0.2</v>
      </c>
      <c r="C203" s="630"/>
      <c r="D203" s="630" t="s">
        <v>319</v>
      </c>
      <c r="E203" s="630" t="s">
        <v>319</v>
      </c>
      <c r="F203" s="630" t="s">
        <v>319</v>
      </c>
      <c r="G203" s="630" t="s">
        <v>418</v>
      </c>
      <c r="H203" s="601" t="s">
        <v>325</v>
      </c>
      <c r="I203" s="601" t="s">
        <v>439</v>
      </c>
      <c r="J203" s="630"/>
      <c r="K203" s="630"/>
      <c r="L203" s="630"/>
      <c r="M203" s="630"/>
      <c r="N203" s="630"/>
      <c r="O203" s="630"/>
    </row>
    <row r="204" spans="1:15" hidden="1" x14ac:dyDescent="0.25">
      <c r="A204" s="630" t="s">
        <v>417</v>
      </c>
      <c r="B204" s="629">
        <v>0.15</v>
      </c>
      <c r="C204" s="630"/>
      <c r="D204" s="630" t="s">
        <v>319</v>
      </c>
      <c r="E204" s="630" t="s">
        <v>319</v>
      </c>
      <c r="F204" s="630" t="s">
        <v>319</v>
      </c>
      <c r="G204" s="630" t="s">
        <v>418</v>
      </c>
      <c r="H204" s="601" t="s">
        <v>325</v>
      </c>
      <c r="I204" s="601" t="s">
        <v>440</v>
      </c>
      <c r="J204" s="630"/>
      <c r="K204" s="630"/>
      <c r="L204" s="630"/>
      <c r="M204" s="630"/>
      <c r="N204" s="630"/>
      <c r="O204" s="630"/>
    </row>
    <row r="205" spans="1:15" hidden="1" x14ac:dyDescent="0.25">
      <c r="A205" s="630" t="s">
        <v>417</v>
      </c>
      <c r="B205" s="629">
        <v>0.12</v>
      </c>
      <c r="C205" s="630"/>
      <c r="D205" s="630" t="s">
        <v>319</v>
      </c>
      <c r="E205" s="630" t="s">
        <v>319</v>
      </c>
      <c r="F205" s="630" t="s">
        <v>319</v>
      </c>
      <c r="G205" s="630" t="s">
        <v>418</v>
      </c>
      <c r="H205" s="601" t="s">
        <v>325</v>
      </c>
      <c r="I205" s="601" t="s">
        <v>441</v>
      </c>
      <c r="J205" s="630"/>
      <c r="K205" s="630"/>
      <c r="L205" s="630"/>
      <c r="M205" s="630"/>
      <c r="N205" s="630"/>
      <c r="O205" s="630"/>
    </row>
    <row r="206" spans="1:15" hidden="1" x14ac:dyDescent="0.25">
      <c r="A206" s="630" t="s">
        <v>417</v>
      </c>
      <c r="B206" s="629">
        <v>8.5999999999999993E-2</v>
      </c>
      <c r="C206" s="630"/>
      <c r="D206" s="630" t="s">
        <v>319</v>
      </c>
      <c r="E206" s="630" t="s">
        <v>319</v>
      </c>
      <c r="F206" s="630" t="s">
        <v>319</v>
      </c>
      <c r="G206" s="630" t="s">
        <v>418</v>
      </c>
      <c r="H206" s="601" t="s">
        <v>325</v>
      </c>
      <c r="I206" s="601" t="s">
        <v>442</v>
      </c>
      <c r="J206" s="630"/>
      <c r="K206" s="630"/>
      <c r="L206" s="630"/>
      <c r="M206" s="630"/>
      <c r="N206" s="630"/>
      <c r="O206" s="630"/>
    </row>
    <row r="207" spans="1:15" hidden="1" x14ac:dyDescent="0.25">
      <c r="A207" s="630" t="s">
        <v>417</v>
      </c>
      <c r="B207" s="629">
        <v>6.2E-2</v>
      </c>
      <c r="C207" s="630"/>
      <c r="D207" s="630" t="s">
        <v>319</v>
      </c>
      <c r="E207" s="630" t="s">
        <v>319</v>
      </c>
      <c r="F207" s="630" t="s">
        <v>319</v>
      </c>
      <c r="G207" s="630" t="s">
        <v>418</v>
      </c>
      <c r="H207" s="601" t="s">
        <v>325</v>
      </c>
      <c r="I207" s="601" t="s">
        <v>443</v>
      </c>
      <c r="J207" s="630"/>
      <c r="K207" s="630"/>
      <c r="L207" s="630"/>
      <c r="M207" s="630"/>
      <c r="N207" s="630"/>
      <c r="O207" s="630"/>
    </row>
    <row r="208" spans="1:15" hidden="1" x14ac:dyDescent="0.25">
      <c r="A208" s="630" t="s">
        <v>417</v>
      </c>
      <c r="B208" s="629">
        <v>4.3999999999999997E-2</v>
      </c>
      <c r="C208" s="630"/>
      <c r="D208" s="630" t="s">
        <v>319</v>
      </c>
      <c r="E208" s="630" t="s">
        <v>319</v>
      </c>
      <c r="F208" s="630" t="s">
        <v>319</v>
      </c>
      <c r="G208" s="630" t="s">
        <v>418</v>
      </c>
      <c r="H208" s="601" t="s">
        <v>325</v>
      </c>
      <c r="I208" s="601" t="s">
        <v>444</v>
      </c>
      <c r="J208" s="630"/>
      <c r="K208" s="630"/>
      <c r="L208" s="630"/>
      <c r="M208" s="630"/>
      <c r="N208" s="630"/>
      <c r="O208" s="630"/>
    </row>
    <row r="209" spans="1:15" hidden="1" x14ac:dyDescent="0.25">
      <c r="A209" s="630" t="s">
        <v>417</v>
      </c>
      <c r="B209" s="629">
        <v>3.2000000000000001E-2</v>
      </c>
      <c r="C209" s="630"/>
      <c r="D209" s="630" t="s">
        <v>319</v>
      </c>
      <c r="E209" s="630" t="s">
        <v>319</v>
      </c>
      <c r="F209" s="630" t="s">
        <v>319</v>
      </c>
      <c r="G209" s="630" t="s">
        <v>418</v>
      </c>
      <c r="H209" s="601" t="s">
        <v>325</v>
      </c>
      <c r="I209" s="601" t="s">
        <v>445</v>
      </c>
      <c r="J209" s="630"/>
      <c r="K209" s="630"/>
      <c r="L209" s="630"/>
      <c r="M209" s="630"/>
      <c r="N209" s="630"/>
      <c r="O209" s="630"/>
    </row>
    <row r="210" spans="1:15" hidden="1" x14ac:dyDescent="0.25">
      <c r="A210" s="630" t="s">
        <v>417</v>
      </c>
      <c r="B210" s="629">
        <v>2.5000000000000001E-2</v>
      </c>
      <c r="C210" s="630"/>
      <c r="D210" s="630" t="s">
        <v>319</v>
      </c>
      <c r="E210" s="630" t="s">
        <v>319</v>
      </c>
      <c r="F210" s="630" t="s">
        <v>319</v>
      </c>
      <c r="G210" s="630" t="s">
        <v>418</v>
      </c>
      <c r="H210" s="601" t="s">
        <v>325</v>
      </c>
      <c r="I210" s="601" t="s">
        <v>446</v>
      </c>
      <c r="J210" s="630"/>
      <c r="K210" s="630"/>
      <c r="L210" s="630"/>
      <c r="M210" s="630"/>
      <c r="N210" s="630"/>
      <c r="O210" s="630"/>
    </row>
    <row r="211" spans="1:15" hidden="1" x14ac:dyDescent="0.25">
      <c r="A211" s="630" t="s">
        <v>417</v>
      </c>
      <c r="B211" s="629">
        <v>0.02</v>
      </c>
      <c r="C211" s="630"/>
      <c r="D211" s="630" t="s">
        <v>319</v>
      </c>
      <c r="E211" s="630" t="s">
        <v>319</v>
      </c>
      <c r="F211" s="630" t="s">
        <v>319</v>
      </c>
      <c r="G211" s="630" t="s">
        <v>418</v>
      </c>
      <c r="H211" s="601" t="s">
        <v>325</v>
      </c>
      <c r="I211" s="601" t="s">
        <v>447</v>
      </c>
      <c r="J211" s="630"/>
      <c r="K211" s="630"/>
      <c r="L211" s="630"/>
      <c r="M211" s="630"/>
      <c r="N211" s="630"/>
      <c r="O211" s="630"/>
    </row>
    <row r="212" spans="1:15" hidden="1" x14ac:dyDescent="0.25">
      <c r="A212" s="601" t="s">
        <v>448</v>
      </c>
      <c r="B212" s="636">
        <v>3.4910000000000001</v>
      </c>
      <c r="C212" s="601"/>
      <c r="D212" s="601" t="s">
        <v>319</v>
      </c>
      <c r="E212" s="601" t="s">
        <v>319</v>
      </c>
      <c r="F212" s="601" t="s">
        <v>319</v>
      </c>
      <c r="G212" s="601" t="s">
        <v>449</v>
      </c>
      <c r="H212" s="601" t="s">
        <v>325</v>
      </c>
      <c r="I212" s="601" t="s">
        <v>450</v>
      </c>
      <c r="J212" s="575"/>
      <c r="K212" s="575"/>
      <c r="L212" s="575"/>
      <c r="M212" s="575"/>
      <c r="N212" s="575"/>
      <c r="O212" s="575"/>
    </row>
    <row r="213" spans="1:15" hidden="1" x14ac:dyDescent="0.25">
      <c r="A213" s="601" t="s">
        <v>448</v>
      </c>
      <c r="B213" s="636">
        <v>3.222</v>
      </c>
      <c r="C213" s="601"/>
      <c r="D213" s="601" t="s">
        <v>319</v>
      </c>
      <c r="E213" s="601" t="s">
        <v>319</v>
      </c>
      <c r="F213" s="601" t="s">
        <v>319</v>
      </c>
      <c r="G213" s="601" t="s">
        <v>449</v>
      </c>
      <c r="H213" s="601" t="s">
        <v>325</v>
      </c>
      <c r="I213" s="601" t="s">
        <v>451</v>
      </c>
      <c r="J213" s="575"/>
      <c r="K213" s="575"/>
      <c r="L213" s="575"/>
      <c r="M213" s="575"/>
      <c r="N213" s="575"/>
      <c r="O213" s="575"/>
    </row>
    <row r="214" spans="1:15" hidden="1" x14ac:dyDescent="0.25">
      <c r="A214" s="601" t="s">
        <v>448</v>
      </c>
      <c r="B214" s="636">
        <v>3.004</v>
      </c>
      <c r="C214" s="601"/>
      <c r="D214" s="601" t="s">
        <v>319</v>
      </c>
      <c r="E214" s="601" t="s">
        <v>319</v>
      </c>
      <c r="F214" s="601" t="s">
        <v>319</v>
      </c>
      <c r="G214" s="601" t="s">
        <v>449</v>
      </c>
      <c r="H214" s="601" t="s">
        <v>325</v>
      </c>
      <c r="I214" s="601" t="s">
        <v>452</v>
      </c>
      <c r="J214" s="575"/>
      <c r="K214" s="575"/>
      <c r="L214" s="575"/>
      <c r="M214" s="575"/>
      <c r="N214" s="575"/>
      <c r="O214" s="575"/>
    </row>
    <row r="215" spans="1:15" hidden="1" x14ac:dyDescent="0.25">
      <c r="A215" s="601" t="s">
        <v>448</v>
      </c>
      <c r="B215" s="636">
        <v>2.8460000000000001</v>
      </c>
      <c r="C215" s="601"/>
      <c r="D215" s="601" t="s">
        <v>319</v>
      </c>
      <c r="E215" s="601" t="s">
        <v>319</v>
      </c>
      <c r="F215" s="601" t="s">
        <v>319</v>
      </c>
      <c r="G215" s="601" t="s">
        <v>449</v>
      </c>
      <c r="H215" s="601" t="s">
        <v>325</v>
      </c>
      <c r="I215" s="601" t="s">
        <v>453</v>
      </c>
      <c r="J215" s="575"/>
      <c r="K215" s="575"/>
      <c r="L215" s="575"/>
      <c r="M215" s="575"/>
      <c r="N215" s="575"/>
      <c r="O215" s="575"/>
    </row>
    <row r="216" spans="1:15" hidden="1" x14ac:dyDescent="0.25">
      <c r="A216" s="601" t="s">
        <v>448</v>
      </c>
      <c r="B216" s="636">
        <v>2.7010000000000001</v>
      </c>
      <c r="C216" s="601"/>
      <c r="D216" s="601" t="s">
        <v>319</v>
      </c>
      <c r="E216" s="601" t="s">
        <v>319</v>
      </c>
      <c r="F216" s="601" t="s">
        <v>319</v>
      </c>
      <c r="G216" s="601" t="s">
        <v>449</v>
      </c>
      <c r="H216" s="601" t="s">
        <v>325</v>
      </c>
      <c r="I216" s="601" t="s">
        <v>454</v>
      </c>
      <c r="J216" s="575"/>
      <c r="K216" s="575"/>
      <c r="L216" s="575"/>
      <c r="M216" s="575"/>
      <c r="N216" s="575"/>
      <c r="O216" s="575"/>
    </row>
    <row r="217" spans="1:15" hidden="1" x14ac:dyDescent="0.25">
      <c r="A217" s="601" t="s">
        <v>448</v>
      </c>
      <c r="B217" s="636">
        <v>2.5670000000000002</v>
      </c>
      <c r="C217" s="601"/>
      <c r="D217" s="601" t="s">
        <v>319</v>
      </c>
      <c r="E217" s="601" t="s">
        <v>319</v>
      </c>
      <c r="F217" s="601" t="s">
        <v>319</v>
      </c>
      <c r="G217" s="601" t="s">
        <v>449</v>
      </c>
      <c r="H217" s="601" t="s">
        <v>325</v>
      </c>
      <c r="I217" s="601" t="s">
        <v>455</v>
      </c>
      <c r="J217" s="575"/>
      <c r="K217" s="575"/>
      <c r="L217" s="575"/>
      <c r="M217" s="575"/>
      <c r="N217" s="575"/>
      <c r="O217" s="575"/>
    </row>
    <row r="218" spans="1:15" hidden="1" x14ac:dyDescent="0.25">
      <c r="A218" s="601" t="s">
        <v>448</v>
      </c>
      <c r="B218" s="636">
        <v>2.4470000000000001</v>
      </c>
      <c r="C218" s="601"/>
      <c r="D218" s="601" t="s">
        <v>319</v>
      </c>
      <c r="E218" s="601" t="s">
        <v>319</v>
      </c>
      <c r="F218" s="601" t="s">
        <v>319</v>
      </c>
      <c r="G218" s="601" t="s">
        <v>449</v>
      </c>
      <c r="H218" s="601" t="s">
        <v>325</v>
      </c>
      <c r="I218" s="601" t="s">
        <v>456</v>
      </c>
      <c r="J218" s="575"/>
      <c r="K218" s="575"/>
      <c r="L218" s="575"/>
      <c r="M218" s="575"/>
      <c r="N218" s="575"/>
      <c r="O218" s="575"/>
    </row>
    <row r="219" spans="1:15" hidden="1" x14ac:dyDescent="0.25">
      <c r="A219" s="601" t="s">
        <v>448</v>
      </c>
      <c r="B219" s="636">
        <v>2.3420000000000001</v>
      </c>
      <c r="C219" s="601"/>
      <c r="D219" s="601" t="s">
        <v>319</v>
      </c>
      <c r="E219" s="601" t="s">
        <v>319</v>
      </c>
      <c r="F219" s="601" t="s">
        <v>319</v>
      </c>
      <c r="G219" s="601" t="s">
        <v>449</v>
      </c>
      <c r="H219" s="601" t="s">
        <v>325</v>
      </c>
      <c r="I219" s="601" t="s">
        <v>457</v>
      </c>
      <c r="J219" s="575"/>
      <c r="K219" s="575"/>
      <c r="L219" s="575"/>
      <c r="M219" s="575"/>
      <c r="N219" s="575"/>
      <c r="O219" s="575"/>
    </row>
    <row r="220" spans="1:15" hidden="1" x14ac:dyDescent="0.25">
      <c r="A220" s="601" t="s">
        <v>448</v>
      </c>
      <c r="B220" s="636">
        <v>2.25</v>
      </c>
      <c r="C220" s="601"/>
      <c r="D220" s="601" t="s">
        <v>319</v>
      </c>
      <c r="E220" s="601" t="s">
        <v>319</v>
      </c>
      <c r="F220" s="601" t="s">
        <v>319</v>
      </c>
      <c r="G220" s="601" t="s">
        <v>449</v>
      </c>
      <c r="H220" s="601" t="s">
        <v>325</v>
      </c>
      <c r="I220" s="601" t="s">
        <v>458</v>
      </c>
      <c r="J220" s="575"/>
      <c r="K220" s="575"/>
      <c r="L220" s="575"/>
      <c r="M220" s="575"/>
      <c r="N220" s="575"/>
      <c r="O220" s="575"/>
    </row>
    <row r="221" spans="1:15" hidden="1" x14ac:dyDescent="0.25">
      <c r="A221" s="601" t="s">
        <v>448</v>
      </c>
      <c r="B221" s="636">
        <v>2.105</v>
      </c>
      <c r="C221" s="601"/>
      <c r="D221" s="601" t="s">
        <v>319</v>
      </c>
      <c r="E221" s="601" t="s">
        <v>319</v>
      </c>
      <c r="F221" s="601" t="s">
        <v>319</v>
      </c>
      <c r="G221" s="601" t="s">
        <v>449</v>
      </c>
      <c r="H221" s="601" t="s">
        <v>325</v>
      </c>
      <c r="I221" s="601" t="s">
        <v>459</v>
      </c>
      <c r="J221" s="575"/>
      <c r="K221" s="575"/>
      <c r="L221" s="575"/>
      <c r="M221" s="575"/>
      <c r="N221" s="575"/>
      <c r="O221" s="575"/>
    </row>
    <row r="222" spans="1:15" hidden="1" x14ac:dyDescent="0.25">
      <c r="A222" s="601" t="s">
        <v>448</v>
      </c>
      <c r="B222" s="636">
        <v>1.889</v>
      </c>
      <c r="C222" s="601"/>
      <c r="D222" s="601" t="s">
        <v>319</v>
      </c>
      <c r="E222" s="601" t="s">
        <v>319</v>
      </c>
      <c r="F222" s="601" t="s">
        <v>319</v>
      </c>
      <c r="G222" s="601" t="s">
        <v>449</v>
      </c>
      <c r="H222" s="601" t="s">
        <v>325</v>
      </c>
      <c r="I222" s="601" t="s">
        <v>460</v>
      </c>
      <c r="J222" s="575"/>
      <c r="K222" s="575"/>
      <c r="L222" s="575"/>
      <c r="M222" s="575"/>
      <c r="N222" s="575"/>
      <c r="O222" s="575"/>
    </row>
    <row r="223" spans="1:15" hidden="1" x14ac:dyDescent="0.25">
      <c r="A223" s="601" t="s">
        <v>448</v>
      </c>
      <c r="B223" s="636">
        <v>1.6020000000000001</v>
      </c>
      <c r="C223" s="601"/>
      <c r="D223" s="601" t="s">
        <v>319</v>
      </c>
      <c r="E223" s="601" t="s">
        <v>319</v>
      </c>
      <c r="F223" s="601" t="s">
        <v>319</v>
      </c>
      <c r="G223" s="601" t="s">
        <v>449</v>
      </c>
      <c r="H223" s="601" t="s">
        <v>325</v>
      </c>
      <c r="I223" s="601" t="s">
        <v>461</v>
      </c>
      <c r="J223" s="575"/>
      <c r="K223" s="575"/>
      <c r="L223" s="575"/>
      <c r="M223" s="575"/>
      <c r="N223" s="575"/>
      <c r="O223" s="575"/>
    </row>
    <row r="224" spans="1:15" hidden="1" x14ac:dyDescent="0.25">
      <c r="A224" s="601" t="s">
        <v>448</v>
      </c>
      <c r="B224" s="636">
        <v>1.25</v>
      </c>
      <c r="C224" s="601"/>
      <c r="D224" s="601" t="s">
        <v>319</v>
      </c>
      <c r="E224" s="601" t="s">
        <v>319</v>
      </c>
      <c r="F224" s="601" t="s">
        <v>319</v>
      </c>
      <c r="G224" s="601" t="s">
        <v>449</v>
      </c>
      <c r="H224" s="601" t="s">
        <v>325</v>
      </c>
      <c r="I224" s="601" t="s">
        <v>462</v>
      </c>
      <c r="J224" s="575"/>
      <c r="K224" s="575"/>
      <c r="L224" s="575"/>
      <c r="M224" s="575"/>
      <c r="N224" s="575"/>
      <c r="O224" s="575"/>
    </row>
    <row r="225" spans="1:15" hidden="1" x14ac:dyDescent="0.25">
      <c r="A225" s="601" t="s">
        <v>448</v>
      </c>
      <c r="B225" s="636">
        <v>1.25</v>
      </c>
      <c r="C225" s="601"/>
      <c r="D225" s="601" t="s">
        <v>319</v>
      </c>
      <c r="E225" s="601" t="s">
        <v>319</v>
      </c>
      <c r="F225" s="601" t="s">
        <v>319</v>
      </c>
      <c r="G225" s="601" t="s">
        <v>449</v>
      </c>
      <c r="H225" s="601" t="s">
        <v>325</v>
      </c>
      <c r="I225" s="601" t="s">
        <v>463</v>
      </c>
      <c r="J225" s="575"/>
      <c r="K225" s="575"/>
      <c r="L225" s="575"/>
      <c r="M225" s="575"/>
      <c r="N225" s="575"/>
      <c r="O225" s="575"/>
    </row>
    <row r="226" spans="1:15" hidden="1" x14ac:dyDescent="0.25">
      <c r="A226" s="601" t="s">
        <v>448</v>
      </c>
      <c r="B226" s="636">
        <v>1.25</v>
      </c>
      <c r="C226" s="601"/>
      <c r="D226" s="601" t="s">
        <v>319</v>
      </c>
      <c r="E226" s="601" t="s">
        <v>319</v>
      </c>
      <c r="F226" s="601" t="s">
        <v>319</v>
      </c>
      <c r="G226" s="601" t="s">
        <v>449</v>
      </c>
      <c r="H226" s="601" t="s">
        <v>325</v>
      </c>
      <c r="I226" s="601" t="s">
        <v>464</v>
      </c>
      <c r="J226" s="575"/>
      <c r="K226" s="575"/>
      <c r="L226" s="575"/>
      <c r="M226" s="575"/>
      <c r="N226" s="575"/>
      <c r="O226" s="575"/>
    </row>
    <row r="227" spans="1:15" hidden="1" x14ac:dyDescent="0.25">
      <c r="A227" s="601" t="s">
        <v>448</v>
      </c>
      <c r="B227" s="636">
        <v>1.25</v>
      </c>
      <c r="C227" s="601"/>
      <c r="D227" s="601" t="s">
        <v>319</v>
      </c>
      <c r="E227" s="601" t="s">
        <v>319</v>
      </c>
      <c r="F227" s="601" t="s">
        <v>319</v>
      </c>
      <c r="G227" s="601" t="s">
        <v>449</v>
      </c>
      <c r="H227" s="601" t="s">
        <v>325</v>
      </c>
      <c r="I227" s="601" t="s">
        <v>465</v>
      </c>
      <c r="J227" s="575"/>
      <c r="K227" s="575"/>
      <c r="L227" s="575"/>
      <c r="M227" s="575"/>
      <c r="N227" s="575"/>
      <c r="O227" s="575"/>
    </row>
    <row r="228" spans="1:15" hidden="1" x14ac:dyDescent="0.25">
      <c r="A228" s="601" t="s">
        <v>448</v>
      </c>
      <c r="B228" s="636">
        <v>1.25</v>
      </c>
      <c r="C228" s="601"/>
      <c r="D228" s="601" t="s">
        <v>319</v>
      </c>
      <c r="E228" s="601" t="s">
        <v>319</v>
      </c>
      <c r="F228" s="601" t="s">
        <v>319</v>
      </c>
      <c r="G228" s="601" t="s">
        <v>449</v>
      </c>
      <c r="H228" s="601" t="s">
        <v>325</v>
      </c>
      <c r="I228" s="601" t="s">
        <v>466</v>
      </c>
      <c r="J228" s="575"/>
      <c r="K228" s="575"/>
      <c r="L228" s="575"/>
      <c r="M228" s="575"/>
      <c r="N228" s="575"/>
      <c r="O228" s="575"/>
    </row>
    <row r="229" spans="1:15" hidden="1" x14ac:dyDescent="0.25">
      <c r="A229" s="601" t="s">
        <v>448</v>
      </c>
      <c r="B229" s="636">
        <v>1.1499999999999999</v>
      </c>
      <c r="C229" s="601"/>
      <c r="D229" s="601" t="s">
        <v>319</v>
      </c>
      <c r="E229" s="601" t="s">
        <v>319</v>
      </c>
      <c r="F229" s="601" t="s">
        <v>319</v>
      </c>
      <c r="G229" s="601" t="s">
        <v>449</v>
      </c>
      <c r="H229" s="601" t="s">
        <v>325</v>
      </c>
      <c r="I229" s="601" t="s">
        <v>467</v>
      </c>
      <c r="J229" s="575"/>
      <c r="K229" s="575"/>
      <c r="L229" s="575"/>
      <c r="M229" s="575"/>
      <c r="N229" s="575"/>
      <c r="O229" s="575"/>
    </row>
    <row r="230" spans="1:15" hidden="1" x14ac:dyDescent="0.25">
      <c r="A230" s="601" t="s">
        <v>448</v>
      </c>
      <c r="B230" s="636">
        <v>1.1499999999999999</v>
      </c>
      <c r="C230" s="601"/>
      <c r="D230" s="601" t="s">
        <v>319</v>
      </c>
      <c r="E230" s="601" t="s">
        <v>319</v>
      </c>
      <c r="F230" s="601" t="s">
        <v>319</v>
      </c>
      <c r="G230" s="601" t="s">
        <v>449</v>
      </c>
      <c r="H230" s="601" t="s">
        <v>325</v>
      </c>
      <c r="I230" s="601" t="s">
        <v>468</v>
      </c>
      <c r="J230" s="575"/>
      <c r="K230" s="575"/>
      <c r="L230" s="575"/>
      <c r="M230" s="575"/>
      <c r="N230" s="575"/>
      <c r="O230" s="575"/>
    </row>
    <row r="231" spans="1:15" hidden="1" x14ac:dyDescent="0.25">
      <c r="A231" s="601" t="s">
        <v>448</v>
      </c>
      <c r="B231" s="636">
        <v>1.1499999999999999</v>
      </c>
      <c r="C231" s="601"/>
      <c r="D231" s="601" t="s">
        <v>319</v>
      </c>
      <c r="E231" s="601" t="s">
        <v>319</v>
      </c>
      <c r="F231" s="601" t="s">
        <v>319</v>
      </c>
      <c r="G231" s="601" t="s">
        <v>449</v>
      </c>
      <c r="H231" s="601" t="s">
        <v>325</v>
      </c>
      <c r="I231" s="601" t="s">
        <v>469</v>
      </c>
      <c r="J231" s="575"/>
      <c r="K231" s="575"/>
      <c r="L231" s="575"/>
      <c r="M231" s="575"/>
      <c r="N231" s="575"/>
      <c r="O231" s="575"/>
    </row>
    <row r="232" spans="1:15" hidden="1" x14ac:dyDescent="0.25">
      <c r="A232" s="601" t="s">
        <v>448</v>
      </c>
      <c r="B232" s="636">
        <v>1.1499999999999999</v>
      </c>
      <c r="C232" s="601"/>
      <c r="D232" s="601" t="s">
        <v>319</v>
      </c>
      <c r="E232" s="601" t="s">
        <v>319</v>
      </c>
      <c r="F232" s="601" t="s">
        <v>319</v>
      </c>
      <c r="G232" s="601" t="s">
        <v>449</v>
      </c>
      <c r="H232" s="601" t="s">
        <v>325</v>
      </c>
      <c r="I232" s="601" t="s">
        <v>470</v>
      </c>
      <c r="J232" s="575"/>
      <c r="K232" s="575"/>
      <c r="L232" s="575"/>
      <c r="M232" s="575"/>
      <c r="N232" s="575"/>
      <c r="O232" s="575"/>
    </row>
    <row r="233" spans="1:15" hidden="1" x14ac:dyDescent="0.25">
      <c r="A233" s="601" t="s">
        <v>448</v>
      </c>
      <c r="B233" s="636">
        <v>1.1499999999999999</v>
      </c>
      <c r="C233" s="601"/>
      <c r="D233" s="601" t="s">
        <v>319</v>
      </c>
      <c r="E233" s="601" t="s">
        <v>319</v>
      </c>
      <c r="F233" s="601" t="s">
        <v>319</v>
      </c>
      <c r="G233" s="601" t="s">
        <v>449</v>
      </c>
      <c r="H233" s="601" t="s">
        <v>325</v>
      </c>
      <c r="I233" s="601" t="s">
        <v>471</v>
      </c>
      <c r="J233" s="575"/>
      <c r="K233" s="575"/>
      <c r="L233" s="575"/>
      <c r="M233" s="575"/>
      <c r="N233" s="575"/>
      <c r="O233" s="575"/>
    </row>
    <row r="234" spans="1:15" hidden="1" x14ac:dyDescent="0.25">
      <c r="A234" s="601" t="s">
        <v>448</v>
      </c>
      <c r="B234" s="636">
        <v>1.05</v>
      </c>
      <c r="C234" s="601"/>
      <c r="D234" s="601" t="s">
        <v>319</v>
      </c>
      <c r="E234" s="601" t="s">
        <v>319</v>
      </c>
      <c r="F234" s="601" t="s">
        <v>319</v>
      </c>
      <c r="G234" s="601" t="s">
        <v>449</v>
      </c>
      <c r="H234" s="601" t="s">
        <v>325</v>
      </c>
      <c r="I234" s="601" t="s">
        <v>472</v>
      </c>
      <c r="J234" s="575"/>
      <c r="K234" s="575"/>
      <c r="L234" s="575"/>
      <c r="M234" s="575"/>
      <c r="N234" s="575"/>
      <c r="O234" s="575"/>
    </row>
    <row r="235" spans="1:15" hidden="1" x14ac:dyDescent="0.25">
      <c r="A235" s="601" t="s">
        <v>448</v>
      </c>
      <c r="B235" s="636">
        <v>1.05</v>
      </c>
      <c r="C235" s="601"/>
      <c r="D235" s="601" t="s">
        <v>319</v>
      </c>
      <c r="E235" s="601" t="s">
        <v>319</v>
      </c>
      <c r="F235" s="601" t="s">
        <v>319</v>
      </c>
      <c r="G235" s="601" t="s">
        <v>449</v>
      </c>
      <c r="H235" s="601" t="s">
        <v>325</v>
      </c>
      <c r="I235" s="601" t="s">
        <v>473</v>
      </c>
      <c r="J235" s="575"/>
      <c r="K235" s="575"/>
      <c r="L235" s="575"/>
      <c r="M235" s="575"/>
      <c r="N235" s="575"/>
      <c r="O235" s="575"/>
    </row>
    <row r="236" spans="1:15" hidden="1" x14ac:dyDescent="0.25">
      <c r="A236" s="601" t="s">
        <v>448</v>
      </c>
      <c r="B236" s="636">
        <v>1.05</v>
      </c>
      <c r="C236" s="601"/>
      <c r="D236" s="601" t="s">
        <v>319</v>
      </c>
      <c r="E236" s="601" t="s">
        <v>319</v>
      </c>
      <c r="F236" s="601" t="s">
        <v>319</v>
      </c>
      <c r="G236" s="601" t="s">
        <v>449</v>
      </c>
      <c r="H236" s="601" t="s">
        <v>325</v>
      </c>
      <c r="I236" s="601" t="s">
        <v>474</v>
      </c>
      <c r="J236" s="575"/>
      <c r="K236" s="575"/>
      <c r="L236" s="575"/>
      <c r="M236" s="575"/>
      <c r="N236" s="575"/>
      <c r="O236" s="575"/>
    </row>
    <row r="237" spans="1:15" hidden="1" x14ac:dyDescent="0.25">
      <c r="A237" s="601" t="s">
        <v>448</v>
      </c>
      <c r="B237" s="636">
        <v>1.05</v>
      </c>
      <c r="C237" s="601"/>
      <c r="D237" s="601" t="s">
        <v>319</v>
      </c>
      <c r="E237" s="601" t="s">
        <v>319</v>
      </c>
      <c r="F237" s="601" t="s">
        <v>319</v>
      </c>
      <c r="G237" s="601" t="s">
        <v>449</v>
      </c>
      <c r="H237" s="601" t="s">
        <v>325</v>
      </c>
      <c r="I237" s="601" t="s">
        <v>475</v>
      </c>
      <c r="J237" s="575"/>
      <c r="K237" s="575"/>
      <c r="L237" s="575"/>
      <c r="M237" s="575"/>
      <c r="N237" s="575"/>
      <c r="O237" s="575"/>
    </row>
    <row r="238" spans="1:15" hidden="1" x14ac:dyDescent="0.25">
      <c r="A238" s="601" t="s">
        <v>448</v>
      </c>
      <c r="B238" s="636">
        <v>1.05</v>
      </c>
      <c r="C238" s="601"/>
      <c r="D238" s="601" t="s">
        <v>319</v>
      </c>
      <c r="E238" s="601" t="s">
        <v>319</v>
      </c>
      <c r="F238" s="601" t="s">
        <v>319</v>
      </c>
      <c r="G238" s="601" t="s">
        <v>449</v>
      </c>
      <c r="H238" s="601" t="s">
        <v>325</v>
      </c>
      <c r="I238" s="601" t="s">
        <v>476</v>
      </c>
      <c r="J238" s="575"/>
      <c r="K238" s="575"/>
      <c r="L238" s="575"/>
      <c r="M238" s="575"/>
      <c r="N238" s="575"/>
      <c r="O238" s="575"/>
    </row>
    <row r="239" spans="1:15" hidden="1" x14ac:dyDescent="0.25">
      <c r="A239" s="601" t="s">
        <v>448</v>
      </c>
      <c r="B239" s="636">
        <v>1.0249999999999999</v>
      </c>
      <c r="C239" s="601"/>
      <c r="D239" s="601" t="s">
        <v>319</v>
      </c>
      <c r="E239" s="601" t="s">
        <v>319</v>
      </c>
      <c r="F239" s="601" t="s">
        <v>319</v>
      </c>
      <c r="G239" s="601" t="s">
        <v>449</v>
      </c>
      <c r="H239" s="601" t="s">
        <v>325</v>
      </c>
      <c r="I239" s="601" t="s">
        <v>477</v>
      </c>
      <c r="J239" s="575"/>
      <c r="K239" s="575"/>
      <c r="L239" s="575"/>
      <c r="M239" s="575"/>
      <c r="N239" s="575"/>
      <c r="O239" s="575"/>
    </row>
    <row r="240" spans="1:15" hidden="1" x14ac:dyDescent="0.25">
      <c r="A240" s="601" t="s">
        <v>448</v>
      </c>
      <c r="B240" s="636">
        <v>1.0249999999999999</v>
      </c>
      <c r="C240" s="601"/>
      <c r="D240" s="601" t="s">
        <v>319</v>
      </c>
      <c r="E240" s="601" t="s">
        <v>319</v>
      </c>
      <c r="F240" s="601" t="s">
        <v>319</v>
      </c>
      <c r="G240" s="601" t="s">
        <v>449</v>
      </c>
      <c r="H240" s="601" t="s">
        <v>325</v>
      </c>
      <c r="I240" s="601" t="s">
        <v>478</v>
      </c>
      <c r="J240" s="575"/>
      <c r="K240" s="575"/>
      <c r="L240" s="575"/>
      <c r="M240" s="575"/>
      <c r="N240" s="575"/>
      <c r="O240" s="575"/>
    </row>
    <row r="241" spans="1:15" hidden="1" x14ac:dyDescent="0.25">
      <c r="A241" s="601" t="s">
        <v>448</v>
      </c>
      <c r="B241" s="636">
        <v>1.0249999999999999</v>
      </c>
      <c r="C241" s="601"/>
      <c r="D241" s="601" t="s">
        <v>319</v>
      </c>
      <c r="E241" s="601" t="s">
        <v>319</v>
      </c>
      <c r="F241" s="601" t="s">
        <v>319</v>
      </c>
      <c r="G241" s="601" t="s">
        <v>449</v>
      </c>
      <c r="H241" s="601" t="s">
        <v>325</v>
      </c>
      <c r="I241" s="601" t="s">
        <v>479</v>
      </c>
      <c r="J241" s="575"/>
      <c r="K241" s="575"/>
      <c r="L241" s="575"/>
      <c r="M241" s="575"/>
      <c r="N241" s="575"/>
      <c r="O241" s="575"/>
    </row>
    <row r="242" spans="1:15" hidden="1" x14ac:dyDescent="0.25">
      <c r="A242" s="601" t="s">
        <v>448</v>
      </c>
      <c r="B242" s="636">
        <v>1.0249999999999999</v>
      </c>
      <c r="C242" s="601"/>
      <c r="D242" s="601" t="s">
        <v>319</v>
      </c>
      <c r="E242" s="601" t="s">
        <v>319</v>
      </c>
      <c r="F242" s="601" t="s">
        <v>319</v>
      </c>
      <c r="G242" s="601" t="s">
        <v>449</v>
      </c>
      <c r="H242" s="601" t="s">
        <v>325</v>
      </c>
      <c r="I242" s="601" t="s">
        <v>480</v>
      </c>
      <c r="J242" s="575"/>
      <c r="K242" s="575"/>
      <c r="L242" s="575"/>
      <c r="M242" s="575"/>
      <c r="N242" s="575"/>
      <c r="O242" s="575"/>
    </row>
    <row r="243" spans="1:15" hidden="1" x14ac:dyDescent="0.25">
      <c r="A243" s="601" t="s">
        <v>448</v>
      </c>
      <c r="B243" s="636">
        <v>1.0249999999999999</v>
      </c>
      <c r="C243" s="601"/>
      <c r="D243" s="601" t="s">
        <v>319</v>
      </c>
      <c r="E243" s="601" t="s">
        <v>319</v>
      </c>
      <c r="F243" s="601" t="s">
        <v>319</v>
      </c>
      <c r="G243" s="601" t="s">
        <v>449</v>
      </c>
      <c r="H243" s="601" t="s">
        <v>325</v>
      </c>
      <c r="I243" s="601" t="s">
        <v>481</v>
      </c>
      <c r="J243" s="575"/>
      <c r="K243" s="575"/>
      <c r="L243" s="575"/>
      <c r="M243" s="575"/>
      <c r="N243" s="575"/>
      <c r="O243" s="575"/>
    </row>
    <row r="244" spans="1:15" hidden="1" x14ac:dyDescent="0.25">
      <c r="A244" s="601" t="s">
        <v>448</v>
      </c>
      <c r="B244" s="636">
        <v>1</v>
      </c>
      <c r="C244" s="601"/>
      <c r="D244" s="601" t="s">
        <v>319</v>
      </c>
      <c r="E244" s="601" t="s">
        <v>319</v>
      </c>
      <c r="F244" s="601" t="s">
        <v>319</v>
      </c>
      <c r="G244" s="601" t="s">
        <v>449</v>
      </c>
      <c r="H244" s="601" t="s">
        <v>325</v>
      </c>
      <c r="I244" s="601" t="s">
        <v>482</v>
      </c>
      <c r="J244" s="575"/>
      <c r="K244" s="575"/>
      <c r="L244" s="575"/>
      <c r="M244" s="575"/>
      <c r="N244" s="575"/>
      <c r="O244" s="575"/>
    </row>
    <row r="245" spans="1:15" hidden="1" x14ac:dyDescent="0.25">
      <c r="A245" s="601" t="s">
        <v>448</v>
      </c>
      <c r="B245" s="636">
        <v>1</v>
      </c>
      <c r="C245" s="601"/>
      <c r="D245" s="601" t="s">
        <v>319</v>
      </c>
      <c r="E245" s="601" t="s">
        <v>319</v>
      </c>
      <c r="F245" s="601" t="s">
        <v>319</v>
      </c>
      <c r="G245" s="601" t="s">
        <v>449</v>
      </c>
      <c r="H245" s="601" t="s">
        <v>325</v>
      </c>
      <c r="I245" s="601" t="s">
        <v>483</v>
      </c>
      <c r="J245" s="575"/>
      <c r="K245" s="575"/>
      <c r="L245" s="575"/>
      <c r="M245" s="575"/>
      <c r="N245" s="575"/>
      <c r="O245" s="575"/>
    </row>
    <row r="246" spans="1:15" hidden="1" x14ac:dyDescent="0.25">
      <c r="A246" s="601" t="s">
        <v>448</v>
      </c>
      <c r="B246" s="636">
        <v>1</v>
      </c>
      <c r="C246" s="601"/>
      <c r="D246" s="601" t="s">
        <v>319</v>
      </c>
      <c r="E246" s="601" t="s">
        <v>319</v>
      </c>
      <c r="F246" s="601" t="s">
        <v>319</v>
      </c>
      <c r="G246" s="601" t="s">
        <v>449</v>
      </c>
      <c r="H246" s="601" t="s">
        <v>325</v>
      </c>
      <c r="I246" s="601" t="s">
        <v>484</v>
      </c>
      <c r="J246" s="575"/>
      <c r="K246" s="575"/>
      <c r="L246" s="575"/>
      <c r="M246" s="575"/>
      <c r="N246" s="575"/>
      <c r="O246" s="575"/>
    </row>
    <row r="247" spans="1:15" hidden="1" x14ac:dyDescent="0.25">
      <c r="A247" s="601" t="s">
        <v>448</v>
      </c>
      <c r="B247" s="636">
        <v>1</v>
      </c>
      <c r="C247" s="601"/>
      <c r="D247" s="601" t="s">
        <v>319</v>
      </c>
      <c r="E247" s="601" t="s">
        <v>319</v>
      </c>
      <c r="F247" s="601" t="s">
        <v>319</v>
      </c>
      <c r="G247" s="601" t="s">
        <v>449</v>
      </c>
      <c r="H247" s="601" t="s">
        <v>325</v>
      </c>
      <c r="I247" s="601" t="s">
        <v>485</v>
      </c>
      <c r="J247" s="575"/>
      <c r="K247" s="575"/>
      <c r="L247" s="575"/>
      <c r="M247" s="575"/>
      <c r="N247" s="575"/>
      <c r="O247" s="575"/>
    </row>
    <row r="248" spans="1:15" hidden="1" x14ac:dyDescent="0.25">
      <c r="A248" s="601" t="s">
        <v>448</v>
      </c>
      <c r="B248" s="636">
        <v>1</v>
      </c>
      <c r="C248" s="601"/>
      <c r="D248" s="601" t="s">
        <v>319</v>
      </c>
      <c r="E248" s="601" t="s">
        <v>319</v>
      </c>
      <c r="F248" s="601" t="s">
        <v>319</v>
      </c>
      <c r="G248" s="601" t="s">
        <v>449</v>
      </c>
      <c r="H248" s="601" t="s">
        <v>325</v>
      </c>
      <c r="I248" s="601" t="s">
        <v>486</v>
      </c>
      <c r="J248" s="575"/>
      <c r="K248" s="575"/>
      <c r="L248" s="575"/>
      <c r="M248" s="575"/>
      <c r="N248" s="575"/>
      <c r="O248" s="575"/>
    </row>
    <row r="249" spans="1:15" hidden="1" x14ac:dyDescent="0.25">
      <c r="A249" s="601" t="s">
        <v>448</v>
      </c>
      <c r="B249" s="636">
        <v>1</v>
      </c>
      <c r="C249" s="601"/>
      <c r="D249" s="601" t="s">
        <v>319</v>
      </c>
      <c r="E249" s="601" t="s">
        <v>319</v>
      </c>
      <c r="F249" s="601" t="s">
        <v>319</v>
      </c>
      <c r="G249" s="601" t="s">
        <v>449</v>
      </c>
      <c r="H249" s="601" t="s">
        <v>325</v>
      </c>
      <c r="I249" s="601" t="s">
        <v>487</v>
      </c>
      <c r="J249" s="575"/>
      <c r="K249" s="575"/>
      <c r="L249" s="575"/>
      <c r="M249" s="575"/>
      <c r="N249" s="575"/>
      <c r="O249" s="575"/>
    </row>
    <row r="250" spans="1:15" hidden="1" x14ac:dyDescent="0.25">
      <c r="A250" s="601" t="s">
        <v>448</v>
      </c>
      <c r="B250" s="636">
        <v>1</v>
      </c>
      <c r="C250" s="601"/>
      <c r="D250" s="601" t="s">
        <v>319</v>
      </c>
      <c r="E250" s="601" t="s">
        <v>319</v>
      </c>
      <c r="F250" s="601" t="s">
        <v>319</v>
      </c>
      <c r="G250" s="601" t="s">
        <v>449</v>
      </c>
      <c r="H250" s="601" t="s">
        <v>325</v>
      </c>
      <c r="I250" s="601" t="s">
        <v>488</v>
      </c>
      <c r="J250" s="575"/>
      <c r="K250" s="575"/>
      <c r="L250" s="575"/>
      <c r="M250" s="575"/>
      <c r="N250" s="575"/>
      <c r="O250" s="575"/>
    </row>
    <row r="251" spans="1:15" hidden="1" x14ac:dyDescent="0.25">
      <c r="A251" s="601" t="s">
        <v>448</v>
      </c>
      <c r="B251" s="636">
        <v>1</v>
      </c>
      <c r="C251" s="601"/>
      <c r="D251" s="601" t="s">
        <v>319</v>
      </c>
      <c r="E251" s="601" t="s">
        <v>319</v>
      </c>
      <c r="F251" s="601" t="s">
        <v>319</v>
      </c>
      <c r="G251" s="601" t="s">
        <v>449</v>
      </c>
      <c r="H251" s="601" t="s">
        <v>325</v>
      </c>
      <c r="I251" s="601" t="s">
        <v>489</v>
      </c>
      <c r="J251" s="575"/>
      <c r="K251" s="575"/>
      <c r="L251" s="575"/>
      <c r="M251" s="575"/>
      <c r="N251" s="575"/>
      <c r="O251" s="575"/>
    </row>
    <row r="252" spans="1:15" hidden="1" x14ac:dyDescent="0.25">
      <c r="A252" s="601" t="s">
        <v>448</v>
      </c>
      <c r="B252" s="636">
        <v>1</v>
      </c>
      <c r="C252" s="601"/>
      <c r="D252" s="601" t="s">
        <v>319</v>
      </c>
      <c r="E252" s="601" t="s">
        <v>319</v>
      </c>
      <c r="F252" s="601" t="s">
        <v>319</v>
      </c>
      <c r="G252" s="601" t="s">
        <v>449</v>
      </c>
      <c r="H252" s="601" t="s">
        <v>325</v>
      </c>
      <c r="I252" s="601" t="s">
        <v>490</v>
      </c>
      <c r="J252" s="575"/>
      <c r="K252" s="575"/>
      <c r="L252" s="575"/>
      <c r="M252" s="575"/>
      <c r="N252" s="575"/>
      <c r="O252" s="575"/>
    </row>
    <row r="253" spans="1:15" hidden="1" x14ac:dyDescent="0.25">
      <c r="A253" s="601" t="s">
        <v>448</v>
      </c>
      <c r="B253" s="636">
        <v>1</v>
      </c>
      <c r="C253" s="601"/>
      <c r="D253" s="601" t="s">
        <v>319</v>
      </c>
      <c r="E253" s="601" t="s">
        <v>319</v>
      </c>
      <c r="F253" s="601" t="s">
        <v>319</v>
      </c>
      <c r="G253" s="601" t="s">
        <v>449</v>
      </c>
      <c r="H253" s="601" t="s">
        <v>325</v>
      </c>
      <c r="I253" s="601" t="s">
        <v>491</v>
      </c>
      <c r="J253" s="575"/>
      <c r="K253" s="575"/>
      <c r="L253" s="575"/>
      <c r="M253" s="575"/>
      <c r="N253" s="575"/>
      <c r="O253" s="575"/>
    </row>
    <row r="254" spans="1:15" hidden="1" x14ac:dyDescent="0.25">
      <c r="A254" s="601" t="s">
        <v>448</v>
      </c>
      <c r="B254" s="636">
        <v>1</v>
      </c>
      <c r="C254" s="601"/>
      <c r="D254" s="601" t="s">
        <v>319</v>
      </c>
      <c r="E254" s="601" t="s">
        <v>319</v>
      </c>
      <c r="F254" s="601" t="s">
        <v>319</v>
      </c>
      <c r="G254" s="601" t="s">
        <v>449</v>
      </c>
      <c r="H254" s="601" t="s">
        <v>325</v>
      </c>
      <c r="I254" s="601" t="s">
        <v>492</v>
      </c>
      <c r="J254" s="575"/>
      <c r="K254" s="575"/>
      <c r="L254" s="575"/>
      <c r="M254" s="575"/>
      <c r="N254" s="575"/>
      <c r="O254" s="575"/>
    </row>
    <row r="255" spans="1:15" hidden="1" x14ac:dyDescent="0.25">
      <c r="A255" s="601" t="s">
        <v>448</v>
      </c>
      <c r="B255" s="636">
        <v>1</v>
      </c>
      <c r="C255" s="601"/>
      <c r="D255" s="601" t="s">
        <v>319</v>
      </c>
      <c r="E255" s="601" t="s">
        <v>319</v>
      </c>
      <c r="F255" s="601" t="s">
        <v>319</v>
      </c>
      <c r="G255" s="601" t="s">
        <v>449</v>
      </c>
      <c r="H255" s="601" t="s">
        <v>325</v>
      </c>
      <c r="I255" s="601" t="s">
        <v>493</v>
      </c>
      <c r="J255" s="575"/>
      <c r="K255" s="575"/>
      <c r="L255" s="575"/>
      <c r="M255" s="575"/>
      <c r="N255" s="575"/>
      <c r="O255" s="575"/>
    </row>
    <row r="256" spans="1:15" hidden="1" x14ac:dyDescent="0.25">
      <c r="A256" s="601" t="s">
        <v>448</v>
      </c>
      <c r="B256" s="636">
        <v>1</v>
      </c>
      <c r="C256" s="601"/>
      <c r="D256" s="601" t="s">
        <v>319</v>
      </c>
      <c r="E256" s="601" t="s">
        <v>319</v>
      </c>
      <c r="F256" s="601" t="s">
        <v>319</v>
      </c>
      <c r="G256" s="601" t="s">
        <v>449</v>
      </c>
      <c r="H256" s="601" t="s">
        <v>325</v>
      </c>
      <c r="I256" s="601" t="s">
        <v>494</v>
      </c>
      <c r="J256" s="575"/>
      <c r="K256" s="575"/>
      <c r="L256" s="575"/>
      <c r="M256" s="575"/>
      <c r="N256" s="575"/>
      <c r="O256" s="575"/>
    </row>
    <row r="257" spans="1:15" hidden="1" x14ac:dyDescent="0.25">
      <c r="A257" s="601" t="s">
        <v>448</v>
      </c>
      <c r="B257" s="636">
        <v>1</v>
      </c>
      <c r="C257" s="601"/>
      <c r="D257" s="601" t="s">
        <v>319</v>
      </c>
      <c r="E257" s="601" t="s">
        <v>319</v>
      </c>
      <c r="F257" s="601" t="s">
        <v>319</v>
      </c>
      <c r="G257" s="601" t="s">
        <v>449</v>
      </c>
      <c r="H257" s="601" t="s">
        <v>325</v>
      </c>
      <c r="I257" s="601" t="s">
        <v>495</v>
      </c>
      <c r="J257" s="575"/>
      <c r="K257" s="575"/>
      <c r="L257" s="575"/>
      <c r="M257" s="575"/>
      <c r="N257" s="575"/>
      <c r="O257" s="575"/>
    </row>
    <row r="258" spans="1:15" hidden="1" x14ac:dyDescent="0.25">
      <c r="A258" s="601" t="s">
        <v>448</v>
      </c>
      <c r="B258" s="636">
        <v>1</v>
      </c>
      <c r="C258" s="601"/>
      <c r="D258" s="601" t="s">
        <v>319</v>
      </c>
      <c r="E258" s="601" t="s">
        <v>319</v>
      </c>
      <c r="F258" s="601" t="s">
        <v>319</v>
      </c>
      <c r="G258" s="601" t="s">
        <v>449</v>
      </c>
      <c r="H258" s="601" t="s">
        <v>325</v>
      </c>
      <c r="I258" s="601" t="s">
        <v>496</v>
      </c>
      <c r="J258" s="575"/>
      <c r="K258" s="575"/>
      <c r="L258" s="575"/>
      <c r="M258" s="575"/>
      <c r="N258" s="575"/>
      <c r="O258" s="575"/>
    </row>
    <row r="259" spans="1:15" hidden="1" x14ac:dyDescent="0.25">
      <c r="A259" s="601" t="s">
        <v>448</v>
      </c>
      <c r="B259" s="636">
        <v>1</v>
      </c>
      <c r="C259" s="601"/>
      <c r="D259" s="601" t="s">
        <v>319</v>
      </c>
      <c r="E259" s="601" t="s">
        <v>319</v>
      </c>
      <c r="F259" s="601" t="s">
        <v>319</v>
      </c>
      <c r="G259" s="601" t="s">
        <v>449</v>
      </c>
      <c r="H259" s="601" t="s">
        <v>325</v>
      </c>
      <c r="I259" s="601" t="s">
        <v>497</v>
      </c>
      <c r="J259" s="575"/>
      <c r="K259" s="575"/>
      <c r="L259" s="575"/>
      <c r="M259" s="575"/>
      <c r="N259" s="575"/>
      <c r="O259" s="575"/>
    </row>
    <row r="260" spans="1:15" hidden="1" x14ac:dyDescent="0.25">
      <c r="A260" s="601" t="s">
        <v>448</v>
      </c>
      <c r="B260" s="636">
        <v>1</v>
      </c>
      <c r="C260" s="601"/>
      <c r="D260" s="601" t="s">
        <v>319</v>
      </c>
      <c r="E260" s="601" t="s">
        <v>319</v>
      </c>
      <c r="F260" s="601" t="s">
        <v>319</v>
      </c>
      <c r="G260" s="601" t="s">
        <v>449</v>
      </c>
      <c r="H260" s="601" t="s">
        <v>325</v>
      </c>
      <c r="I260" s="601" t="s">
        <v>498</v>
      </c>
      <c r="J260" s="575"/>
      <c r="K260" s="575"/>
      <c r="L260" s="575"/>
      <c r="M260" s="575"/>
      <c r="N260" s="575"/>
      <c r="O260" s="575"/>
    </row>
    <row r="261" spans="1:15" hidden="1" x14ac:dyDescent="0.25">
      <c r="A261" s="601" t="s">
        <v>448</v>
      </c>
      <c r="B261" s="636">
        <v>1</v>
      </c>
      <c r="C261" s="601"/>
      <c r="D261" s="601" t="s">
        <v>319</v>
      </c>
      <c r="E261" s="601" t="s">
        <v>319</v>
      </c>
      <c r="F261" s="601" t="s">
        <v>319</v>
      </c>
      <c r="G261" s="601" t="s">
        <v>449</v>
      </c>
      <c r="H261" s="601" t="s">
        <v>325</v>
      </c>
      <c r="I261" s="601" t="s">
        <v>499</v>
      </c>
      <c r="J261" s="575"/>
      <c r="K261" s="575"/>
      <c r="L261" s="575"/>
      <c r="M261" s="575"/>
      <c r="N261" s="575"/>
      <c r="O261" s="575"/>
    </row>
    <row r="262" spans="1:15" hidden="1" x14ac:dyDescent="0.25">
      <c r="A262" s="601" t="s">
        <v>448</v>
      </c>
      <c r="B262" s="636">
        <v>1</v>
      </c>
      <c r="C262" s="601"/>
      <c r="D262" s="601" t="s">
        <v>319</v>
      </c>
      <c r="E262" s="601" t="s">
        <v>319</v>
      </c>
      <c r="F262" s="601" t="s">
        <v>319</v>
      </c>
      <c r="G262" s="601" t="s">
        <v>449</v>
      </c>
      <c r="H262" s="601" t="s">
        <v>325</v>
      </c>
      <c r="I262" s="601" t="s">
        <v>500</v>
      </c>
      <c r="J262" s="575"/>
      <c r="K262" s="575"/>
      <c r="L262" s="575"/>
      <c r="M262" s="575"/>
      <c r="N262" s="575"/>
      <c r="O262" s="575"/>
    </row>
    <row r="263" spans="1:15" hidden="1" x14ac:dyDescent="0.25">
      <c r="A263" s="601" t="s">
        <v>448</v>
      </c>
      <c r="B263" s="636">
        <v>1</v>
      </c>
      <c r="C263" s="601"/>
      <c r="D263" s="601" t="s">
        <v>319</v>
      </c>
      <c r="E263" s="601" t="s">
        <v>319</v>
      </c>
      <c r="F263" s="601" t="s">
        <v>319</v>
      </c>
      <c r="G263" s="601" t="s">
        <v>449</v>
      </c>
      <c r="H263" s="601" t="s">
        <v>325</v>
      </c>
      <c r="I263" s="601" t="s">
        <v>501</v>
      </c>
      <c r="J263" s="575"/>
      <c r="K263" s="575"/>
      <c r="L263" s="575"/>
      <c r="M263" s="575"/>
      <c r="N263" s="575"/>
      <c r="O263" s="575"/>
    </row>
    <row r="264" spans="1:15" hidden="1" x14ac:dyDescent="0.25">
      <c r="A264" s="601" t="s">
        <v>448</v>
      </c>
      <c r="B264" s="636">
        <v>1</v>
      </c>
      <c r="C264" s="601"/>
      <c r="D264" s="601" t="s">
        <v>319</v>
      </c>
      <c r="E264" s="601" t="s">
        <v>319</v>
      </c>
      <c r="F264" s="601" t="s">
        <v>319</v>
      </c>
      <c r="G264" s="601" t="s">
        <v>449</v>
      </c>
      <c r="H264" s="601" t="s">
        <v>325</v>
      </c>
      <c r="I264" s="601" t="s">
        <v>502</v>
      </c>
      <c r="J264" s="575"/>
      <c r="K264" s="575"/>
      <c r="L264" s="575"/>
      <c r="M264" s="575"/>
      <c r="N264" s="575"/>
      <c r="O264" s="575"/>
    </row>
    <row r="265" spans="1:15" hidden="1" x14ac:dyDescent="0.25">
      <c r="A265" s="601" t="s">
        <v>448</v>
      </c>
      <c r="B265" s="636">
        <v>1</v>
      </c>
      <c r="C265" s="601"/>
      <c r="D265" s="601" t="s">
        <v>319</v>
      </c>
      <c r="E265" s="601" t="s">
        <v>319</v>
      </c>
      <c r="F265" s="601" t="s">
        <v>319</v>
      </c>
      <c r="G265" s="601" t="s">
        <v>449</v>
      </c>
      <c r="H265" s="601" t="s">
        <v>325</v>
      </c>
      <c r="I265" s="601" t="s">
        <v>503</v>
      </c>
      <c r="J265" s="575"/>
      <c r="K265" s="575"/>
      <c r="L265" s="575"/>
      <c r="M265" s="575"/>
      <c r="N265" s="575"/>
      <c r="O265" s="575"/>
    </row>
    <row r="266" spans="1:15" hidden="1" x14ac:dyDescent="0.25">
      <c r="A266" s="601" t="s">
        <v>448</v>
      </c>
      <c r="B266" s="636">
        <v>1</v>
      </c>
      <c r="C266" s="601"/>
      <c r="D266" s="601" t="s">
        <v>319</v>
      </c>
      <c r="E266" s="601" t="s">
        <v>319</v>
      </c>
      <c r="F266" s="601" t="s">
        <v>319</v>
      </c>
      <c r="G266" s="601" t="s">
        <v>449</v>
      </c>
      <c r="H266" s="601" t="s">
        <v>325</v>
      </c>
      <c r="I266" s="601" t="s">
        <v>504</v>
      </c>
      <c r="J266" s="575"/>
      <c r="K266" s="575"/>
      <c r="L266" s="575"/>
      <c r="M266" s="575"/>
      <c r="N266" s="575"/>
      <c r="O266" s="575"/>
    </row>
    <row r="267" spans="1:15" hidden="1" x14ac:dyDescent="0.25">
      <c r="A267" s="601" t="s">
        <v>505</v>
      </c>
      <c r="B267" s="602">
        <v>1</v>
      </c>
      <c r="C267" s="601"/>
      <c r="D267" s="601" t="s">
        <v>319</v>
      </c>
      <c r="E267" s="601" t="s">
        <v>319</v>
      </c>
      <c r="F267" s="601" t="s">
        <v>319</v>
      </c>
      <c r="G267" s="601" t="s">
        <v>505</v>
      </c>
      <c r="H267" s="601" t="s">
        <v>322</v>
      </c>
      <c r="I267" s="601" t="s">
        <v>506</v>
      </c>
      <c r="J267" s="575"/>
      <c r="K267" s="575"/>
      <c r="L267" s="575"/>
      <c r="M267" s="575"/>
      <c r="N267" s="575"/>
      <c r="O267" s="575"/>
    </row>
    <row r="268" spans="1:15" hidden="1" x14ac:dyDescent="0.25">
      <c r="A268" s="601" t="s">
        <v>505</v>
      </c>
      <c r="B268" s="602">
        <v>1</v>
      </c>
      <c r="C268" s="601"/>
      <c r="D268" s="601" t="s">
        <v>319</v>
      </c>
      <c r="E268" s="601" t="s">
        <v>319</v>
      </c>
      <c r="F268" s="601" t="s">
        <v>319</v>
      </c>
      <c r="G268" s="601" t="s">
        <v>505</v>
      </c>
      <c r="H268" s="601" t="s">
        <v>322</v>
      </c>
      <c r="I268" s="601" t="s">
        <v>507</v>
      </c>
      <c r="J268" s="575"/>
      <c r="K268" s="575"/>
      <c r="L268" s="575"/>
      <c r="M268" s="575"/>
      <c r="N268" s="575"/>
      <c r="O268" s="575"/>
    </row>
    <row r="269" spans="1:15" hidden="1" x14ac:dyDescent="0.25">
      <c r="A269" s="601" t="s">
        <v>505</v>
      </c>
      <c r="B269" s="602">
        <v>1</v>
      </c>
      <c r="C269" s="601"/>
      <c r="D269" s="601" t="s">
        <v>319</v>
      </c>
      <c r="E269" s="601" t="s">
        <v>319</v>
      </c>
      <c r="F269" s="601" t="s">
        <v>319</v>
      </c>
      <c r="G269" s="601" t="s">
        <v>505</v>
      </c>
      <c r="H269" s="601" t="s">
        <v>322</v>
      </c>
      <c r="I269" s="601" t="s">
        <v>508</v>
      </c>
      <c r="J269" s="575"/>
      <c r="K269" s="575"/>
      <c r="L269" s="575"/>
      <c r="M269" s="575"/>
      <c r="N269" s="575"/>
      <c r="O269" s="575"/>
    </row>
    <row r="270" spans="1:15" hidden="1" x14ac:dyDescent="0.25">
      <c r="A270" s="601" t="s">
        <v>505</v>
      </c>
      <c r="B270" s="602">
        <v>1.2</v>
      </c>
      <c r="C270" s="601"/>
      <c r="D270" s="601" t="s">
        <v>319</v>
      </c>
      <c r="E270" s="601" t="s">
        <v>319</v>
      </c>
      <c r="F270" s="601" t="s">
        <v>319</v>
      </c>
      <c r="G270" s="601" t="s">
        <v>505</v>
      </c>
      <c r="H270" s="601" t="s">
        <v>322</v>
      </c>
      <c r="I270" s="601" t="s">
        <v>509</v>
      </c>
      <c r="J270" s="575"/>
      <c r="K270" s="575"/>
      <c r="L270" s="575"/>
      <c r="M270" s="575"/>
      <c r="N270" s="575"/>
      <c r="O270" s="575"/>
    </row>
    <row r="271" spans="1:15" hidden="1" x14ac:dyDescent="0.25">
      <c r="A271" s="634" t="s">
        <v>510</v>
      </c>
      <c r="B271" s="635">
        <v>1</v>
      </c>
      <c r="C271" s="634"/>
      <c r="D271" s="634" t="s">
        <v>319</v>
      </c>
      <c r="E271" s="634" t="s">
        <v>319</v>
      </c>
      <c r="F271" s="634" t="s">
        <v>319</v>
      </c>
      <c r="G271" s="634" t="s">
        <v>511</v>
      </c>
      <c r="H271" s="634" t="s">
        <v>322</v>
      </c>
      <c r="I271" s="634" t="s">
        <v>512</v>
      </c>
      <c r="J271" s="576"/>
      <c r="K271" s="576"/>
      <c r="L271" s="576"/>
      <c r="M271" s="576"/>
      <c r="N271" s="576"/>
      <c r="O271" s="576"/>
    </row>
    <row r="272" spans="1:15" hidden="1" x14ac:dyDescent="0.25">
      <c r="A272" s="634" t="s">
        <v>510</v>
      </c>
      <c r="B272" s="635">
        <v>1</v>
      </c>
      <c r="C272" s="634"/>
      <c r="D272" s="634" t="s">
        <v>319</v>
      </c>
      <c r="E272" s="634" t="s">
        <v>319</v>
      </c>
      <c r="F272" s="634" t="s">
        <v>319</v>
      </c>
      <c r="G272" s="634" t="s">
        <v>511</v>
      </c>
      <c r="H272" s="634" t="s">
        <v>322</v>
      </c>
      <c r="I272" s="634" t="s">
        <v>513</v>
      </c>
      <c r="J272" s="576"/>
      <c r="K272" s="576"/>
      <c r="L272" s="576"/>
      <c r="M272" s="576"/>
      <c r="N272" s="576"/>
      <c r="O272" s="576"/>
    </row>
    <row r="273" spans="1:15" hidden="1" x14ac:dyDescent="0.25">
      <c r="A273" s="634" t="s">
        <v>510</v>
      </c>
      <c r="B273" s="635">
        <v>1</v>
      </c>
      <c r="C273" s="634"/>
      <c r="D273" s="634" t="s">
        <v>319</v>
      </c>
      <c r="E273" s="634" t="s">
        <v>319</v>
      </c>
      <c r="F273" s="634" t="s">
        <v>319</v>
      </c>
      <c r="G273" s="634" t="s">
        <v>511</v>
      </c>
      <c r="H273" s="634" t="s">
        <v>322</v>
      </c>
      <c r="I273" s="634" t="s">
        <v>514</v>
      </c>
      <c r="J273" s="576"/>
      <c r="K273" s="576"/>
      <c r="L273" s="576"/>
      <c r="M273" s="576"/>
      <c r="N273" s="576"/>
      <c r="O273" s="576"/>
    </row>
    <row r="274" spans="1:15" hidden="1" x14ac:dyDescent="0.25">
      <c r="A274" s="634" t="s">
        <v>510</v>
      </c>
      <c r="B274" s="635">
        <v>1.1000000000000001</v>
      </c>
      <c r="C274" s="634"/>
      <c r="D274" s="634" t="s">
        <v>319</v>
      </c>
      <c r="E274" s="634" t="s">
        <v>319</v>
      </c>
      <c r="F274" s="634" t="s">
        <v>319</v>
      </c>
      <c r="G274" s="634" t="s">
        <v>511</v>
      </c>
      <c r="H274" s="634" t="s">
        <v>322</v>
      </c>
      <c r="I274" s="634" t="s">
        <v>515</v>
      </c>
      <c r="J274" s="576"/>
      <c r="K274" s="576"/>
      <c r="L274" s="576"/>
      <c r="M274" s="576"/>
      <c r="N274" s="576"/>
      <c r="O274" s="576"/>
    </row>
    <row r="275" spans="1:15" hidden="1" x14ac:dyDescent="0.25">
      <c r="A275" s="634" t="s">
        <v>510</v>
      </c>
      <c r="B275" s="635">
        <v>1.2</v>
      </c>
      <c r="C275" s="634"/>
      <c r="D275" s="634" t="s">
        <v>319</v>
      </c>
      <c r="E275" s="634" t="s">
        <v>319</v>
      </c>
      <c r="F275" s="634" t="s">
        <v>319</v>
      </c>
      <c r="G275" s="634" t="s">
        <v>511</v>
      </c>
      <c r="H275" s="634" t="s">
        <v>322</v>
      </c>
      <c r="I275" s="634" t="s">
        <v>516</v>
      </c>
      <c r="J275" s="576"/>
      <c r="K275" s="576"/>
      <c r="L275" s="576"/>
      <c r="M275" s="576"/>
      <c r="N275" s="576"/>
      <c r="O275" s="576"/>
    </row>
    <row r="276" spans="1:15" hidden="1" x14ac:dyDescent="0.25">
      <c r="A276" s="634" t="s">
        <v>510</v>
      </c>
      <c r="B276" s="635">
        <v>1</v>
      </c>
      <c r="C276" s="634"/>
      <c r="D276" s="634" t="s">
        <v>319</v>
      </c>
      <c r="E276" s="634" t="s">
        <v>319</v>
      </c>
      <c r="F276" s="634" t="s">
        <v>319</v>
      </c>
      <c r="G276" s="634" t="s">
        <v>511</v>
      </c>
      <c r="H276" s="634" t="s">
        <v>322</v>
      </c>
      <c r="I276" s="634" t="s">
        <v>517</v>
      </c>
      <c r="J276" s="576"/>
      <c r="K276" s="576"/>
      <c r="L276" s="576"/>
      <c r="M276" s="576"/>
      <c r="N276" s="576"/>
      <c r="O276" s="576"/>
    </row>
    <row r="277" spans="1:15" x14ac:dyDescent="0.25">
      <c r="A277" s="631" t="s">
        <v>191</v>
      </c>
      <c r="B277" s="632">
        <v>1</v>
      </c>
      <c r="C277" s="633"/>
      <c r="D277" s="631" t="s">
        <v>319</v>
      </c>
      <c r="E277" s="631" t="s">
        <v>319</v>
      </c>
      <c r="F277" s="631" t="s">
        <v>319</v>
      </c>
      <c r="G277" s="631" t="s">
        <v>321</v>
      </c>
      <c r="H277" s="631" t="s">
        <v>322</v>
      </c>
      <c r="I277" s="631" t="s">
        <v>518</v>
      </c>
      <c r="J277" s="577"/>
      <c r="K277" s="577"/>
      <c r="L277" s="577"/>
      <c r="M277" s="577"/>
      <c r="N277" s="577"/>
      <c r="O277" s="577"/>
    </row>
    <row r="278" spans="1:15" x14ac:dyDescent="0.25">
      <c r="A278" s="631" t="s">
        <v>191</v>
      </c>
      <c r="B278" s="632">
        <v>1</v>
      </c>
      <c r="C278" s="633"/>
      <c r="D278" s="631" t="s">
        <v>319</v>
      </c>
      <c r="E278" s="631" t="s">
        <v>319</v>
      </c>
      <c r="F278" s="631" t="s">
        <v>319</v>
      </c>
      <c r="G278" s="631" t="s">
        <v>321</v>
      </c>
      <c r="H278" s="631" t="s">
        <v>322</v>
      </c>
      <c r="I278" s="631" t="s">
        <v>519</v>
      </c>
      <c r="J278" s="577"/>
      <c r="K278" s="577"/>
      <c r="L278" s="577"/>
      <c r="M278" s="577"/>
      <c r="N278" s="577"/>
      <c r="O278" s="577"/>
    </row>
    <row r="279" spans="1:15" x14ac:dyDescent="0.25">
      <c r="A279" s="631" t="s">
        <v>191</v>
      </c>
      <c r="B279" s="632">
        <v>1</v>
      </c>
      <c r="C279" s="633"/>
      <c r="D279" s="631" t="s">
        <v>319</v>
      </c>
      <c r="E279" s="631" t="s">
        <v>319</v>
      </c>
      <c r="F279" s="631" t="s">
        <v>319</v>
      </c>
      <c r="G279" s="631" t="s">
        <v>321</v>
      </c>
      <c r="H279" s="631" t="s">
        <v>322</v>
      </c>
      <c r="I279" s="631" t="s">
        <v>520</v>
      </c>
      <c r="J279" s="577"/>
      <c r="K279" s="577"/>
      <c r="L279" s="577"/>
      <c r="M279" s="577"/>
      <c r="N279" s="577"/>
      <c r="O279" s="577"/>
    </row>
    <row r="280" spans="1:15" s="399" customFormat="1" x14ac:dyDescent="0.25">
      <c r="A280" s="631" t="s">
        <v>191</v>
      </c>
      <c r="B280" s="632">
        <v>1</v>
      </c>
      <c r="C280" s="633"/>
      <c r="D280" s="631" t="s">
        <v>319</v>
      </c>
      <c r="E280" s="631" t="s">
        <v>319</v>
      </c>
      <c r="F280" s="631" t="s">
        <v>319</v>
      </c>
      <c r="G280" s="631" t="s">
        <v>321</v>
      </c>
      <c r="H280" s="631" t="s">
        <v>322</v>
      </c>
      <c r="I280" s="631" t="s">
        <v>521</v>
      </c>
      <c r="J280" s="577"/>
      <c r="K280" s="577"/>
      <c r="L280" s="577"/>
      <c r="M280" s="577"/>
      <c r="N280" s="577"/>
      <c r="O280" s="577"/>
    </row>
    <row r="281" spans="1:15" x14ac:dyDescent="0.25">
      <c r="A281" s="631" t="s">
        <v>191</v>
      </c>
      <c r="B281" s="632">
        <v>1.1499999999999999</v>
      </c>
      <c r="C281" s="633"/>
      <c r="D281" s="631" t="s">
        <v>319</v>
      </c>
      <c r="E281" s="631" t="s">
        <v>319</v>
      </c>
      <c r="F281" s="631" t="s">
        <v>319</v>
      </c>
      <c r="G281" s="631" t="s">
        <v>321</v>
      </c>
      <c r="H281" s="631" t="s">
        <v>322</v>
      </c>
      <c r="I281" s="631" t="s">
        <v>522</v>
      </c>
      <c r="J281" s="577"/>
      <c r="K281" s="577"/>
      <c r="L281" s="577"/>
      <c r="M281" s="577"/>
      <c r="N281" s="577"/>
      <c r="O281" s="577"/>
    </row>
  </sheetData>
  <autoFilter ref="A1:R281" xr:uid="{71F2415B-A417-4AD9-8C05-3239F0002DC1}">
    <filterColumn colId="0">
      <filters>
        <filter val="Vehicle Type"/>
      </filters>
    </filterColumn>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F43C4-B9E3-49CD-B181-D56F1243D27F}">
  <sheetPr>
    <tabColor rgb="FFFFFF00"/>
  </sheetPr>
  <dimension ref="A1:AB26"/>
  <sheetViews>
    <sheetView zoomScaleNormal="100" workbookViewId="0">
      <selection activeCell="F25" sqref="F25"/>
    </sheetView>
  </sheetViews>
  <sheetFormatPr defaultRowHeight="12.5" x14ac:dyDescent="0.25"/>
  <cols>
    <col min="3" max="3" width="66.7265625" bestFit="1" customWidth="1"/>
    <col min="5" max="5" width="19" bestFit="1" customWidth="1"/>
  </cols>
  <sheetData>
    <row r="1" spans="1:28" ht="26" x14ac:dyDescent="0.25">
      <c r="A1" s="473" t="s">
        <v>525</v>
      </c>
      <c r="B1" s="473" t="s">
        <v>526</v>
      </c>
      <c r="C1" s="473" t="s">
        <v>527</v>
      </c>
      <c r="D1" s="285" t="s">
        <v>528</v>
      </c>
      <c r="E1" s="285" t="s">
        <v>529</v>
      </c>
      <c r="F1" s="285" t="s">
        <v>530</v>
      </c>
      <c r="G1" s="285" t="s">
        <v>531</v>
      </c>
      <c r="H1" s="285" t="s">
        <v>532</v>
      </c>
      <c r="I1" s="285" t="s">
        <v>533</v>
      </c>
      <c r="J1" s="285" t="s">
        <v>534</v>
      </c>
      <c r="K1" s="285" t="s">
        <v>535</v>
      </c>
      <c r="L1" s="285" t="s">
        <v>536</v>
      </c>
      <c r="M1" s="285" t="s">
        <v>537</v>
      </c>
      <c r="N1" s="285" t="s">
        <v>538</v>
      </c>
      <c r="O1" s="285" t="s">
        <v>539</v>
      </c>
    </row>
    <row r="2" spans="1:28" x14ac:dyDescent="0.25">
      <c r="A2" s="290" t="s">
        <v>8</v>
      </c>
      <c r="B2" s="290">
        <v>125</v>
      </c>
      <c r="C2" s="65" t="s">
        <v>540</v>
      </c>
      <c r="D2" s="16" t="s">
        <v>29</v>
      </c>
      <c r="E2" s="16" t="s">
        <v>29</v>
      </c>
      <c r="F2" s="16" t="s">
        <v>29</v>
      </c>
      <c r="G2" s="16" t="s">
        <v>29</v>
      </c>
      <c r="H2" s="16" t="s">
        <v>29</v>
      </c>
      <c r="I2" s="16" t="s">
        <v>29</v>
      </c>
      <c r="J2" s="16" t="s">
        <v>29</v>
      </c>
      <c r="K2" s="16" t="s">
        <v>29</v>
      </c>
      <c r="L2" s="16" t="s">
        <v>29</v>
      </c>
      <c r="M2" s="16" t="s">
        <v>29</v>
      </c>
      <c r="N2" s="16" t="s">
        <v>29</v>
      </c>
      <c r="O2" s="16" t="s">
        <v>29</v>
      </c>
      <c r="P2" t="e">
        <f>C2=#REF!</f>
        <v>#REF!</v>
      </c>
      <c r="Q2" t="e">
        <f>D2=#REF!</f>
        <v>#REF!</v>
      </c>
      <c r="R2" t="e">
        <f>E2=#REF!</f>
        <v>#REF!</v>
      </c>
      <c r="S2" t="e">
        <f>F2=#REF!</f>
        <v>#REF!</v>
      </c>
      <c r="T2" t="e">
        <f>G2=#REF!</f>
        <v>#REF!</v>
      </c>
      <c r="U2" t="e">
        <f>H2=#REF!</f>
        <v>#REF!</v>
      </c>
      <c r="V2" t="e">
        <f>I2=#REF!</f>
        <v>#REF!</v>
      </c>
      <c r="W2" t="e">
        <f>J2=#REF!</f>
        <v>#REF!</v>
      </c>
      <c r="X2" t="e">
        <f>K2=#REF!</f>
        <v>#REF!</v>
      </c>
      <c r="Y2" t="e">
        <f>L2=#REF!</f>
        <v>#REF!</v>
      </c>
      <c r="Z2" t="e">
        <f>M2=#REF!</f>
        <v>#REF!</v>
      </c>
      <c r="AA2" t="e">
        <f>N2=#REF!</f>
        <v>#REF!</v>
      </c>
      <c r="AB2" t="e">
        <f>O2=#REF!</f>
        <v>#REF!</v>
      </c>
    </row>
    <row r="3" spans="1:28" x14ac:dyDescent="0.25">
      <c r="A3" s="290" t="s">
        <v>8</v>
      </c>
      <c r="B3" s="290">
        <v>125</v>
      </c>
      <c r="C3" s="65" t="s">
        <v>541</v>
      </c>
      <c r="D3" s="16" t="s">
        <v>29</v>
      </c>
      <c r="E3" s="16" t="s">
        <v>29</v>
      </c>
      <c r="F3" s="16" t="s">
        <v>29</v>
      </c>
      <c r="G3" s="16" t="s">
        <v>29</v>
      </c>
      <c r="H3" s="16" t="s">
        <v>29</v>
      </c>
      <c r="I3" s="16" t="s">
        <v>29</v>
      </c>
      <c r="J3" s="16" t="s">
        <v>29</v>
      </c>
      <c r="K3" s="16" t="s">
        <v>29</v>
      </c>
      <c r="L3" s="16" t="s">
        <v>29</v>
      </c>
      <c r="M3" s="16" t="s">
        <v>29</v>
      </c>
      <c r="N3" s="16" t="s">
        <v>29</v>
      </c>
      <c r="O3" s="16" t="s">
        <v>29</v>
      </c>
      <c r="P3" t="e">
        <f>C3=#REF!</f>
        <v>#REF!</v>
      </c>
      <c r="Q3" t="e">
        <f>D3=#REF!</f>
        <v>#REF!</v>
      </c>
      <c r="R3" t="e">
        <f>E3=#REF!</f>
        <v>#REF!</v>
      </c>
      <c r="S3" t="e">
        <f>F3=#REF!</f>
        <v>#REF!</v>
      </c>
      <c r="T3" t="e">
        <f>G3=#REF!</f>
        <v>#REF!</v>
      </c>
      <c r="U3" t="e">
        <f>H3=#REF!</f>
        <v>#REF!</v>
      </c>
      <c r="V3" t="e">
        <f>I3=#REF!</f>
        <v>#REF!</v>
      </c>
      <c r="W3" t="e">
        <f>J3=#REF!</f>
        <v>#REF!</v>
      </c>
      <c r="X3" t="e">
        <f>K3=#REF!</f>
        <v>#REF!</v>
      </c>
      <c r="Y3" t="e">
        <f>L3=#REF!</f>
        <v>#REF!</v>
      </c>
      <c r="Z3" t="e">
        <f>M3=#REF!</f>
        <v>#REF!</v>
      </c>
      <c r="AA3" t="e">
        <f>N3=#REF!</f>
        <v>#REF!</v>
      </c>
      <c r="AB3" t="e">
        <f>O3=#REF!</f>
        <v>#REF!</v>
      </c>
    </row>
    <row r="4" spans="1:28" x14ac:dyDescent="0.25">
      <c r="A4" s="290" t="s">
        <v>8</v>
      </c>
      <c r="B4" s="290">
        <v>125</v>
      </c>
      <c r="C4" s="65" t="s">
        <v>542</v>
      </c>
      <c r="D4" s="16" t="s">
        <v>29</v>
      </c>
      <c r="E4" s="16" t="s">
        <v>29</v>
      </c>
      <c r="F4" s="16" t="s">
        <v>29</v>
      </c>
      <c r="G4" s="16" t="s">
        <v>29</v>
      </c>
      <c r="H4" s="16" t="s">
        <v>29</v>
      </c>
      <c r="I4" s="16" t="s">
        <v>29</v>
      </c>
      <c r="J4" s="16" t="s">
        <v>29</v>
      </c>
      <c r="K4" s="16" t="s">
        <v>29</v>
      </c>
      <c r="L4" s="16" t="s">
        <v>29</v>
      </c>
      <c r="M4" s="16" t="s">
        <v>29</v>
      </c>
      <c r="N4" s="16" t="s">
        <v>29</v>
      </c>
      <c r="O4" s="16" t="s">
        <v>29</v>
      </c>
      <c r="P4" t="e">
        <f>C4=#REF!</f>
        <v>#REF!</v>
      </c>
      <c r="Q4" t="e">
        <f>D4=#REF!</f>
        <v>#REF!</v>
      </c>
      <c r="R4" t="e">
        <f>E4=#REF!</f>
        <v>#REF!</v>
      </c>
      <c r="S4" t="e">
        <f>F4=#REF!</f>
        <v>#REF!</v>
      </c>
      <c r="T4" t="e">
        <f>G4=#REF!</f>
        <v>#REF!</v>
      </c>
      <c r="U4" t="e">
        <f>H4=#REF!</f>
        <v>#REF!</v>
      </c>
      <c r="V4" t="e">
        <f>I4=#REF!</f>
        <v>#REF!</v>
      </c>
      <c r="W4" t="e">
        <f>J4=#REF!</f>
        <v>#REF!</v>
      </c>
      <c r="X4" t="e">
        <f>K4=#REF!</f>
        <v>#REF!</v>
      </c>
      <c r="Y4" t="e">
        <f>L4=#REF!</f>
        <v>#REF!</v>
      </c>
      <c r="Z4" t="e">
        <f>M4=#REF!</f>
        <v>#REF!</v>
      </c>
      <c r="AA4" t="e">
        <f>N4=#REF!</f>
        <v>#REF!</v>
      </c>
      <c r="AB4" t="e">
        <f>O4=#REF!</f>
        <v>#REF!</v>
      </c>
    </row>
    <row r="5" spans="1:28" x14ac:dyDescent="0.25">
      <c r="A5" s="290" t="s">
        <v>8</v>
      </c>
      <c r="B5" s="290">
        <v>125</v>
      </c>
      <c r="C5" s="65" t="s">
        <v>543</v>
      </c>
      <c r="D5" s="16" t="s">
        <v>29</v>
      </c>
      <c r="E5" s="16"/>
      <c r="F5" s="16" t="s">
        <v>29</v>
      </c>
      <c r="G5" s="16" t="s">
        <v>29</v>
      </c>
      <c r="H5" s="16" t="s">
        <v>29</v>
      </c>
      <c r="I5" s="16" t="s">
        <v>29</v>
      </c>
      <c r="J5" s="16" t="s">
        <v>29</v>
      </c>
      <c r="K5" s="16" t="s">
        <v>29</v>
      </c>
      <c r="L5" s="16" t="s">
        <v>29</v>
      </c>
      <c r="M5" s="16" t="s">
        <v>29</v>
      </c>
      <c r="N5" s="16" t="s">
        <v>29</v>
      </c>
      <c r="O5" s="16" t="s">
        <v>29</v>
      </c>
      <c r="P5" t="e">
        <f>C5=#REF!</f>
        <v>#REF!</v>
      </c>
      <c r="Q5" t="e">
        <f>D5=#REF!</f>
        <v>#REF!</v>
      </c>
      <c r="R5" t="e">
        <f>E5=#REF!</f>
        <v>#REF!</v>
      </c>
      <c r="S5" t="e">
        <f>F5=#REF!</f>
        <v>#REF!</v>
      </c>
      <c r="T5" t="e">
        <f>G5=#REF!</f>
        <v>#REF!</v>
      </c>
      <c r="U5" t="e">
        <f>H5=#REF!</f>
        <v>#REF!</v>
      </c>
      <c r="V5" t="e">
        <f>I5=#REF!</f>
        <v>#REF!</v>
      </c>
      <c r="W5" t="e">
        <f>J5=#REF!</f>
        <v>#REF!</v>
      </c>
      <c r="X5" t="e">
        <f>K5=#REF!</f>
        <v>#REF!</v>
      </c>
      <c r="Y5" t="e">
        <f>L5=#REF!</f>
        <v>#REF!</v>
      </c>
      <c r="Z5" t="e">
        <f>M5=#REF!</f>
        <v>#REF!</v>
      </c>
      <c r="AA5" t="e">
        <f>N5=#REF!</f>
        <v>#REF!</v>
      </c>
      <c r="AB5" t="e">
        <f>O5=#REF!</f>
        <v>#REF!</v>
      </c>
    </row>
    <row r="6" spans="1:28" x14ac:dyDescent="0.25">
      <c r="A6" s="290" t="s">
        <v>8</v>
      </c>
      <c r="B6" s="290">
        <v>125</v>
      </c>
      <c r="C6" s="65" t="s">
        <v>544</v>
      </c>
      <c r="D6" s="16" t="s">
        <v>29</v>
      </c>
      <c r="E6" s="16"/>
      <c r="F6" s="16" t="s">
        <v>29</v>
      </c>
      <c r="G6" s="16" t="s">
        <v>29</v>
      </c>
      <c r="H6" s="16" t="s">
        <v>29</v>
      </c>
      <c r="I6" s="16" t="s">
        <v>29</v>
      </c>
      <c r="J6" s="16" t="s">
        <v>29</v>
      </c>
      <c r="K6" s="16" t="s">
        <v>29</v>
      </c>
      <c r="L6" s="16" t="s">
        <v>29</v>
      </c>
      <c r="M6" s="16" t="s">
        <v>29</v>
      </c>
      <c r="N6" s="16"/>
      <c r="O6" s="16" t="s">
        <v>29</v>
      </c>
      <c r="P6" t="e">
        <f>C6=#REF!</f>
        <v>#REF!</v>
      </c>
      <c r="Q6" t="e">
        <f>D6=#REF!</f>
        <v>#REF!</v>
      </c>
      <c r="R6" t="e">
        <f>E6=#REF!</f>
        <v>#REF!</v>
      </c>
      <c r="S6" t="e">
        <f>F6=#REF!</f>
        <v>#REF!</v>
      </c>
      <c r="T6" t="e">
        <f>G6=#REF!</f>
        <v>#REF!</v>
      </c>
      <c r="U6" t="e">
        <f>H6=#REF!</f>
        <v>#REF!</v>
      </c>
      <c r="V6" t="e">
        <f>I6=#REF!</f>
        <v>#REF!</v>
      </c>
      <c r="W6" t="e">
        <f>J6=#REF!</f>
        <v>#REF!</v>
      </c>
      <c r="X6" t="e">
        <f>K6=#REF!</f>
        <v>#REF!</v>
      </c>
      <c r="Y6" t="e">
        <f>L6=#REF!</f>
        <v>#REF!</v>
      </c>
      <c r="Z6" t="e">
        <f>M6=#REF!</f>
        <v>#REF!</v>
      </c>
      <c r="AA6" t="e">
        <f>N6=#REF!</f>
        <v>#REF!</v>
      </c>
      <c r="AB6" t="e">
        <f>O6=#REF!</f>
        <v>#REF!</v>
      </c>
    </row>
    <row r="7" spans="1:28" x14ac:dyDescent="0.25">
      <c r="A7" s="290" t="s">
        <v>8</v>
      </c>
      <c r="B7" s="290">
        <v>125</v>
      </c>
      <c r="C7" s="65" t="s">
        <v>545</v>
      </c>
      <c r="D7" s="16" t="s">
        <v>29</v>
      </c>
      <c r="E7" s="16"/>
      <c r="F7" s="16" t="s">
        <v>29</v>
      </c>
      <c r="G7" s="16" t="s">
        <v>29</v>
      </c>
      <c r="H7" s="16" t="s">
        <v>29</v>
      </c>
      <c r="I7" s="16" t="s">
        <v>29</v>
      </c>
      <c r="J7" s="16" t="s">
        <v>29</v>
      </c>
      <c r="K7" s="16" t="s">
        <v>29</v>
      </c>
      <c r="L7" s="16" t="s">
        <v>29</v>
      </c>
      <c r="M7" s="16" t="s">
        <v>29</v>
      </c>
      <c r="N7" s="16"/>
      <c r="O7" s="16" t="s">
        <v>29</v>
      </c>
      <c r="P7" t="e">
        <f>C7=#REF!</f>
        <v>#REF!</v>
      </c>
      <c r="Q7" t="e">
        <f>D7=#REF!</f>
        <v>#REF!</v>
      </c>
      <c r="R7" t="e">
        <f>E7=#REF!</f>
        <v>#REF!</v>
      </c>
      <c r="S7" t="e">
        <f>F7=#REF!</f>
        <v>#REF!</v>
      </c>
      <c r="T7" t="e">
        <f>G7=#REF!</f>
        <v>#REF!</v>
      </c>
      <c r="U7" t="e">
        <f>H7=#REF!</f>
        <v>#REF!</v>
      </c>
      <c r="V7" t="e">
        <f>I7=#REF!</f>
        <v>#REF!</v>
      </c>
      <c r="W7" t="e">
        <f>J7=#REF!</f>
        <v>#REF!</v>
      </c>
      <c r="X7" t="e">
        <f>K7=#REF!</f>
        <v>#REF!</v>
      </c>
      <c r="Y7" t="e">
        <f>L7=#REF!</f>
        <v>#REF!</v>
      </c>
      <c r="Z7" t="e">
        <f>M7=#REF!</f>
        <v>#REF!</v>
      </c>
      <c r="AA7" t="e">
        <f>N7=#REF!</f>
        <v>#REF!</v>
      </c>
      <c r="AB7" t="e">
        <f>O7=#REF!</f>
        <v>#REF!</v>
      </c>
    </row>
    <row r="8" spans="1:28" x14ac:dyDescent="0.25">
      <c r="A8" s="290" t="s">
        <v>8</v>
      </c>
      <c r="B8" s="290">
        <v>125</v>
      </c>
      <c r="C8" s="65" t="s">
        <v>546</v>
      </c>
      <c r="D8" s="16" t="s">
        <v>29</v>
      </c>
      <c r="E8" s="16"/>
      <c r="F8" s="16" t="s">
        <v>29</v>
      </c>
      <c r="G8" s="16" t="s">
        <v>29</v>
      </c>
      <c r="H8" s="16" t="s">
        <v>29</v>
      </c>
      <c r="I8" s="16" t="s">
        <v>29</v>
      </c>
      <c r="J8" s="16" t="s">
        <v>29</v>
      </c>
      <c r="K8" s="16" t="s">
        <v>29</v>
      </c>
      <c r="L8" s="16" t="s">
        <v>29</v>
      </c>
      <c r="M8" s="16" t="s">
        <v>29</v>
      </c>
      <c r="N8" s="16"/>
      <c r="O8" s="16" t="s">
        <v>29</v>
      </c>
      <c r="P8" t="e">
        <f>C8=#REF!</f>
        <v>#REF!</v>
      </c>
      <c r="Q8" t="e">
        <f>D8=#REF!</f>
        <v>#REF!</v>
      </c>
      <c r="R8" t="e">
        <f>E8=#REF!</f>
        <v>#REF!</v>
      </c>
      <c r="S8" t="e">
        <f>F8=#REF!</f>
        <v>#REF!</v>
      </c>
      <c r="T8" t="e">
        <f>G8=#REF!</f>
        <v>#REF!</v>
      </c>
      <c r="U8" t="e">
        <f>H8=#REF!</f>
        <v>#REF!</v>
      </c>
      <c r="V8" t="e">
        <f>I8=#REF!</f>
        <v>#REF!</v>
      </c>
      <c r="W8" t="e">
        <f>J8=#REF!</f>
        <v>#REF!</v>
      </c>
      <c r="X8" t="e">
        <f>K8=#REF!</f>
        <v>#REF!</v>
      </c>
      <c r="Y8" t="e">
        <f>L8=#REF!</f>
        <v>#REF!</v>
      </c>
      <c r="Z8" t="e">
        <f>M8=#REF!</f>
        <v>#REF!</v>
      </c>
      <c r="AA8" t="e">
        <f>N8=#REF!</f>
        <v>#REF!</v>
      </c>
      <c r="AB8" t="e">
        <f>O8=#REF!</f>
        <v>#REF!</v>
      </c>
    </row>
    <row r="9" spans="1:28" x14ac:dyDescent="0.25">
      <c r="A9" s="290" t="s">
        <v>8</v>
      </c>
      <c r="B9" s="290">
        <v>125</v>
      </c>
      <c r="C9" s="65" t="s">
        <v>547</v>
      </c>
      <c r="D9" s="16" t="s">
        <v>29</v>
      </c>
      <c r="E9" s="16"/>
      <c r="F9" s="16" t="s">
        <v>29</v>
      </c>
      <c r="G9" s="16" t="s">
        <v>29</v>
      </c>
      <c r="H9" s="16" t="s">
        <v>29</v>
      </c>
      <c r="I9" s="16" t="s">
        <v>29</v>
      </c>
      <c r="J9" s="16" t="s">
        <v>29</v>
      </c>
      <c r="K9" s="16" t="s">
        <v>29</v>
      </c>
      <c r="L9" s="16" t="s">
        <v>29</v>
      </c>
      <c r="M9" s="16" t="s">
        <v>29</v>
      </c>
      <c r="N9" s="16"/>
      <c r="O9" s="16" t="s">
        <v>29</v>
      </c>
      <c r="P9" t="e">
        <f>C9=#REF!</f>
        <v>#REF!</v>
      </c>
      <c r="Q9" t="e">
        <f>D9=#REF!</f>
        <v>#REF!</v>
      </c>
      <c r="R9" t="e">
        <f>E9=#REF!</f>
        <v>#REF!</v>
      </c>
      <c r="S9" t="e">
        <f>F9=#REF!</f>
        <v>#REF!</v>
      </c>
      <c r="T9" t="e">
        <f>G9=#REF!</f>
        <v>#REF!</v>
      </c>
      <c r="U9" t="e">
        <f>H9=#REF!</f>
        <v>#REF!</v>
      </c>
      <c r="V9" t="e">
        <f>I9=#REF!</f>
        <v>#REF!</v>
      </c>
      <c r="W9" t="e">
        <f>J9=#REF!</f>
        <v>#REF!</v>
      </c>
      <c r="X9" t="e">
        <f>K9=#REF!</f>
        <v>#REF!</v>
      </c>
      <c r="Y9" t="e">
        <f>L9=#REF!</f>
        <v>#REF!</v>
      </c>
      <c r="Z9" t="e">
        <f>M9=#REF!</f>
        <v>#REF!</v>
      </c>
      <c r="AA9" t="e">
        <f>N9=#REF!</f>
        <v>#REF!</v>
      </c>
      <c r="AB9" t="e">
        <f>O9=#REF!</f>
        <v>#REF!</v>
      </c>
    </row>
    <row r="10" spans="1:28" x14ac:dyDescent="0.25">
      <c r="A10" s="290" t="s">
        <v>8</v>
      </c>
      <c r="B10" s="290">
        <v>125</v>
      </c>
      <c r="C10" s="65" t="s">
        <v>548</v>
      </c>
      <c r="D10" s="16" t="s">
        <v>29</v>
      </c>
      <c r="E10" s="16"/>
      <c r="F10" s="16" t="s">
        <v>29</v>
      </c>
      <c r="G10" s="16" t="s">
        <v>29</v>
      </c>
      <c r="H10" s="16" t="s">
        <v>29</v>
      </c>
      <c r="I10" s="16" t="s">
        <v>29</v>
      </c>
      <c r="J10" s="16" t="s">
        <v>29</v>
      </c>
      <c r="K10" s="16" t="s">
        <v>29</v>
      </c>
      <c r="L10" s="16" t="s">
        <v>29</v>
      </c>
      <c r="M10" s="16" t="s">
        <v>29</v>
      </c>
      <c r="N10" s="16"/>
      <c r="O10" s="16" t="s">
        <v>29</v>
      </c>
      <c r="P10" t="e">
        <f>C10=#REF!</f>
        <v>#REF!</v>
      </c>
      <c r="Q10" t="e">
        <f>D10=#REF!</f>
        <v>#REF!</v>
      </c>
      <c r="R10" t="e">
        <f>E10=#REF!</f>
        <v>#REF!</v>
      </c>
      <c r="S10" t="e">
        <f>F10=#REF!</f>
        <v>#REF!</v>
      </c>
      <c r="T10" t="e">
        <f>G10=#REF!</f>
        <v>#REF!</v>
      </c>
      <c r="U10" t="e">
        <f>H10=#REF!</f>
        <v>#REF!</v>
      </c>
      <c r="V10" t="e">
        <f>I10=#REF!</f>
        <v>#REF!</v>
      </c>
      <c r="W10" t="e">
        <f>J10=#REF!</f>
        <v>#REF!</v>
      </c>
      <c r="X10" t="e">
        <f>K10=#REF!</f>
        <v>#REF!</v>
      </c>
      <c r="Y10" t="e">
        <f>L10=#REF!</f>
        <v>#REF!</v>
      </c>
      <c r="Z10" t="e">
        <f>M10=#REF!</f>
        <v>#REF!</v>
      </c>
      <c r="AA10" t="e">
        <f>N10=#REF!</f>
        <v>#REF!</v>
      </c>
      <c r="AB10" t="e">
        <f>O10=#REF!</f>
        <v>#REF!</v>
      </c>
    </row>
    <row r="11" spans="1:28" x14ac:dyDescent="0.25">
      <c r="A11" s="290" t="s">
        <v>8</v>
      </c>
      <c r="B11" s="290">
        <v>125</v>
      </c>
      <c r="C11" s="65" t="s">
        <v>549</v>
      </c>
      <c r="D11" s="16"/>
      <c r="E11" s="16"/>
      <c r="F11" s="16"/>
      <c r="G11" s="16"/>
      <c r="H11" s="16"/>
      <c r="I11" s="16" t="s">
        <v>29</v>
      </c>
      <c r="J11" s="16"/>
      <c r="K11" s="16" t="s">
        <v>29</v>
      </c>
      <c r="L11" s="16"/>
      <c r="M11" s="16"/>
      <c r="N11" s="16"/>
      <c r="O11" s="16"/>
      <c r="P11" t="e">
        <f>C11=#REF!</f>
        <v>#REF!</v>
      </c>
      <c r="Q11" t="e">
        <f>D11=#REF!</f>
        <v>#REF!</v>
      </c>
      <c r="R11" t="e">
        <f>E11=#REF!</f>
        <v>#REF!</v>
      </c>
      <c r="S11" t="e">
        <f>F11=#REF!</f>
        <v>#REF!</v>
      </c>
      <c r="T11" t="e">
        <f>G11=#REF!</f>
        <v>#REF!</v>
      </c>
      <c r="U11" t="e">
        <f>H11=#REF!</f>
        <v>#REF!</v>
      </c>
      <c r="V11" t="e">
        <f>I11=#REF!</f>
        <v>#REF!</v>
      </c>
      <c r="W11" t="e">
        <f>J11=#REF!</f>
        <v>#REF!</v>
      </c>
      <c r="X11" t="e">
        <f>K11=#REF!</f>
        <v>#REF!</v>
      </c>
      <c r="Y11" t="e">
        <f>L11=#REF!</f>
        <v>#REF!</v>
      </c>
      <c r="Z11" t="e">
        <f>M11=#REF!</f>
        <v>#REF!</v>
      </c>
      <c r="AA11" t="e">
        <f>N11=#REF!</f>
        <v>#REF!</v>
      </c>
      <c r="AB11" t="e">
        <f>O11=#REF!</f>
        <v>#REF!</v>
      </c>
    </row>
    <row r="12" spans="1:28" ht="13" customHeight="1" x14ac:dyDescent="0.25">
      <c r="A12" s="290" t="s">
        <v>8</v>
      </c>
      <c r="B12" s="290">
        <v>125</v>
      </c>
      <c r="C12" s="65" t="s">
        <v>550</v>
      </c>
      <c r="D12" s="16"/>
      <c r="E12" s="16"/>
      <c r="F12" s="16"/>
      <c r="G12" s="16"/>
      <c r="H12" s="16"/>
      <c r="I12" s="16" t="s">
        <v>29</v>
      </c>
      <c r="J12" s="16"/>
      <c r="K12" s="16" t="s">
        <v>29</v>
      </c>
      <c r="L12" s="16"/>
      <c r="M12" s="16"/>
      <c r="N12" s="16"/>
      <c r="O12" s="16"/>
      <c r="P12" t="e">
        <f>C12=#REF!</f>
        <v>#REF!</v>
      </c>
      <c r="Q12" t="e">
        <f>D12=#REF!</f>
        <v>#REF!</v>
      </c>
      <c r="R12" t="e">
        <f>E12=#REF!</f>
        <v>#REF!</v>
      </c>
      <c r="S12" t="e">
        <f>F12=#REF!</f>
        <v>#REF!</v>
      </c>
      <c r="T12" t="e">
        <f>G12=#REF!</f>
        <v>#REF!</v>
      </c>
      <c r="U12" t="e">
        <f>H12=#REF!</f>
        <v>#REF!</v>
      </c>
      <c r="V12" t="e">
        <f>I12=#REF!</f>
        <v>#REF!</v>
      </c>
      <c r="W12" t="e">
        <f>J12=#REF!</f>
        <v>#REF!</v>
      </c>
      <c r="X12" t="e">
        <f>K12=#REF!</f>
        <v>#REF!</v>
      </c>
      <c r="Y12" t="e">
        <f>L12=#REF!</f>
        <v>#REF!</v>
      </c>
      <c r="Z12" t="e">
        <f>M12=#REF!</f>
        <v>#REF!</v>
      </c>
      <c r="AA12" t="e">
        <f>N12=#REF!</f>
        <v>#REF!</v>
      </c>
      <c r="AB12" t="e">
        <f>O12=#REF!</f>
        <v>#REF!</v>
      </c>
    </row>
    <row r="13" spans="1:28" ht="12" customHeight="1" x14ac:dyDescent="0.25">
      <c r="A13" s="290" t="s">
        <v>8</v>
      </c>
      <c r="B13" s="290">
        <v>125</v>
      </c>
      <c r="C13" s="65" t="s">
        <v>551</v>
      </c>
      <c r="D13" s="16" t="s">
        <v>29</v>
      </c>
      <c r="E13" s="16"/>
      <c r="F13" s="16"/>
      <c r="G13" s="16"/>
      <c r="H13" s="16"/>
      <c r="I13" s="16"/>
      <c r="J13" s="16"/>
      <c r="K13" s="16"/>
      <c r="L13" s="16"/>
      <c r="M13" s="16"/>
      <c r="N13" s="16"/>
      <c r="O13" s="16" t="s">
        <v>29</v>
      </c>
      <c r="P13" t="e">
        <f>C13=#REF!</f>
        <v>#REF!</v>
      </c>
      <c r="Q13" t="e">
        <f>D13=#REF!</f>
        <v>#REF!</v>
      </c>
      <c r="R13" t="e">
        <f>E13=#REF!</f>
        <v>#REF!</v>
      </c>
      <c r="S13" t="e">
        <f>F13=#REF!</f>
        <v>#REF!</v>
      </c>
      <c r="T13" t="e">
        <f>G13=#REF!</f>
        <v>#REF!</v>
      </c>
      <c r="U13" t="e">
        <f>H13=#REF!</f>
        <v>#REF!</v>
      </c>
      <c r="V13" t="e">
        <f>I13=#REF!</f>
        <v>#REF!</v>
      </c>
      <c r="W13" t="e">
        <f>J13=#REF!</f>
        <v>#REF!</v>
      </c>
      <c r="X13" t="e">
        <f>K13=#REF!</f>
        <v>#REF!</v>
      </c>
      <c r="Y13" t="e">
        <f>L13=#REF!</f>
        <v>#REF!</v>
      </c>
      <c r="Z13" t="e">
        <f>M13=#REF!</f>
        <v>#REF!</v>
      </c>
      <c r="AA13" t="e">
        <f>N13=#REF!</f>
        <v>#REF!</v>
      </c>
      <c r="AB13" t="e">
        <f>O13=#REF!</f>
        <v>#REF!</v>
      </c>
    </row>
    <row r="14" spans="1:28" x14ac:dyDescent="0.25">
      <c r="A14" s="290" t="s">
        <v>8</v>
      </c>
      <c r="B14" s="290">
        <v>125</v>
      </c>
      <c r="C14" s="65" t="s">
        <v>552</v>
      </c>
      <c r="D14" s="16" t="s">
        <v>29</v>
      </c>
      <c r="E14" s="16"/>
      <c r="F14" s="16"/>
      <c r="G14" s="16"/>
      <c r="H14" s="16"/>
      <c r="I14" s="16"/>
      <c r="J14" s="16"/>
      <c r="K14" s="16"/>
      <c r="L14" s="16"/>
      <c r="M14" s="16"/>
      <c r="N14" s="16"/>
      <c r="O14" s="16" t="s">
        <v>29</v>
      </c>
      <c r="P14" t="e">
        <f>C14=#REF!</f>
        <v>#REF!</v>
      </c>
      <c r="Q14" t="e">
        <f>D14=#REF!</f>
        <v>#REF!</v>
      </c>
      <c r="R14" t="e">
        <f>E14=#REF!</f>
        <v>#REF!</v>
      </c>
      <c r="S14" t="e">
        <f>F14=#REF!</f>
        <v>#REF!</v>
      </c>
      <c r="T14" t="e">
        <f>G14=#REF!</f>
        <v>#REF!</v>
      </c>
      <c r="U14" t="e">
        <f>H14=#REF!</f>
        <v>#REF!</v>
      </c>
      <c r="V14" t="e">
        <f>I14=#REF!</f>
        <v>#REF!</v>
      </c>
      <c r="W14" t="e">
        <f>J14=#REF!</f>
        <v>#REF!</v>
      </c>
      <c r="X14" t="e">
        <f>K14=#REF!</f>
        <v>#REF!</v>
      </c>
      <c r="Y14" t="e">
        <f>L14=#REF!</f>
        <v>#REF!</v>
      </c>
      <c r="Z14" t="e">
        <f>M14=#REF!</f>
        <v>#REF!</v>
      </c>
      <c r="AA14" t="e">
        <f>N14=#REF!</f>
        <v>#REF!</v>
      </c>
      <c r="AB14" t="e">
        <f>O14=#REF!</f>
        <v>#REF!</v>
      </c>
    </row>
    <row r="15" spans="1:28" x14ac:dyDescent="0.25">
      <c r="A15" s="290" t="s">
        <v>8</v>
      </c>
      <c r="B15" s="290">
        <v>125</v>
      </c>
      <c r="C15" s="65" t="s">
        <v>553</v>
      </c>
      <c r="D15" s="16" t="s">
        <v>29</v>
      </c>
      <c r="E15" s="16"/>
      <c r="F15" s="16"/>
      <c r="G15" s="16"/>
      <c r="H15" s="16"/>
      <c r="I15" s="16"/>
      <c r="J15" s="16"/>
      <c r="K15" s="16"/>
      <c r="L15" s="16"/>
      <c r="M15" s="16"/>
      <c r="N15" s="16"/>
      <c r="O15" s="16" t="s">
        <v>29</v>
      </c>
      <c r="P15" t="e">
        <f>C15=#REF!</f>
        <v>#REF!</v>
      </c>
      <c r="Q15" t="e">
        <f>D15=#REF!</f>
        <v>#REF!</v>
      </c>
      <c r="R15" t="e">
        <f>E15=#REF!</f>
        <v>#REF!</v>
      </c>
      <c r="S15" t="e">
        <f>F15=#REF!</f>
        <v>#REF!</v>
      </c>
      <c r="T15" t="e">
        <f>G15=#REF!</f>
        <v>#REF!</v>
      </c>
      <c r="U15" t="e">
        <f>H15=#REF!</f>
        <v>#REF!</v>
      </c>
      <c r="V15" t="e">
        <f>I15=#REF!</f>
        <v>#REF!</v>
      </c>
      <c r="W15" t="e">
        <f>J15=#REF!</f>
        <v>#REF!</v>
      </c>
      <c r="X15" t="e">
        <f>K15=#REF!</f>
        <v>#REF!</v>
      </c>
      <c r="Y15" t="e">
        <f>L15=#REF!</f>
        <v>#REF!</v>
      </c>
      <c r="Z15" t="e">
        <f>M15=#REF!</f>
        <v>#REF!</v>
      </c>
      <c r="AA15" t="e">
        <f>N15=#REF!</f>
        <v>#REF!</v>
      </c>
      <c r="AB15" t="e">
        <f>O15=#REF!</f>
        <v>#REF!</v>
      </c>
    </row>
    <row r="16" spans="1:28" x14ac:dyDescent="0.25">
      <c r="A16" s="290" t="s">
        <v>8</v>
      </c>
      <c r="B16" s="290">
        <v>125</v>
      </c>
      <c r="C16" s="65" t="s">
        <v>554</v>
      </c>
      <c r="D16" s="16" t="s">
        <v>29</v>
      </c>
      <c r="E16" s="16" t="s">
        <v>29</v>
      </c>
      <c r="F16" s="16" t="s">
        <v>29</v>
      </c>
      <c r="G16" s="16"/>
      <c r="H16" s="16" t="s">
        <v>29</v>
      </c>
      <c r="I16" s="16" t="s">
        <v>29</v>
      </c>
      <c r="J16" s="16" t="s">
        <v>29</v>
      </c>
      <c r="K16" s="16" t="s">
        <v>29</v>
      </c>
      <c r="L16" s="16" t="s">
        <v>29</v>
      </c>
      <c r="M16" s="16" t="s">
        <v>29</v>
      </c>
      <c r="N16" s="16"/>
      <c r="O16" s="16" t="s">
        <v>29</v>
      </c>
      <c r="P16" t="e">
        <f>C16=#REF!</f>
        <v>#REF!</v>
      </c>
      <c r="Q16" t="e">
        <f>D16=#REF!</f>
        <v>#REF!</v>
      </c>
      <c r="R16" t="e">
        <f>E16=#REF!</f>
        <v>#REF!</v>
      </c>
      <c r="S16" t="e">
        <f>F16=#REF!</f>
        <v>#REF!</v>
      </c>
      <c r="T16" t="e">
        <f>G16=#REF!</f>
        <v>#REF!</v>
      </c>
      <c r="U16" t="e">
        <f>H16=#REF!</f>
        <v>#REF!</v>
      </c>
      <c r="V16" t="e">
        <f>I16=#REF!</f>
        <v>#REF!</v>
      </c>
      <c r="W16" t="e">
        <f>J16=#REF!</f>
        <v>#REF!</v>
      </c>
      <c r="X16" t="e">
        <f>K16=#REF!</f>
        <v>#REF!</v>
      </c>
      <c r="Y16" t="e">
        <f>L16=#REF!</f>
        <v>#REF!</v>
      </c>
      <c r="Z16" t="e">
        <f>M16=#REF!</f>
        <v>#REF!</v>
      </c>
      <c r="AA16" t="e">
        <f>N16=#REF!</f>
        <v>#REF!</v>
      </c>
      <c r="AB16" t="e">
        <f>O16=#REF!</f>
        <v>#REF!</v>
      </c>
    </row>
    <row r="17" spans="1:28" x14ac:dyDescent="0.25">
      <c r="A17" s="290" t="s">
        <v>8</v>
      </c>
      <c r="B17" s="290">
        <v>125</v>
      </c>
      <c r="C17" s="65" t="s">
        <v>555</v>
      </c>
      <c r="D17" s="16" t="s">
        <v>29</v>
      </c>
      <c r="E17" s="16" t="s">
        <v>29</v>
      </c>
      <c r="F17" s="16" t="s">
        <v>29</v>
      </c>
      <c r="G17" s="16" t="s">
        <v>29</v>
      </c>
      <c r="H17" s="16" t="s">
        <v>29</v>
      </c>
      <c r="I17" s="16" t="s">
        <v>29</v>
      </c>
      <c r="J17" s="16" t="s">
        <v>29</v>
      </c>
      <c r="K17" s="16" t="s">
        <v>29</v>
      </c>
      <c r="L17" s="16" t="s">
        <v>29</v>
      </c>
      <c r="M17" s="16" t="s">
        <v>29</v>
      </c>
      <c r="N17" s="16" t="s">
        <v>29</v>
      </c>
      <c r="O17" s="16" t="s">
        <v>29</v>
      </c>
      <c r="P17" t="e">
        <f>C17=#REF!</f>
        <v>#REF!</v>
      </c>
      <c r="Q17" t="e">
        <f>D17=#REF!</f>
        <v>#REF!</v>
      </c>
      <c r="R17" t="e">
        <f>E17=#REF!</f>
        <v>#REF!</v>
      </c>
      <c r="S17" t="e">
        <f>F17=#REF!</f>
        <v>#REF!</v>
      </c>
      <c r="T17" t="e">
        <f>G17=#REF!</f>
        <v>#REF!</v>
      </c>
      <c r="U17" t="e">
        <f>H17=#REF!</f>
        <v>#REF!</v>
      </c>
      <c r="V17" t="e">
        <f>I17=#REF!</f>
        <v>#REF!</v>
      </c>
      <c r="W17" t="e">
        <f>J17=#REF!</f>
        <v>#REF!</v>
      </c>
      <c r="X17" t="e">
        <f>K17=#REF!</f>
        <v>#REF!</v>
      </c>
      <c r="Y17" t="e">
        <f>L17=#REF!</f>
        <v>#REF!</v>
      </c>
      <c r="Z17" t="e">
        <f>M17=#REF!</f>
        <v>#REF!</v>
      </c>
      <c r="AA17" t="e">
        <f>N17=#REF!</f>
        <v>#REF!</v>
      </c>
      <c r="AB17" t="e">
        <f>O17=#REF!</f>
        <v>#REF!</v>
      </c>
    </row>
    <row r="18" spans="1:28" x14ac:dyDescent="0.25">
      <c r="A18" s="290" t="s">
        <v>8</v>
      </c>
      <c r="B18" s="290">
        <v>125</v>
      </c>
      <c r="C18" s="65" t="s">
        <v>556</v>
      </c>
      <c r="D18" s="16" t="s">
        <v>29</v>
      </c>
      <c r="E18" s="16" t="s">
        <v>29</v>
      </c>
      <c r="F18" s="16" t="s">
        <v>29</v>
      </c>
      <c r="G18" s="16" t="s">
        <v>29</v>
      </c>
      <c r="H18" s="16" t="s">
        <v>29</v>
      </c>
      <c r="I18" s="16" t="s">
        <v>29</v>
      </c>
      <c r="J18" s="16" t="s">
        <v>29</v>
      </c>
      <c r="K18" s="16" t="s">
        <v>29</v>
      </c>
      <c r="L18" s="16" t="s">
        <v>29</v>
      </c>
      <c r="M18" s="16" t="s">
        <v>29</v>
      </c>
      <c r="N18" s="16" t="s">
        <v>29</v>
      </c>
      <c r="O18" s="16" t="s">
        <v>29</v>
      </c>
      <c r="P18" t="e">
        <f>C18=#REF!</f>
        <v>#REF!</v>
      </c>
      <c r="Q18" t="e">
        <f>D18=#REF!</f>
        <v>#REF!</v>
      </c>
      <c r="R18" t="e">
        <f>E18=#REF!</f>
        <v>#REF!</v>
      </c>
      <c r="S18" t="e">
        <f>F18=#REF!</f>
        <v>#REF!</v>
      </c>
      <c r="T18" t="e">
        <f>G18=#REF!</f>
        <v>#REF!</v>
      </c>
      <c r="U18" t="e">
        <f>H18=#REF!</f>
        <v>#REF!</v>
      </c>
      <c r="V18" t="e">
        <f>I18=#REF!</f>
        <v>#REF!</v>
      </c>
      <c r="W18" t="e">
        <f>J18=#REF!</f>
        <v>#REF!</v>
      </c>
      <c r="X18" t="e">
        <f>K18=#REF!</f>
        <v>#REF!</v>
      </c>
      <c r="Y18" t="e">
        <f>L18=#REF!</f>
        <v>#REF!</v>
      </c>
      <c r="Z18" t="e">
        <f>M18=#REF!</f>
        <v>#REF!</v>
      </c>
      <c r="AA18" t="e">
        <f>N18=#REF!</f>
        <v>#REF!</v>
      </c>
      <c r="AB18" t="e">
        <f>O18=#REF!</f>
        <v>#REF!</v>
      </c>
    </row>
    <row r="19" spans="1:28" x14ac:dyDescent="0.25">
      <c r="A19" s="290" t="s">
        <v>8</v>
      </c>
      <c r="B19" s="290">
        <v>125</v>
      </c>
      <c r="C19" s="65" t="s">
        <v>557</v>
      </c>
      <c r="D19" s="16" t="s">
        <v>29</v>
      </c>
      <c r="E19" s="16"/>
      <c r="F19" s="16" t="s">
        <v>29</v>
      </c>
      <c r="G19" s="16" t="s">
        <v>29</v>
      </c>
      <c r="H19" s="16" t="s">
        <v>29</v>
      </c>
      <c r="I19" s="16" t="s">
        <v>29</v>
      </c>
      <c r="J19" s="16" t="s">
        <v>29</v>
      </c>
      <c r="K19" s="16" t="s">
        <v>29</v>
      </c>
      <c r="L19" s="16" t="s">
        <v>29</v>
      </c>
      <c r="M19" s="16" t="s">
        <v>29</v>
      </c>
      <c r="N19" s="16"/>
      <c r="O19" s="16" t="s">
        <v>29</v>
      </c>
    </row>
    <row r="20" spans="1:28" x14ac:dyDescent="0.25">
      <c r="A20" s="290" t="s">
        <v>8</v>
      </c>
      <c r="B20" s="290">
        <v>125</v>
      </c>
      <c r="C20" s="65" t="s">
        <v>558</v>
      </c>
      <c r="D20" s="16" t="s">
        <v>29</v>
      </c>
      <c r="E20" s="16"/>
      <c r="F20" s="16" t="s">
        <v>29</v>
      </c>
      <c r="G20" s="16" t="s">
        <v>29</v>
      </c>
      <c r="H20" s="16" t="s">
        <v>29</v>
      </c>
      <c r="I20" s="16" t="s">
        <v>29</v>
      </c>
      <c r="J20" s="16" t="s">
        <v>29</v>
      </c>
      <c r="K20" s="16" t="s">
        <v>29</v>
      </c>
      <c r="L20" s="16" t="s">
        <v>29</v>
      </c>
      <c r="M20" s="16" t="s">
        <v>29</v>
      </c>
      <c r="N20" s="16"/>
      <c r="O20" s="16" t="s">
        <v>29</v>
      </c>
    </row>
    <row r="21" spans="1:28" x14ac:dyDescent="0.25">
      <c r="A21" s="290" t="s">
        <v>8</v>
      </c>
      <c r="B21" s="290">
        <v>125</v>
      </c>
      <c r="C21" s="65" t="s">
        <v>559</v>
      </c>
      <c r="D21" s="16" t="s">
        <v>29</v>
      </c>
      <c r="E21" s="16"/>
      <c r="F21" s="16" t="s">
        <v>29</v>
      </c>
      <c r="G21" s="16" t="s">
        <v>29</v>
      </c>
      <c r="H21" s="16" t="s">
        <v>29</v>
      </c>
      <c r="I21" s="16" t="s">
        <v>29</v>
      </c>
      <c r="J21" s="16" t="s">
        <v>29</v>
      </c>
      <c r="K21" s="16" t="s">
        <v>29</v>
      </c>
      <c r="L21" s="16" t="s">
        <v>29</v>
      </c>
      <c r="M21" s="16" t="s">
        <v>29</v>
      </c>
      <c r="N21" s="16"/>
      <c r="O21" s="16" t="s">
        <v>29</v>
      </c>
    </row>
    <row r="22" spans="1:28" x14ac:dyDescent="0.25">
      <c r="A22" s="290" t="s">
        <v>8</v>
      </c>
      <c r="B22" s="290">
        <v>125</v>
      </c>
      <c r="C22" s="65" t="s">
        <v>560</v>
      </c>
      <c r="D22" s="16"/>
      <c r="E22" s="16" t="s">
        <v>29</v>
      </c>
      <c r="F22" s="16"/>
      <c r="G22" s="16"/>
      <c r="H22" s="16"/>
      <c r="I22" s="16"/>
      <c r="J22" s="16"/>
      <c r="K22" s="16"/>
      <c r="L22" s="16"/>
      <c r="M22" s="16"/>
      <c r="N22" s="16"/>
      <c r="O22" s="16"/>
      <c r="P22" t="e">
        <f>C22=#REF!</f>
        <v>#REF!</v>
      </c>
      <c r="Q22" t="e">
        <f>D22=#REF!</f>
        <v>#REF!</v>
      </c>
      <c r="R22" t="e">
        <f>E22=#REF!</f>
        <v>#REF!</v>
      </c>
      <c r="S22" t="e">
        <f>F22=#REF!</f>
        <v>#REF!</v>
      </c>
      <c r="T22" t="e">
        <f>G22=#REF!</f>
        <v>#REF!</v>
      </c>
      <c r="U22" t="e">
        <f>H22=#REF!</f>
        <v>#REF!</v>
      </c>
      <c r="V22" t="e">
        <f>I22=#REF!</f>
        <v>#REF!</v>
      </c>
      <c r="W22" t="e">
        <f>J22=#REF!</f>
        <v>#REF!</v>
      </c>
      <c r="X22" t="e">
        <f>K22=#REF!</f>
        <v>#REF!</v>
      </c>
      <c r="Y22" t="e">
        <f>L22=#REF!</f>
        <v>#REF!</v>
      </c>
      <c r="Z22" t="e">
        <f>M22=#REF!</f>
        <v>#REF!</v>
      </c>
      <c r="AA22" t="e">
        <f>N22=#REF!</f>
        <v>#REF!</v>
      </c>
      <c r="AB22" t="e">
        <f>O22=#REF!</f>
        <v>#REF!</v>
      </c>
    </row>
    <row r="23" spans="1:28" x14ac:dyDescent="0.25">
      <c r="A23" s="290" t="s">
        <v>8</v>
      </c>
      <c r="B23" s="290">
        <v>125</v>
      </c>
      <c r="C23" s="65" t="s">
        <v>561</v>
      </c>
      <c r="D23" s="16"/>
      <c r="E23" s="16" t="s">
        <v>29</v>
      </c>
      <c r="F23" s="16"/>
      <c r="G23" s="16"/>
      <c r="H23" s="16"/>
      <c r="I23" s="16"/>
      <c r="J23" s="16"/>
      <c r="K23" s="16"/>
      <c r="L23" s="16"/>
      <c r="M23" s="16"/>
      <c r="N23" s="16"/>
      <c r="O23" s="16"/>
      <c r="P23" t="e">
        <f>C23=#REF!</f>
        <v>#REF!</v>
      </c>
      <c r="Q23" t="e">
        <f>D23=#REF!</f>
        <v>#REF!</v>
      </c>
      <c r="R23" t="e">
        <f>E23=#REF!</f>
        <v>#REF!</v>
      </c>
      <c r="S23" t="e">
        <f>F23=#REF!</f>
        <v>#REF!</v>
      </c>
      <c r="T23" t="e">
        <f>G23=#REF!</f>
        <v>#REF!</v>
      </c>
      <c r="U23" t="e">
        <f>H23=#REF!</f>
        <v>#REF!</v>
      </c>
      <c r="V23" t="e">
        <f>I23=#REF!</f>
        <v>#REF!</v>
      </c>
      <c r="W23" t="e">
        <f>J23=#REF!</f>
        <v>#REF!</v>
      </c>
      <c r="X23" t="e">
        <f>K23=#REF!</f>
        <v>#REF!</v>
      </c>
      <c r="Y23" t="e">
        <f>L23=#REF!</f>
        <v>#REF!</v>
      </c>
      <c r="Z23" t="e">
        <f>M23=#REF!</f>
        <v>#REF!</v>
      </c>
      <c r="AA23" t="e">
        <f>N23=#REF!</f>
        <v>#REF!</v>
      </c>
      <c r="AB23" t="e">
        <f>O23=#REF!</f>
        <v>#REF!</v>
      </c>
    </row>
    <row r="24" spans="1:28" x14ac:dyDescent="0.25">
      <c r="A24" s="290" t="s">
        <v>8</v>
      </c>
      <c r="B24" s="290">
        <v>125</v>
      </c>
      <c r="C24" s="65" t="s">
        <v>562</v>
      </c>
      <c r="D24" s="16" t="s">
        <v>29</v>
      </c>
      <c r="E24" s="16"/>
      <c r="F24" s="16" t="s">
        <v>29</v>
      </c>
      <c r="G24" s="16"/>
      <c r="H24" s="16" t="s">
        <v>29</v>
      </c>
      <c r="I24" s="16" t="s">
        <v>29</v>
      </c>
      <c r="J24" s="16" t="s">
        <v>29</v>
      </c>
      <c r="K24" s="16" t="s">
        <v>29</v>
      </c>
      <c r="L24" s="16" t="s">
        <v>29</v>
      </c>
      <c r="M24" s="16" t="s">
        <v>29</v>
      </c>
      <c r="N24" s="16" t="s">
        <v>29</v>
      </c>
      <c r="O24" s="16" t="s">
        <v>29</v>
      </c>
      <c r="P24" t="e">
        <f>C24=#REF!</f>
        <v>#REF!</v>
      </c>
      <c r="Q24" t="e">
        <f>D24=#REF!</f>
        <v>#REF!</v>
      </c>
      <c r="R24" t="e">
        <f>E24=#REF!</f>
        <v>#REF!</v>
      </c>
      <c r="S24" t="e">
        <f>F24=#REF!</f>
        <v>#REF!</v>
      </c>
      <c r="T24" t="e">
        <f>G24=#REF!</f>
        <v>#REF!</v>
      </c>
      <c r="U24" t="e">
        <f>H24=#REF!</f>
        <v>#REF!</v>
      </c>
      <c r="V24" t="e">
        <f>I24=#REF!</f>
        <v>#REF!</v>
      </c>
      <c r="W24" t="e">
        <f>J24=#REF!</f>
        <v>#REF!</v>
      </c>
      <c r="X24" t="e">
        <f>K24=#REF!</f>
        <v>#REF!</v>
      </c>
      <c r="Y24" t="e">
        <f>L24=#REF!</f>
        <v>#REF!</v>
      </c>
      <c r="Z24" t="e">
        <f>M24=#REF!</f>
        <v>#REF!</v>
      </c>
      <c r="AA24" t="e">
        <f>N24=#REF!</f>
        <v>#REF!</v>
      </c>
      <c r="AB24" t="e">
        <f>O24=#REF!</f>
        <v>#REF!</v>
      </c>
    </row>
    <row r="25" spans="1:28" x14ac:dyDescent="0.25">
      <c r="A25" s="290" t="s">
        <v>8</v>
      </c>
      <c r="B25" s="290">
        <v>125</v>
      </c>
      <c r="C25" s="65" t="s">
        <v>563</v>
      </c>
      <c r="D25" s="16" t="s">
        <v>29</v>
      </c>
      <c r="E25" s="16" t="s">
        <v>29</v>
      </c>
      <c r="F25" s="16" t="s">
        <v>29</v>
      </c>
      <c r="G25" s="16" t="s">
        <v>29</v>
      </c>
      <c r="H25" s="16" t="s">
        <v>29</v>
      </c>
      <c r="I25" s="16" t="s">
        <v>29</v>
      </c>
      <c r="J25" s="16" t="s">
        <v>29</v>
      </c>
      <c r="K25" s="16" t="s">
        <v>29</v>
      </c>
      <c r="L25" s="175" t="s">
        <v>29</v>
      </c>
      <c r="M25" s="16" t="s">
        <v>29</v>
      </c>
      <c r="N25" s="16" t="s">
        <v>29</v>
      </c>
      <c r="O25" s="16" t="s">
        <v>29</v>
      </c>
      <c r="P25" t="e">
        <f>C25=#REF!</f>
        <v>#REF!</v>
      </c>
      <c r="Q25" t="e">
        <f>D25=#REF!</f>
        <v>#REF!</v>
      </c>
      <c r="R25" t="e">
        <f>E25=#REF!</f>
        <v>#REF!</v>
      </c>
      <c r="S25" t="e">
        <f>F25=#REF!</f>
        <v>#REF!</v>
      </c>
      <c r="T25" t="e">
        <f>G25=#REF!</f>
        <v>#REF!</v>
      </c>
      <c r="U25" t="e">
        <f>H25=#REF!</f>
        <v>#REF!</v>
      </c>
      <c r="V25" t="e">
        <f>I25=#REF!</f>
        <v>#REF!</v>
      </c>
      <c r="W25" t="e">
        <f>J25=#REF!</f>
        <v>#REF!</v>
      </c>
      <c r="X25" t="e">
        <f>K25=#REF!</f>
        <v>#REF!</v>
      </c>
      <c r="Y25" t="e">
        <f>L25=#REF!</f>
        <v>#REF!</v>
      </c>
      <c r="Z25" t="e">
        <f>M25=#REF!</f>
        <v>#REF!</v>
      </c>
      <c r="AA25" t="e">
        <f>N25=#REF!</f>
        <v>#REF!</v>
      </c>
      <c r="AB25" t="e">
        <f>O25=#REF!</f>
        <v>#REF!</v>
      </c>
    </row>
    <row r="26" spans="1:28" x14ac:dyDescent="0.25">
      <c r="A26" s="290" t="s">
        <v>8</v>
      </c>
      <c r="B26" s="290">
        <v>125</v>
      </c>
      <c r="C26" s="65" t="s">
        <v>564</v>
      </c>
      <c r="D26" s="16" t="s">
        <v>29</v>
      </c>
      <c r="E26" s="16"/>
      <c r="F26" s="16" t="s">
        <v>29</v>
      </c>
      <c r="G26" s="16"/>
      <c r="H26" s="16" t="s">
        <v>29</v>
      </c>
      <c r="I26" s="16" t="s">
        <v>29</v>
      </c>
      <c r="J26" s="16" t="s">
        <v>29</v>
      </c>
      <c r="K26" s="16" t="s">
        <v>29</v>
      </c>
      <c r="L26" s="16" t="s">
        <v>29</v>
      </c>
      <c r="M26" s="16" t="s">
        <v>29</v>
      </c>
      <c r="N26" s="16" t="s">
        <v>29</v>
      </c>
      <c r="O26" s="16" t="s">
        <v>29</v>
      </c>
      <c r="P26" t="e">
        <f>C26=#REF!</f>
        <v>#REF!</v>
      </c>
      <c r="Q26" t="e">
        <f>D26=#REF!</f>
        <v>#REF!</v>
      </c>
      <c r="R26" t="e">
        <f>E26=#REF!</f>
        <v>#REF!</v>
      </c>
      <c r="S26" t="e">
        <f>F26=#REF!</f>
        <v>#REF!</v>
      </c>
      <c r="T26" t="e">
        <f>G26=#REF!</f>
        <v>#REF!</v>
      </c>
      <c r="U26" t="e">
        <f>H26=#REF!</f>
        <v>#REF!</v>
      </c>
      <c r="V26" t="e">
        <f>I26=#REF!</f>
        <v>#REF!</v>
      </c>
      <c r="W26" t="e">
        <f>J26=#REF!</f>
        <v>#REF!</v>
      </c>
      <c r="X26" t="e">
        <f>K26=#REF!</f>
        <v>#REF!</v>
      </c>
      <c r="Y26" t="e">
        <f>L26=#REF!</f>
        <v>#REF!</v>
      </c>
      <c r="Z26" t="e">
        <f>M26=#REF!</f>
        <v>#REF!</v>
      </c>
      <c r="AA26" t="e">
        <f>N26=#REF!</f>
        <v>#REF!</v>
      </c>
      <c r="AB26" t="e">
        <f>O26=#REF!</f>
        <v>#REF!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K71"/>
  <sheetViews>
    <sheetView workbookViewId="0">
      <selection activeCell="E47" sqref="E47"/>
    </sheetView>
  </sheetViews>
  <sheetFormatPr defaultColWidth="9.26953125" defaultRowHeight="12.5" x14ac:dyDescent="0.25"/>
  <cols>
    <col min="1" max="1" width="27" customWidth="1"/>
    <col min="2" max="2" width="21.453125" customWidth="1"/>
    <col min="3" max="3" width="21.54296875" customWidth="1"/>
    <col min="4" max="4" width="18.26953125" customWidth="1"/>
    <col min="5" max="5" width="19.26953125" customWidth="1"/>
    <col min="6" max="6" width="22.54296875" customWidth="1"/>
  </cols>
  <sheetData>
    <row r="1" spans="1:6" ht="15.5" x14ac:dyDescent="0.25">
      <c r="A1" s="393"/>
      <c r="B1" s="1063" t="s">
        <v>565</v>
      </c>
      <c r="C1" s="1063"/>
      <c r="D1" s="1063"/>
      <c r="E1" s="1063"/>
      <c r="F1" s="1063"/>
    </row>
    <row r="2" spans="1:6" ht="15.5" x14ac:dyDescent="0.25">
      <c r="A2" s="101" t="s">
        <v>566</v>
      </c>
      <c r="B2" s="102" t="s">
        <v>567</v>
      </c>
      <c r="C2" s="103"/>
      <c r="D2" s="103"/>
      <c r="E2" s="103"/>
      <c r="F2" s="103"/>
    </row>
    <row r="3" spans="1:6" ht="13" x14ac:dyDescent="0.25">
      <c r="A3" s="101" t="s">
        <v>568</v>
      </c>
      <c r="B3" s="104" t="s">
        <v>569</v>
      </c>
      <c r="C3" s="105" t="s">
        <v>570</v>
      </c>
      <c r="D3" s="102" t="s">
        <v>569</v>
      </c>
      <c r="E3" s="105" t="s">
        <v>571</v>
      </c>
      <c r="F3" s="102" t="s">
        <v>569</v>
      </c>
    </row>
    <row r="4" spans="1:6" ht="13" x14ac:dyDescent="0.25">
      <c r="A4" s="101" t="s">
        <v>572</v>
      </c>
      <c r="B4" s="104" t="s">
        <v>573</v>
      </c>
      <c r="C4" s="105"/>
      <c r="D4" s="102"/>
      <c r="E4" s="105"/>
      <c r="F4" s="102"/>
    </row>
    <row r="5" spans="1:6" ht="13" x14ac:dyDescent="0.3">
      <c r="A5" s="106" t="s">
        <v>574</v>
      </c>
      <c r="B5" s="104" t="s">
        <v>55</v>
      </c>
      <c r="C5" s="107" t="s">
        <v>575</v>
      </c>
      <c r="D5" s="104" t="s">
        <v>576</v>
      </c>
      <c r="E5" s="107" t="s">
        <v>577</v>
      </c>
      <c r="F5" s="104" t="s">
        <v>578</v>
      </c>
    </row>
    <row r="6" spans="1:6" ht="15.5" x14ac:dyDescent="0.25">
      <c r="A6" s="101" t="s">
        <v>182</v>
      </c>
      <c r="B6" s="102" t="s">
        <v>579</v>
      </c>
      <c r="C6" s="103"/>
      <c r="D6" s="103"/>
      <c r="E6" s="103"/>
      <c r="F6" s="103"/>
    </row>
    <row r="7" spans="1:6" ht="13" x14ac:dyDescent="0.3">
      <c r="A7" s="101" t="s">
        <v>527</v>
      </c>
      <c r="B7" s="102" t="s">
        <v>543</v>
      </c>
      <c r="C7" s="107"/>
      <c r="D7" s="104"/>
      <c r="E7" s="107"/>
      <c r="F7" s="104"/>
    </row>
    <row r="8" spans="1:6" ht="13.5" thickBot="1" x14ac:dyDescent="0.35">
      <c r="A8" s="101" t="s">
        <v>203</v>
      </c>
      <c r="B8" s="102" t="s">
        <v>580</v>
      </c>
      <c r="C8" s="107"/>
      <c r="D8" s="104"/>
      <c r="E8" s="107"/>
      <c r="F8" s="104"/>
    </row>
    <row r="9" spans="1:6" s="81" customFormat="1" ht="13" x14ac:dyDescent="0.3">
      <c r="A9" s="100"/>
      <c r="B9" s="1065" t="s">
        <v>581</v>
      </c>
      <c r="C9" s="1066"/>
      <c r="D9" s="1066"/>
      <c r="E9" s="1066"/>
      <c r="F9" s="1067"/>
    </row>
    <row r="10" spans="1:6" s="104" customFormat="1" ht="13.5" thickBot="1" x14ac:dyDescent="0.3">
      <c r="A10" s="100"/>
      <c r="B10" s="309" t="s">
        <v>582</v>
      </c>
      <c r="C10" s="309" t="s">
        <v>583</v>
      </c>
      <c r="D10" s="309" t="s">
        <v>231</v>
      </c>
      <c r="E10" s="309" t="s">
        <v>232</v>
      </c>
      <c r="F10" s="310" t="s">
        <v>217</v>
      </c>
    </row>
    <row r="11" spans="1:6" s="104" customFormat="1" ht="13" x14ac:dyDescent="0.25">
      <c r="A11" s="100"/>
      <c r="B11" s="352">
        <v>250000</v>
      </c>
      <c r="C11" s="353">
        <v>499999</v>
      </c>
      <c r="D11" s="354">
        <v>0</v>
      </c>
      <c r="E11" s="354">
        <v>1989</v>
      </c>
      <c r="F11" s="355">
        <v>0.43</v>
      </c>
    </row>
    <row r="12" spans="1:6" s="104" customFormat="1" ht="13" x14ac:dyDescent="0.25">
      <c r="A12" s="100"/>
      <c r="B12" s="356">
        <v>500000</v>
      </c>
      <c r="C12" s="357">
        <v>999999</v>
      </c>
      <c r="D12" s="358">
        <v>0</v>
      </c>
      <c r="E12" s="358">
        <v>1989</v>
      </c>
      <c r="F12" s="359">
        <v>0.36</v>
      </c>
    </row>
    <row r="13" spans="1:6" s="104" customFormat="1" ht="13" x14ac:dyDescent="0.25">
      <c r="A13" s="100"/>
      <c r="B13" s="356">
        <v>1000000</v>
      </c>
      <c r="C13" s="357">
        <v>2999999</v>
      </c>
      <c r="D13" s="358">
        <v>0</v>
      </c>
      <c r="E13" s="358">
        <v>1989</v>
      </c>
      <c r="F13" s="359">
        <v>0.31</v>
      </c>
    </row>
    <row r="14" spans="1:6" s="104" customFormat="1" ht="13" x14ac:dyDescent="0.25">
      <c r="A14" s="100"/>
      <c r="B14" s="356">
        <v>3000000</v>
      </c>
      <c r="C14" s="357">
        <v>4999999</v>
      </c>
      <c r="D14" s="358">
        <v>0</v>
      </c>
      <c r="E14" s="358">
        <v>1989</v>
      </c>
      <c r="F14" s="359">
        <v>0.27</v>
      </c>
    </row>
    <row r="15" spans="1:6" s="104" customFormat="1" ht="13" x14ac:dyDescent="0.25">
      <c r="A15" s="100"/>
      <c r="B15" s="356">
        <v>5000000</v>
      </c>
      <c r="C15" s="357">
        <v>9999999</v>
      </c>
      <c r="D15" s="358">
        <v>0</v>
      </c>
      <c r="E15" s="358">
        <v>1989</v>
      </c>
      <c r="F15" s="359">
        <v>0.22</v>
      </c>
    </row>
    <row r="16" spans="1:6" s="104" customFormat="1" ht="13" x14ac:dyDescent="0.25">
      <c r="A16" s="100"/>
      <c r="B16" s="356">
        <v>10000000</v>
      </c>
      <c r="C16" s="357">
        <v>19999999</v>
      </c>
      <c r="D16" s="358">
        <v>0</v>
      </c>
      <c r="E16" s="358">
        <v>1989</v>
      </c>
      <c r="F16" s="359">
        <v>0.17</v>
      </c>
    </row>
    <row r="17" spans="1:6" s="104" customFormat="1" ht="13.5" thickBot="1" x14ac:dyDescent="0.3">
      <c r="A17" s="100"/>
      <c r="B17" s="360">
        <v>20000000</v>
      </c>
      <c r="C17" s="361">
        <v>999999999</v>
      </c>
      <c r="D17" s="362">
        <v>0</v>
      </c>
      <c r="E17" s="362">
        <v>1989</v>
      </c>
      <c r="F17" s="363">
        <v>0.12</v>
      </c>
    </row>
    <row r="18" spans="1:6" s="104" customFormat="1" ht="13" x14ac:dyDescent="0.25">
      <c r="A18" s="100"/>
      <c r="B18" s="352">
        <v>250000</v>
      </c>
      <c r="C18" s="353">
        <v>499999</v>
      </c>
      <c r="D18" s="354">
        <v>1990</v>
      </c>
      <c r="E18" s="354">
        <v>1999</v>
      </c>
      <c r="F18" s="355">
        <v>1.05</v>
      </c>
    </row>
    <row r="19" spans="1:6" s="104" customFormat="1" ht="13" x14ac:dyDescent="0.25">
      <c r="A19" s="100"/>
      <c r="B19" s="356">
        <v>500000</v>
      </c>
      <c r="C19" s="357">
        <v>999999</v>
      </c>
      <c r="D19" s="358">
        <v>1990</v>
      </c>
      <c r="E19" s="358">
        <v>1999</v>
      </c>
      <c r="F19" s="359">
        <v>0.73</v>
      </c>
    </row>
    <row r="20" spans="1:6" s="104" customFormat="1" ht="13" x14ac:dyDescent="0.25">
      <c r="A20" s="100"/>
      <c r="B20" s="356">
        <v>1000000</v>
      </c>
      <c r="C20" s="357">
        <v>2999999</v>
      </c>
      <c r="D20" s="358">
        <v>1990</v>
      </c>
      <c r="E20" s="358">
        <v>1999</v>
      </c>
      <c r="F20" s="359">
        <v>0.56000000000000005</v>
      </c>
    </row>
    <row r="21" spans="1:6" s="104" customFormat="1" ht="13" x14ac:dyDescent="0.25">
      <c r="A21" s="100"/>
      <c r="B21" s="356">
        <v>3000000</v>
      </c>
      <c r="C21" s="357">
        <v>4999999</v>
      </c>
      <c r="D21" s="358">
        <v>1990</v>
      </c>
      <c r="E21" s="358">
        <v>1999</v>
      </c>
      <c r="F21" s="359">
        <v>0.38</v>
      </c>
    </row>
    <row r="22" spans="1:6" s="104" customFormat="1" ht="13" x14ac:dyDescent="0.25">
      <c r="A22" s="100"/>
      <c r="B22" s="356">
        <v>5000000</v>
      </c>
      <c r="C22" s="357">
        <v>9999999</v>
      </c>
      <c r="D22" s="358">
        <v>1990</v>
      </c>
      <c r="E22" s="358">
        <v>1999</v>
      </c>
      <c r="F22" s="359">
        <v>0.3</v>
      </c>
    </row>
    <row r="23" spans="1:6" s="104" customFormat="1" ht="13" x14ac:dyDescent="0.25">
      <c r="A23" s="100"/>
      <c r="B23" s="356">
        <v>10000000</v>
      </c>
      <c r="C23" s="357">
        <v>19999999</v>
      </c>
      <c r="D23" s="358">
        <v>1990</v>
      </c>
      <c r="E23" s="358">
        <v>1999</v>
      </c>
      <c r="F23" s="359">
        <v>0.2</v>
      </c>
    </row>
    <row r="24" spans="1:6" s="104" customFormat="1" ht="13.5" thickBot="1" x14ac:dyDescent="0.3">
      <c r="A24" s="100"/>
      <c r="B24" s="364">
        <v>20000000</v>
      </c>
      <c r="C24" s="365">
        <v>999999999</v>
      </c>
      <c r="D24" s="366">
        <v>1990</v>
      </c>
      <c r="E24" s="366">
        <v>1999</v>
      </c>
      <c r="F24" s="367">
        <v>0.15</v>
      </c>
    </row>
    <row r="25" spans="1:6" s="104" customFormat="1" ht="13" x14ac:dyDescent="0.25">
      <c r="A25" s="100"/>
      <c r="B25" s="368">
        <v>250000</v>
      </c>
      <c r="C25" s="369">
        <v>499999</v>
      </c>
      <c r="D25" s="370">
        <v>2000</v>
      </c>
      <c r="E25" s="370">
        <v>2015</v>
      </c>
      <c r="F25" s="371">
        <v>1.2789999999999999</v>
      </c>
    </row>
    <row r="26" spans="1:6" s="104" customFormat="1" ht="13" x14ac:dyDescent="0.25">
      <c r="A26" s="100"/>
      <c r="B26" s="356">
        <v>500000</v>
      </c>
      <c r="C26" s="357">
        <v>999999</v>
      </c>
      <c r="D26" s="358">
        <v>2000</v>
      </c>
      <c r="E26" s="358">
        <v>2015</v>
      </c>
      <c r="F26" s="359">
        <v>0.93799999999999994</v>
      </c>
    </row>
    <row r="27" spans="1:6" s="104" customFormat="1" ht="13" x14ac:dyDescent="0.25">
      <c r="A27" s="100"/>
      <c r="B27" s="356">
        <v>1000000</v>
      </c>
      <c r="C27" s="357">
        <v>2999999</v>
      </c>
      <c r="D27" s="358">
        <v>2000</v>
      </c>
      <c r="E27" s="358">
        <v>2015</v>
      </c>
      <c r="F27" s="359">
        <v>0.745</v>
      </c>
    </row>
    <row r="28" spans="1:6" s="104" customFormat="1" ht="13" x14ac:dyDescent="0.25">
      <c r="A28" s="100"/>
      <c r="B28" s="356">
        <v>3000000</v>
      </c>
      <c r="C28" s="357">
        <v>4999999</v>
      </c>
      <c r="D28" s="358">
        <v>2000</v>
      </c>
      <c r="E28" s="358">
        <v>2015</v>
      </c>
      <c r="F28" s="359">
        <v>0.49299999999999999</v>
      </c>
    </row>
    <row r="29" spans="1:6" s="104" customFormat="1" ht="13" x14ac:dyDescent="0.25">
      <c r="A29" s="100"/>
      <c r="B29" s="356">
        <v>5000000</v>
      </c>
      <c r="C29" s="357">
        <v>9999999</v>
      </c>
      <c r="D29" s="358">
        <v>2000</v>
      </c>
      <c r="E29" s="358">
        <v>2015</v>
      </c>
      <c r="F29" s="359">
        <v>0.373</v>
      </c>
    </row>
    <row r="30" spans="1:6" s="104" customFormat="1" ht="13" x14ac:dyDescent="0.25">
      <c r="A30" s="100"/>
      <c r="B30" s="356">
        <v>10000000</v>
      </c>
      <c r="C30" s="357">
        <v>19999999</v>
      </c>
      <c r="D30" s="358">
        <v>2000</v>
      </c>
      <c r="E30" s="358">
        <v>2015</v>
      </c>
      <c r="F30" s="359">
        <v>0.23899999999999999</v>
      </c>
    </row>
    <row r="31" spans="1:6" s="104" customFormat="1" ht="13.5" thickBot="1" x14ac:dyDescent="0.3">
      <c r="A31" s="100"/>
      <c r="B31" s="360">
        <v>20000000</v>
      </c>
      <c r="C31" s="361">
        <v>999999999</v>
      </c>
      <c r="D31" s="362">
        <v>2000</v>
      </c>
      <c r="E31" s="362">
        <v>2015</v>
      </c>
      <c r="F31" s="363">
        <v>0.189</v>
      </c>
    </row>
    <row r="32" spans="1:6" s="104" customFormat="1" ht="13" x14ac:dyDescent="0.25">
      <c r="A32" s="100"/>
      <c r="B32" s="352">
        <v>250000</v>
      </c>
      <c r="C32" s="353">
        <v>499999</v>
      </c>
      <c r="D32" s="354">
        <v>2016</v>
      </c>
      <c r="E32" s="354">
        <v>9999</v>
      </c>
      <c r="F32" s="355">
        <v>1.446</v>
      </c>
    </row>
    <row r="33" spans="1:6" s="104" customFormat="1" ht="13" x14ac:dyDescent="0.25">
      <c r="A33" s="100"/>
      <c r="B33" s="356">
        <v>500000</v>
      </c>
      <c r="C33" s="357">
        <v>999999</v>
      </c>
      <c r="D33" s="358">
        <v>2016</v>
      </c>
      <c r="E33" s="358">
        <v>9999</v>
      </c>
      <c r="F33" s="359">
        <v>0.99299999999999999</v>
      </c>
    </row>
    <row r="34" spans="1:6" s="104" customFormat="1" ht="13" x14ac:dyDescent="0.25">
      <c r="A34" s="100"/>
      <c r="B34" s="356">
        <v>1000000</v>
      </c>
      <c r="C34" s="357">
        <v>2999999</v>
      </c>
      <c r="D34" s="358">
        <v>2016</v>
      </c>
      <c r="E34" s="358">
        <v>9999</v>
      </c>
      <c r="F34" s="359">
        <v>0.77800000000000002</v>
      </c>
    </row>
    <row r="35" spans="1:6" s="104" customFormat="1" ht="13" x14ac:dyDescent="0.25">
      <c r="A35" s="100"/>
      <c r="B35" s="356">
        <v>3000000</v>
      </c>
      <c r="C35" s="357">
        <v>4999999</v>
      </c>
      <c r="D35" s="358">
        <v>2016</v>
      </c>
      <c r="E35" s="358">
        <v>9999</v>
      </c>
      <c r="F35" s="359">
        <v>0.501</v>
      </c>
    </row>
    <row r="36" spans="1:6" s="104" customFormat="1" ht="13" x14ac:dyDescent="0.25">
      <c r="A36" s="100"/>
      <c r="B36" s="356">
        <v>5000000</v>
      </c>
      <c r="C36" s="357">
        <v>9999999</v>
      </c>
      <c r="D36" s="358">
        <v>2016</v>
      </c>
      <c r="E36" s="358">
        <v>9999</v>
      </c>
      <c r="F36" s="359">
        <v>0.38800000000000001</v>
      </c>
    </row>
    <row r="37" spans="1:6" s="104" customFormat="1" ht="13" x14ac:dyDescent="0.25">
      <c r="A37" s="100"/>
      <c r="B37" s="356">
        <v>10000000</v>
      </c>
      <c r="C37" s="357">
        <v>19999999</v>
      </c>
      <c r="D37" s="358">
        <v>2016</v>
      </c>
      <c r="E37" s="358">
        <v>9999</v>
      </c>
      <c r="F37" s="359">
        <v>0.251</v>
      </c>
    </row>
    <row r="38" spans="1:6" s="104" customFormat="1" ht="13.5" thickBot="1" x14ac:dyDescent="0.3">
      <c r="A38" s="100"/>
      <c r="B38" s="364">
        <v>20000000</v>
      </c>
      <c r="C38" s="365">
        <v>999999999</v>
      </c>
      <c r="D38" s="366">
        <v>2016</v>
      </c>
      <c r="E38" s="366">
        <v>9999</v>
      </c>
      <c r="F38" s="367">
        <v>0.19900000000000001</v>
      </c>
    </row>
    <row r="39" spans="1:6" ht="13.5" thickBot="1" x14ac:dyDescent="0.35">
      <c r="A39" s="100"/>
      <c r="B39" s="102"/>
      <c r="C39" s="105"/>
      <c r="D39" s="104"/>
      <c r="E39" s="107"/>
      <c r="F39" s="104"/>
    </row>
    <row r="40" spans="1:6" ht="13" x14ac:dyDescent="0.3">
      <c r="A40" s="100"/>
      <c r="B40" s="1068" t="s">
        <v>584</v>
      </c>
      <c r="C40" s="1069"/>
      <c r="D40" s="1070"/>
      <c r="E40" s="107"/>
      <c r="F40" s="107"/>
    </row>
    <row r="41" spans="1:6" ht="13" x14ac:dyDescent="0.25">
      <c r="A41" s="100"/>
      <c r="B41" s="384" t="s">
        <v>585</v>
      </c>
      <c r="C41" s="381" t="s">
        <v>230</v>
      </c>
      <c r="D41" s="385" t="s">
        <v>219</v>
      </c>
      <c r="E41" s="374"/>
      <c r="F41" s="373"/>
    </row>
    <row r="42" spans="1:6" ht="13" x14ac:dyDescent="0.25">
      <c r="A42" s="100"/>
      <c r="B42" s="386">
        <v>0</v>
      </c>
      <c r="C42" s="391">
        <v>1</v>
      </c>
      <c r="D42" s="387" t="s">
        <v>29</v>
      </c>
      <c r="E42" s="378"/>
      <c r="F42" s="377"/>
    </row>
    <row r="43" spans="1:6" ht="13" x14ac:dyDescent="0.25">
      <c r="A43" s="100"/>
      <c r="B43" s="386">
        <v>0.01</v>
      </c>
      <c r="C43" s="391">
        <v>0.92</v>
      </c>
      <c r="D43" s="387"/>
      <c r="E43" s="378"/>
      <c r="F43" s="377"/>
    </row>
    <row r="44" spans="1:6" ht="13" x14ac:dyDescent="0.25">
      <c r="A44" s="100"/>
      <c r="B44" s="386">
        <v>0.02</v>
      </c>
      <c r="C44" s="391">
        <v>0.85</v>
      </c>
      <c r="D44" s="387"/>
      <c r="E44" s="378"/>
      <c r="F44" s="377"/>
    </row>
    <row r="45" spans="1:6" ht="13" x14ac:dyDescent="0.25">
      <c r="A45" s="100"/>
      <c r="B45" s="386">
        <v>0.05</v>
      </c>
      <c r="C45" s="391">
        <v>0.71</v>
      </c>
      <c r="D45" s="387"/>
      <c r="E45" s="378"/>
      <c r="F45" s="377"/>
    </row>
    <row r="46" spans="1:6" ht="13" x14ac:dyDescent="0.25">
      <c r="A46" s="100"/>
      <c r="B46" s="386">
        <v>0.1</v>
      </c>
      <c r="C46" s="391">
        <v>0.57999999999999996</v>
      </c>
      <c r="D46" s="387"/>
      <c r="E46" s="378"/>
      <c r="F46" s="377"/>
    </row>
    <row r="47" spans="1:6" ht="13" x14ac:dyDescent="0.25">
      <c r="A47" s="100"/>
      <c r="B47" s="386">
        <v>0.15</v>
      </c>
      <c r="C47" s="391">
        <v>0.5</v>
      </c>
      <c r="D47" s="387"/>
      <c r="E47" s="378"/>
      <c r="F47" s="377"/>
    </row>
    <row r="48" spans="1:6" ht="13" x14ac:dyDescent="0.25">
      <c r="A48" s="100"/>
      <c r="B48" s="386">
        <v>0.2</v>
      </c>
      <c r="C48" s="391">
        <v>0.44</v>
      </c>
      <c r="D48" s="387"/>
      <c r="E48" s="378"/>
      <c r="F48" s="377"/>
    </row>
    <row r="49" spans="1:8" ht="13.5" thickBot="1" x14ac:dyDescent="0.3">
      <c r="A49" s="100"/>
      <c r="B49" s="388">
        <v>0.25</v>
      </c>
      <c r="C49" s="392">
        <v>0.4</v>
      </c>
      <c r="D49" s="390"/>
      <c r="E49" s="378"/>
      <c r="F49" s="377"/>
    </row>
    <row r="50" spans="1:8" ht="13.5" thickBot="1" x14ac:dyDescent="0.3">
      <c r="A50" s="100"/>
      <c r="B50" s="375"/>
      <c r="C50" s="376"/>
      <c r="D50" s="377"/>
      <c r="E50" s="378"/>
      <c r="F50" s="377"/>
    </row>
    <row r="51" spans="1:8" ht="13" x14ac:dyDescent="0.3">
      <c r="A51" s="100"/>
      <c r="B51" s="1068" t="s">
        <v>586</v>
      </c>
      <c r="C51" s="1069"/>
      <c r="D51" s="1070"/>
      <c r="E51" s="107"/>
      <c r="F51" s="107"/>
    </row>
    <row r="52" spans="1:8" ht="14" x14ac:dyDescent="0.3">
      <c r="A52" s="100" t="s">
        <v>587</v>
      </c>
      <c r="B52" s="382" t="s">
        <v>588</v>
      </c>
      <c r="C52" s="380" t="s">
        <v>589</v>
      </c>
      <c r="D52" s="383"/>
      <c r="E52" s="104"/>
      <c r="F52" s="373"/>
    </row>
    <row r="53" spans="1:8" ht="13" x14ac:dyDescent="0.25">
      <c r="A53" s="100"/>
      <c r="B53" s="384" t="s">
        <v>585</v>
      </c>
      <c r="C53" s="381" t="s">
        <v>230</v>
      </c>
      <c r="D53" s="385" t="s">
        <v>219</v>
      </c>
      <c r="E53" s="104"/>
      <c r="F53" s="377"/>
    </row>
    <row r="54" spans="1:8" ht="13" x14ac:dyDescent="0.25">
      <c r="A54" s="100"/>
      <c r="B54" s="386">
        <v>0.01</v>
      </c>
      <c r="C54" s="379">
        <v>0.995</v>
      </c>
      <c r="D54" s="387"/>
      <c r="E54" s="104"/>
      <c r="F54" s="377"/>
    </row>
    <row r="55" spans="1:8" ht="13" x14ac:dyDescent="0.25">
      <c r="A55" s="100"/>
      <c r="B55" s="386">
        <v>0.02</v>
      </c>
      <c r="C55" s="379">
        <v>0.99</v>
      </c>
      <c r="D55" s="387"/>
      <c r="E55" s="104"/>
      <c r="F55" s="377"/>
    </row>
    <row r="56" spans="1:8" ht="13" x14ac:dyDescent="0.25">
      <c r="A56" s="100"/>
      <c r="B56" s="386">
        <v>0.05</v>
      </c>
      <c r="C56" s="379">
        <v>0.98499999999999999</v>
      </c>
      <c r="D56" s="387"/>
      <c r="E56" s="104"/>
      <c r="F56" s="377"/>
    </row>
    <row r="57" spans="1:8" ht="13" x14ac:dyDescent="0.25">
      <c r="A57" s="100"/>
      <c r="B57" s="386">
        <v>0.1</v>
      </c>
      <c r="C57" s="379">
        <v>0.98</v>
      </c>
      <c r="D57" s="387"/>
      <c r="E57" s="104"/>
      <c r="F57" s="377"/>
    </row>
    <row r="58" spans="1:8" ht="13" x14ac:dyDescent="0.25">
      <c r="A58" s="100"/>
      <c r="B58" s="386">
        <v>0.15</v>
      </c>
      <c r="C58" s="379">
        <v>0.97</v>
      </c>
      <c r="D58" s="387"/>
      <c r="E58" s="104"/>
      <c r="F58" s="377"/>
    </row>
    <row r="59" spans="1:8" ht="13" x14ac:dyDescent="0.25">
      <c r="A59" s="100"/>
      <c r="B59" s="386">
        <v>0.2</v>
      </c>
      <c r="C59" s="379">
        <v>0.96</v>
      </c>
      <c r="D59" s="387"/>
      <c r="E59" s="377"/>
      <c r="F59" s="377"/>
    </row>
    <row r="60" spans="1:8" ht="13.5" thickBot="1" x14ac:dyDescent="0.3">
      <c r="A60" s="100"/>
      <c r="B60" s="388">
        <v>0.25</v>
      </c>
      <c r="C60" s="389">
        <v>0.95</v>
      </c>
      <c r="D60" s="390"/>
      <c r="E60" s="377"/>
      <c r="F60" s="377"/>
    </row>
    <row r="61" spans="1:8" ht="13" x14ac:dyDescent="0.25">
      <c r="A61" s="108" t="s">
        <v>270</v>
      </c>
      <c r="B61" s="1064" t="s">
        <v>590</v>
      </c>
      <c r="C61" s="1064"/>
      <c r="D61" s="1064"/>
      <c r="E61" s="1064"/>
      <c r="F61" s="1064"/>
    </row>
    <row r="62" spans="1:8" ht="13" x14ac:dyDescent="0.25">
      <c r="A62" s="109" t="s">
        <v>274</v>
      </c>
      <c r="B62" s="110"/>
      <c r="C62" s="111"/>
      <c r="D62" s="111"/>
      <c r="E62" s="111"/>
      <c r="F62" s="111"/>
    </row>
    <row r="63" spans="1:8" s="80" customFormat="1" x14ac:dyDescent="0.25"/>
    <row r="64" spans="1:8" ht="15.5" x14ac:dyDescent="0.25">
      <c r="A64" s="372" t="s">
        <v>173</v>
      </c>
      <c r="B64" s="1053" t="s">
        <v>591</v>
      </c>
      <c r="C64" s="1053"/>
      <c r="D64" s="1053"/>
      <c r="E64" s="1053"/>
      <c r="F64" s="1053"/>
      <c r="G64" s="7"/>
      <c r="H64" s="7"/>
    </row>
    <row r="65" spans="1:11" ht="13" x14ac:dyDescent="0.25">
      <c r="A65" s="4" t="s">
        <v>210</v>
      </c>
      <c r="B65" s="33" t="s">
        <v>277</v>
      </c>
      <c r="C65" s="34"/>
      <c r="D65" s="34"/>
      <c r="E65" s="34"/>
      <c r="F65" s="34"/>
      <c r="G65" s="7"/>
      <c r="H65" s="7"/>
    </row>
    <row r="66" spans="1:11" ht="13" x14ac:dyDescent="0.25">
      <c r="A66" s="4" t="s">
        <v>203</v>
      </c>
      <c r="B66" s="52" t="s">
        <v>303</v>
      </c>
      <c r="C66" s="77"/>
      <c r="D66" s="77"/>
      <c r="E66" s="77"/>
      <c r="F66" s="77"/>
      <c r="G66" s="77"/>
      <c r="H66" s="77"/>
      <c r="I66" s="77"/>
      <c r="J66" s="77"/>
      <c r="K66" s="77"/>
    </row>
    <row r="67" spans="1:11" ht="13" x14ac:dyDescent="0.25">
      <c r="A67" s="4" t="s">
        <v>268</v>
      </c>
      <c r="B67" s="50" t="s">
        <v>284</v>
      </c>
      <c r="C67" s="149"/>
      <c r="D67" s="149"/>
      <c r="E67" s="149"/>
      <c r="F67" s="149"/>
      <c r="G67" s="149"/>
      <c r="H67" s="149"/>
      <c r="I67" s="149"/>
    </row>
    <row r="68" spans="1:11" ht="13" x14ac:dyDescent="0.25">
      <c r="A68" s="5" t="s">
        <v>270</v>
      </c>
      <c r="B68" s="1059" t="s">
        <v>285</v>
      </c>
      <c r="C68" s="1059"/>
      <c r="D68" s="1059"/>
      <c r="E68" s="1059"/>
      <c r="F68" s="1059"/>
      <c r="G68" s="7"/>
      <c r="H68" s="7"/>
    </row>
    <row r="69" spans="1:11" ht="13" x14ac:dyDescent="0.25">
      <c r="A69" s="5" t="s">
        <v>272</v>
      </c>
      <c r="B69" s="33" t="s">
        <v>592</v>
      </c>
      <c r="C69" s="145"/>
      <c r="D69" s="145"/>
      <c r="E69" s="145"/>
      <c r="F69" s="145"/>
      <c r="G69" s="7"/>
      <c r="H69" s="7"/>
    </row>
    <row r="70" spans="1:11" ht="13" x14ac:dyDescent="0.25">
      <c r="A70" s="5" t="s">
        <v>274</v>
      </c>
      <c r="B70" s="1055"/>
      <c r="C70" s="1055"/>
      <c r="D70" s="1055"/>
      <c r="E70" s="1055"/>
      <c r="F70" s="1055"/>
      <c r="G70" s="1055"/>
      <c r="H70" s="1055"/>
    </row>
    <row r="71" spans="1:11" x14ac:dyDescent="0.25">
      <c r="A71" s="67"/>
      <c r="B71" s="67"/>
      <c r="C71" s="67"/>
      <c r="D71" s="67"/>
      <c r="E71" s="67"/>
      <c r="F71" s="67"/>
    </row>
  </sheetData>
  <mergeCells count="8">
    <mergeCell ref="B64:F64"/>
    <mergeCell ref="B68:F68"/>
    <mergeCell ref="B70:H70"/>
    <mergeCell ref="B1:F1"/>
    <mergeCell ref="B61:F61"/>
    <mergeCell ref="B9:F9"/>
    <mergeCell ref="B51:D51"/>
    <mergeCell ref="B40:D40"/>
  </mergeCells>
  <dataValidations count="1">
    <dataValidation type="list" allowBlank="1" showInputMessage="1" showErrorMessage="1" sqref="B65" xr:uid="{2987DCCB-B095-43D6-A08B-2DFBC70AC231}">
      <formula1>"Policy, Vehicle"</formula1>
    </dataValidation>
  </dataValidations>
  <pageMargins left="0.7" right="0.7" top="0.75" bottom="0.75" header="0.3" footer="0.3"/>
  <pageSetup scale="54" fitToHeight="100" orientation="portrait" r:id="rId1"/>
  <headerFooter>
    <oddFooter>&amp;F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65"/>
  <sheetViews>
    <sheetView topLeftCell="A41" zoomScaleNormal="100" zoomScaleSheetLayoutView="100" workbookViewId="0">
      <selection activeCell="B130" sqref="B130:D130"/>
    </sheetView>
  </sheetViews>
  <sheetFormatPr defaultColWidth="9.26953125" defaultRowHeight="12.5" x14ac:dyDescent="0.25"/>
  <cols>
    <col min="1" max="1" width="31.7265625" style="80" customWidth="1"/>
    <col min="2" max="2" width="24.453125" style="80" customWidth="1"/>
    <col min="3" max="3" width="24.54296875" style="80" customWidth="1"/>
    <col min="4" max="4" width="30.7265625" style="80" customWidth="1"/>
    <col min="5" max="16384" width="9.26953125" style="80"/>
  </cols>
  <sheetData>
    <row r="1" spans="1:4" s="67" customFormat="1" ht="18.5" thickBot="1" x14ac:dyDescent="0.3">
      <c r="A1" s="1081" t="s">
        <v>593</v>
      </c>
      <c r="B1" s="1082"/>
      <c r="C1" s="1082"/>
      <c r="D1" s="1083"/>
    </row>
    <row r="2" spans="1:4" s="67" customFormat="1" ht="18" x14ac:dyDescent="0.25">
      <c r="A2" s="257"/>
      <c r="B2" s="257"/>
      <c r="C2" s="257"/>
      <c r="D2" s="257"/>
    </row>
    <row r="3" spans="1:4" s="67" customFormat="1" ht="15.5" x14ac:dyDescent="0.35">
      <c r="A3" s="258" t="s">
        <v>594</v>
      </c>
      <c r="B3" s="1072" t="s">
        <v>595</v>
      </c>
      <c r="C3" s="1072"/>
      <c r="D3" s="1072"/>
    </row>
    <row r="4" spans="1:4" s="67" customFormat="1" ht="13" x14ac:dyDescent="0.25">
      <c r="A4" s="258" t="s">
        <v>596</v>
      </c>
      <c r="B4" s="85" t="s">
        <v>597</v>
      </c>
      <c r="C4" s="85"/>
      <c r="D4" s="85"/>
    </row>
    <row r="5" spans="1:4" s="67" customFormat="1" ht="13" x14ac:dyDescent="0.25">
      <c r="A5" s="258" t="s">
        <v>598</v>
      </c>
      <c r="B5" s="1071" t="s">
        <v>599</v>
      </c>
      <c r="C5" s="1071"/>
      <c r="D5" s="1071"/>
    </row>
    <row r="6" spans="1:4" s="67" customFormat="1" ht="13" x14ac:dyDescent="0.25">
      <c r="A6" s="258" t="s">
        <v>600</v>
      </c>
      <c r="B6" s="113" t="s">
        <v>601</v>
      </c>
      <c r="C6" s="113"/>
      <c r="D6" s="113"/>
    </row>
    <row r="7" spans="1:4" s="67" customFormat="1" ht="13" x14ac:dyDescent="0.25">
      <c r="A7" s="258" t="s">
        <v>602</v>
      </c>
      <c r="B7" s="81" t="s">
        <v>603</v>
      </c>
      <c r="C7" s="85"/>
      <c r="D7" s="85"/>
    </row>
    <row r="8" spans="1:4" s="67" customFormat="1" ht="13" x14ac:dyDescent="0.25">
      <c r="A8" s="258" t="s">
        <v>604</v>
      </c>
      <c r="B8" s="85" t="s">
        <v>605</v>
      </c>
      <c r="C8" s="85"/>
      <c r="D8" s="85"/>
    </row>
    <row r="9" spans="1:4" s="67" customFormat="1" ht="13" x14ac:dyDescent="0.25">
      <c r="A9" s="258" t="s">
        <v>606</v>
      </c>
      <c r="B9" s="85" t="s">
        <v>607</v>
      </c>
      <c r="C9" s="85"/>
      <c r="D9" s="85"/>
    </row>
    <row r="10" spans="1:4" s="67" customFormat="1" ht="13" x14ac:dyDescent="0.25">
      <c r="A10" s="258" t="s">
        <v>608</v>
      </c>
      <c r="B10" s="85" t="s">
        <v>609</v>
      </c>
      <c r="C10" s="85"/>
      <c r="D10" s="85"/>
    </row>
    <row r="11" spans="1:4" s="67" customFormat="1" ht="13" x14ac:dyDescent="0.25">
      <c r="A11" s="258" t="s">
        <v>610</v>
      </c>
      <c r="B11" s="114">
        <v>0</v>
      </c>
      <c r="C11" s="115"/>
      <c r="D11" s="85"/>
    </row>
    <row r="12" spans="1:4" s="67" customFormat="1" ht="13" x14ac:dyDescent="0.25">
      <c r="A12" s="394" t="s">
        <v>270</v>
      </c>
      <c r="B12" s="1074"/>
      <c r="C12" s="1074"/>
      <c r="D12" s="1074"/>
    </row>
    <row r="13" spans="1:4" s="67" customFormat="1" ht="39" customHeight="1" x14ac:dyDescent="0.25">
      <c r="A13" s="258" t="s">
        <v>274</v>
      </c>
      <c r="B13" s="1084" t="s">
        <v>611</v>
      </c>
      <c r="C13" s="1084"/>
      <c r="D13" s="1084"/>
    </row>
    <row r="14" spans="1:4" s="67" customFormat="1" x14ac:dyDescent="0.25"/>
    <row r="15" spans="1:4" s="67" customFormat="1" ht="15.75" customHeight="1" x14ac:dyDescent="0.35">
      <c r="A15" s="258" t="s">
        <v>594</v>
      </c>
      <c r="B15" s="1072" t="s">
        <v>612</v>
      </c>
      <c r="C15" s="1072"/>
      <c r="D15" s="1072"/>
    </row>
    <row r="16" spans="1:4" s="67" customFormat="1" ht="13" x14ac:dyDescent="0.25">
      <c r="A16" s="258" t="s">
        <v>596</v>
      </c>
      <c r="B16" s="85" t="s">
        <v>613</v>
      </c>
      <c r="C16" s="85"/>
      <c r="D16" s="85"/>
    </row>
    <row r="17" spans="1:4" s="67" customFormat="1" ht="13" x14ac:dyDescent="0.25">
      <c r="A17" s="258" t="s">
        <v>614</v>
      </c>
      <c r="B17" s="256">
        <v>250000</v>
      </c>
      <c r="C17" s="85"/>
      <c r="D17" s="85"/>
    </row>
    <row r="18" spans="1:4" s="67" customFormat="1" ht="13" x14ac:dyDescent="0.25">
      <c r="A18" s="258" t="s">
        <v>598</v>
      </c>
      <c r="B18" s="1071" t="s">
        <v>615</v>
      </c>
      <c r="C18" s="1071"/>
      <c r="D18" s="1071"/>
    </row>
    <row r="19" spans="1:4" s="67" customFormat="1" ht="13" x14ac:dyDescent="0.25">
      <c r="A19" s="258" t="s">
        <v>600</v>
      </c>
      <c r="B19" s="113" t="s">
        <v>616</v>
      </c>
      <c r="C19" s="113"/>
      <c r="D19" s="113"/>
    </row>
    <row r="20" spans="1:4" s="67" customFormat="1" ht="13" x14ac:dyDescent="0.25">
      <c r="A20" s="258" t="s">
        <v>602</v>
      </c>
      <c r="B20" s="1073" t="s">
        <v>617</v>
      </c>
      <c r="C20" s="1073"/>
      <c r="D20" s="1073"/>
    </row>
    <row r="21" spans="1:4" s="67" customFormat="1" ht="13" x14ac:dyDescent="0.25">
      <c r="A21" s="258" t="s">
        <v>604</v>
      </c>
      <c r="B21" s="85" t="s">
        <v>605</v>
      </c>
      <c r="C21" s="85"/>
      <c r="D21" s="85"/>
    </row>
    <row r="22" spans="1:4" s="67" customFormat="1" ht="13" x14ac:dyDescent="0.25">
      <c r="A22" s="258" t="s">
        <v>608</v>
      </c>
      <c r="B22" s="85" t="s">
        <v>609</v>
      </c>
      <c r="C22" s="85"/>
      <c r="D22" s="85"/>
    </row>
    <row r="23" spans="1:4" s="67" customFormat="1" ht="13" x14ac:dyDescent="0.25">
      <c r="A23" s="258" t="s">
        <v>606</v>
      </c>
      <c r="B23" s="85" t="s">
        <v>607</v>
      </c>
      <c r="C23" s="85"/>
      <c r="D23" s="85"/>
    </row>
    <row r="24" spans="1:4" s="67" customFormat="1" ht="27" customHeight="1" x14ac:dyDescent="0.25">
      <c r="A24" s="258" t="s">
        <v>610</v>
      </c>
      <c r="B24" s="1084" t="s">
        <v>618</v>
      </c>
      <c r="C24" s="1084"/>
      <c r="D24" s="1084"/>
    </row>
    <row r="25" spans="1:4" s="67" customFormat="1" ht="13" x14ac:dyDescent="0.25">
      <c r="A25" s="394" t="s">
        <v>270</v>
      </c>
      <c r="B25" s="1074" t="s">
        <v>619</v>
      </c>
      <c r="C25" s="1074"/>
      <c r="D25" s="1074"/>
    </row>
    <row r="26" spans="1:4" s="67" customFormat="1" ht="13" x14ac:dyDescent="0.25">
      <c r="A26" s="258" t="s">
        <v>274</v>
      </c>
      <c r="B26" s="81"/>
      <c r="C26" s="81"/>
      <c r="D26" s="81"/>
    </row>
    <row r="27" spans="1:4" s="67" customFormat="1" x14ac:dyDescent="0.25"/>
    <row r="28" spans="1:4" s="67" customFormat="1" ht="15.75" customHeight="1" x14ac:dyDescent="0.35">
      <c r="A28" s="258" t="s">
        <v>594</v>
      </c>
      <c r="B28" s="1072" t="s">
        <v>620</v>
      </c>
      <c r="C28" s="1072"/>
      <c r="D28" s="1072"/>
    </row>
    <row r="29" spans="1:4" s="67" customFormat="1" ht="13" x14ac:dyDescent="0.25">
      <c r="A29" s="258" t="s">
        <v>596</v>
      </c>
      <c r="B29" s="85" t="s">
        <v>621</v>
      </c>
      <c r="C29" s="85"/>
      <c r="D29" s="85"/>
    </row>
    <row r="30" spans="1:4" s="67" customFormat="1" ht="13" x14ac:dyDescent="0.25">
      <c r="A30" s="258" t="s">
        <v>614</v>
      </c>
      <c r="B30" s="256">
        <v>500000</v>
      </c>
      <c r="C30" s="85"/>
      <c r="D30" s="85"/>
    </row>
    <row r="31" spans="1:4" s="67" customFormat="1" ht="13" x14ac:dyDescent="0.25">
      <c r="A31" s="258" t="s">
        <v>598</v>
      </c>
      <c r="B31" s="1071" t="s">
        <v>615</v>
      </c>
      <c r="C31" s="1071"/>
      <c r="D31" s="1071"/>
    </row>
    <row r="32" spans="1:4" s="67" customFormat="1" ht="13" x14ac:dyDescent="0.25">
      <c r="A32" s="258" t="s">
        <v>600</v>
      </c>
      <c r="B32" s="113" t="s">
        <v>616</v>
      </c>
      <c r="C32" s="113"/>
      <c r="D32" s="113"/>
    </row>
    <row r="33" spans="1:4" s="67" customFormat="1" ht="13" x14ac:dyDescent="0.25">
      <c r="A33" s="258" t="s">
        <v>602</v>
      </c>
      <c r="B33" s="1073" t="s">
        <v>617</v>
      </c>
      <c r="C33" s="1073"/>
      <c r="D33" s="1073"/>
    </row>
    <row r="34" spans="1:4" s="67" customFormat="1" ht="13" x14ac:dyDescent="0.25">
      <c r="A34" s="258" t="s">
        <v>604</v>
      </c>
      <c r="B34" s="85" t="s">
        <v>605</v>
      </c>
      <c r="C34" s="85"/>
      <c r="D34" s="85"/>
    </row>
    <row r="35" spans="1:4" s="67" customFormat="1" ht="13" x14ac:dyDescent="0.25">
      <c r="A35" s="258" t="s">
        <v>608</v>
      </c>
      <c r="B35" s="85" t="s">
        <v>609</v>
      </c>
      <c r="C35" s="85"/>
      <c r="D35" s="85"/>
    </row>
    <row r="36" spans="1:4" s="67" customFormat="1" ht="13" x14ac:dyDescent="0.25">
      <c r="A36" s="258" t="s">
        <v>606</v>
      </c>
      <c r="B36" s="85" t="s">
        <v>607</v>
      </c>
      <c r="C36" s="85"/>
      <c r="D36" s="85"/>
    </row>
    <row r="37" spans="1:4" s="67" customFormat="1" ht="24.75" customHeight="1" x14ac:dyDescent="0.25">
      <c r="A37" s="258" t="s">
        <v>610</v>
      </c>
      <c r="B37" s="1084" t="s">
        <v>618</v>
      </c>
      <c r="C37" s="1084"/>
      <c r="D37" s="1084"/>
    </row>
    <row r="38" spans="1:4" s="67" customFormat="1" ht="13" x14ac:dyDescent="0.25">
      <c r="A38" s="394" t="s">
        <v>270</v>
      </c>
      <c r="B38" s="1074" t="s">
        <v>622</v>
      </c>
      <c r="C38" s="1074"/>
      <c r="D38" s="1074"/>
    </row>
    <row r="39" spans="1:4" s="67" customFormat="1" ht="13" x14ac:dyDescent="0.25">
      <c r="A39" s="258" t="s">
        <v>274</v>
      </c>
      <c r="B39" s="81"/>
      <c r="C39" s="81"/>
      <c r="D39" s="81"/>
    </row>
    <row r="40" spans="1:4" s="67" customFormat="1" ht="13" x14ac:dyDescent="0.25">
      <c r="A40" s="258"/>
      <c r="B40" s="99"/>
      <c r="C40" s="99"/>
      <c r="D40" s="99"/>
    </row>
    <row r="41" spans="1:4" s="67" customFormat="1" ht="15.75" customHeight="1" x14ac:dyDescent="0.35">
      <c r="A41" s="258" t="s">
        <v>594</v>
      </c>
      <c r="B41" s="1072" t="s">
        <v>623</v>
      </c>
      <c r="C41" s="1072"/>
      <c r="D41" s="1072"/>
    </row>
    <row r="42" spans="1:4" s="67" customFormat="1" ht="13" x14ac:dyDescent="0.25">
      <c r="A42" s="258" t="s">
        <v>596</v>
      </c>
      <c r="B42" s="85" t="s">
        <v>624</v>
      </c>
      <c r="C42" s="85"/>
      <c r="D42" s="85"/>
    </row>
    <row r="43" spans="1:4" s="67" customFormat="1" ht="13" x14ac:dyDescent="0.25">
      <c r="A43" s="258" t="s">
        <v>614</v>
      </c>
      <c r="B43" s="256">
        <v>1000000</v>
      </c>
      <c r="C43" s="85"/>
      <c r="D43" s="85"/>
    </row>
    <row r="44" spans="1:4" s="67" customFormat="1" ht="13" x14ac:dyDescent="0.25">
      <c r="A44" s="258" t="s">
        <v>598</v>
      </c>
      <c r="B44" s="1071" t="s">
        <v>615</v>
      </c>
      <c r="C44" s="1071"/>
      <c r="D44" s="1071"/>
    </row>
    <row r="45" spans="1:4" s="67" customFormat="1" ht="13" x14ac:dyDescent="0.25">
      <c r="A45" s="258" t="s">
        <v>600</v>
      </c>
      <c r="B45" s="113" t="s">
        <v>616</v>
      </c>
      <c r="C45" s="113"/>
      <c r="D45" s="113"/>
    </row>
    <row r="46" spans="1:4" s="67" customFormat="1" ht="13" x14ac:dyDescent="0.25">
      <c r="A46" s="258" t="s">
        <v>602</v>
      </c>
      <c r="B46" s="1073" t="s">
        <v>617</v>
      </c>
      <c r="C46" s="1073"/>
      <c r="D46" s="1073"/>
    </row>
    <row r="47" spans="1:4" s="67" customFormat="1" ht="13" x14ac:dyDescent="0.25">
      <c r="A47" s="258" t="s">
        <v>604</v>
      </c>
      <c r="B47" s="85" t="s">
        <v>605</v>
      </c>
      <c r="C47" s="85"/>
      <c r="D47" s="85"/>
    </row>
    <row r="48" spans="1:4" s="67" customFormat="1" ht="13" x14ac:dyDescent="0.25">
      <c r="A48" s="258" t="s">
        <v>608</v>
      </c>
      <c r="B48" s="85" t="s">
        <v>609</v>
      </c>
      <c r="C48" s="85"/>
      <c r="D48" s="85"/>
    </row>
    <row r="49" spans="1:4" s="67" customFormat="1" ht="13" x14ac:dyDescent="0.25">
      <c r="A49" s="258" t="s">
        <v>606</v>
      </c>
      <c r="B49" s="85" t="s">
        <v>607</v>
      </c>
      <c r="C49" s="85"/>
      <c r="D49" s="85"/>
    </row>
    <row r="50" spans="1:4" s="67" customFormat="1" ht="26.25" customHeight="1" x14ac:dyDescent="0.25">
      <c r="A50" s="258" t="s">
        <v>610</v>
      </c>
      <c r="B50" s="1084" t="s">
        <v>618</v>
      </c>
      <c r="C50" s="1084"/>
      <c r="D50" s="1084"/>
    </row>
    <row r="51" spans="1:4" s="67" customFormat="1" ht="13" x14ac:dyDescent="0.25">
      <c r="A51" s="394" t="s">
        <v>270</v>
      </c>
      <c r="B51" s="1074" t="s">
        <v>625</v>
      </c>
      <c r="C51" s="1074"/>
      <c r="D51" s="1074"/>
    </row>
    <row r="52" spans="1:4" s="67" customFormat="1" ht="13" x14ac:dyDescent="0.25">
      <c r="A52" s="258" t="s">
        <v>274</v>
      </c>
      <c r="B52" s="81"/>
      <c r="C52" s="81"/>
      <c r="D52" s="81"/>
    </row>
    <row r="53" spans="1:4" s="67" customFormat="1" ht="13" x14ac:dyDescent="0.25">
      <c r="A53" s="258"/>
      <c r="B53" s="99"/>
      <c r="C53" s="99"/>
      <c r="D53" s="99"/>
    </row>
    <row r="54" spans="1:4" s="67" customFormat="1" ht="15.75" customHeight="1" x14ac:dyDescent="0.35">
      <c r="A54" s="258" t="s">
        <v>594</v>
      </c>
      <c r="B54" s="1072" t="s">
        <v>626</v>
      </c>
      <c r="C54" s="1072"/>
      <c r="D54" s="1072"/>
    </row>
    <row r="55" spans="1:4" s="67" customFormat="1" ht="13" x14ac:dyDescent="0.25">
      <c r="A55" s="258" t="s">
        <v>596</v>
      </c>
      <c r="B55" s="1073" t="s">
        <v>627</v>
      </c>
      <c r="C55" s="1073"/>
      <c r="D55" s="1073"/>
    </row>
    <row r="56" spans="1:4" s="67" customFormat="1" ht="13" x14ac:dyDescent="0.25">
      <c r="A56" s="258" t="s">
        <v>598</v>
      </c>
      <c r="B56" s="1071" t="s">
        <v>615</v>
      </c>
      <c r="C56" s="1071"/>
      <c r="D56" s="1071"/>
    </row>
    <row r="57" spans="1:4" s="67" customFormat="1" ht="13" x14ac:dyDescent="0.25">
      <c r="A57" s="258" t="s">
        <v>600</v>
      </c>
      <c r="B57" s="113" t="s">
        <v>616</v>
      </c>
      <c r="C57" s="113"/>
      <c r="D57" s="113"/>
    </row>
    <row r="58" spans="1:4" s="67" customFormat="1" ht="13" x14ac:dyDescent="0.25">
      <c r="A58" s="258" t="s">
        <v>602</v>
      </c>
      <c r="B58" s="1073" t="s">
        <v>617</v>
      </c>
      <c r="C58" s="1073"/>
      <c r="D58" s="1073"/>
    </row>
    <row r="59" spans="1:4" s="67" customFormat="1" ht="13" x14ac:dyDescent="0.25">
      <c r="A59" s="258" t="s">
        <v>604</v>
      </c>
      <c r="B59" s="85" t="s">
        <v>605</v>
      </c>
      <c r="C59" s="85"/>
      <c r="D59" s="85"/>
    </row>
    <row r="60" spans="1:4" s="67" customFormat="1" ht="13" x14ac:dyDescent="0.25">
      <c r="A60" s="258" t="s">
        <v>608</v>
      </c>
      <c r="B60" s="85" t="s">
        <v>609</v>
      </c>
      <c r="C60" s="85"/>
      <c r="D60" s="85"/>
    </row>
    <row r="61" spans="1:4" s="67" customFormat="1" ht="13" x14ac:dyDescent="0.25">
      <c r="A61" s="258" t="s">
        <v>606</v>
      </c>
      <c r="B61" s="85" t="s">
        <v>607</v>
      </c>
      <c r="C61" s="85"/>
      <c r="D61" s="85"/>
    </row>
    <row r="62" spans="1:4" s="67" customFormat="1" ht="13" x14ac:dyDescent="0.25">
      <c r="A62" s="258" t="s">
        <v>610</v>
      </c>
      <c r="B62" s="116">
        <v>-0.02</v>
      </c>
      <c r="C62" s="115"/>
      <c r="D62" s="85"/>
    </row>
    <row r="63" spans="1:4" s="67" customFormat="1" ht="13" x14ac:dyDescent="0.25">
      <c r="A63" s="394" t="s">
        <v>270</v>
      </c>
      <c r="B63" s="81"/>
      <c r="C63" s="81"/>
      <c r="D63" s="81"/>
    </row>
    <row r="64" spans="1:4" s="67" customFormat="1" ht="13" x14ac:dyDescent="0.25">
      <c r="A64" s="258" t="s">
        <v>274</v>
      </c>
      <c r="B64" s="1074"/>
      <c r="C64" s="1074"/>
      <c r="D64" s="1074"/>
    </row>
    <row r="65" spans="1:4" s="67" customFormat="1" x14ac:dyDescent="0.25"/>
    <row r="66" spans="1:4" s="67" customFormat="1" ht="15.75" customHeight="1" x14ac:dyDescent="0.35">
      <c r="A66" s="258" t="s">
        <v>594</v>
      </c>
      <c r="B66" s="1072" t="s">
        <v>628</v>
      </c>
      <c r="C66" s="1072"/>
      <c r="D66" s="1072"/>
    </row>
    <row r="67" spans="1:4" s="67" customFormat="1" ht="13" x14ac:dyDescent="0.25">
      <c r="A67" s="258" t="s">
        <v>596</v>
      </c>
      <c r="B67" s="1073" t="s">
        <v>629</v>
      </c>
      <c r="C67" s="1073"/>
      <c r="D67" s="1073"/>
    </row>
    <row r="68" spans="1:4" s="67" customFormat="1" ht="13" x14ac:dyDescent="0.25">
      <c r="A68" s="258" t="s">
        <v>598</v>
      </c>
      <c r="B68" s="1071" t="s">
        <v>615</v>
      </c>
      <c r="C68" s="1071"/>
      <c r="D68" s="1071"/>
    </row>
    <row r="69" spans="1:4" s="67" customFormat="1" ht="13" x14ac:dyDescent="0.25">
      <c r="A69" s="258" t="s">
        <v>600</v>
      </c>
      <c r="B69" s="113" t="s">
        <v>616</v>
      </c>
      <c r="C69" s="85"/>
      <c r="D69" s="85"/>
    </row>
    <row r="70" spans="1:4" s="67" customFormat="1" ht="13" x14ac:dyDescent="0.25">
      <c r="A70" s="258" t="s">
        <v>602</v>
      </c>
      <c r="B70" s="1073" t="s">
        <v>617</v>
      </c>
      <c r="C70" s="1073"/>
      <c r="D70" s="1073"/>
    </row>
    <row r="71" spans="1:4" s="67" customFormat="1" ht="13" x14ac:dyDescent="0.25">
      <c r="A71" s="258" t="s">
        <v>604</v>
      </c>
      <c r="B71" s="85" t="s">
        <v>605</v>
      </c>
      <c r="C71" s="85"/>
      <c r="D71" s="85"/>
    </row>
    <row r="72" spans="1:4" s="67" customFormat="1" ht="13" x14ac:dyDescent="0.25">
      <c r="A72" s="258" t="s">
        <v>608</v>
      </c>
      <c r="B72" s="85" t="s">
        <v>609</v>
      </c>
      <c r="C72" s="85"/>
      <c r="D72" s="85"/>
    </row>
    <row r="73" spans="1:4" s="67" customFormat="1" ht="13" x14ac:dyDescent="0.25">
      <c r="A73" s="258" t="s">
        <v>606</v>
      </c>
      <c r="B73" s="85" t="s">
        <v>607</v>
      </c>
      <c r="C73" s="85"/>
      <c r="D73" s="85"/>
    </row>
    <row r="74" spans="1:4" s="67" customFormat="1" ht="13" x14ac:dyDescent="0.25">
      <c r="A74" s="258" t="s">
        <v>610</v>
      </c>
      <c r="B74" s="116">
        <v>-0.04</v>
      </c>
      <c r="C74" s="115"/>
      <c r="D74" s="85"/>
    </row>
    <row r="75" spans="1:4" s="67" customFormat="1" ht="13" x14ac:dyDescent="0.25">
      <c r="A75" s="394" t="s">
        <v>270</v>
      </c>
      <c r="B75" s="81"/>
      <c r="C75" s="81"/>
      <c r="D75" s="81"/>
    </row>
    <row r="76" spans="1:4" s="67" customFormat="1" ht="13" x14ac:dyDescent="0.25">
      <c r="A76" s="258" t="s">
        <v>274</v>
      </c>
      <c r="B76" s="1074"/>
      <c r="C76" s="1074"/>
      <c r="D76" s="1074"/>
    </row>
    <row r="77" spans="1:4" s="67" customFormat="1" ht="13" x14ac:dyDescent="0.25">
      <c r="A77" s="258"/>
      <c r="B77" s="99"/>
      <c r="C77" s="99"/>
      <c r="D77" s="99"/>
    </row>
    <row r="78" spans="1:4" s="67" customFormat="1" ht="15.75" customHeight="1" x14ac:dyDescent="0.35">
      <c r="A78" s="258" t="s">
        <v>594</v>
      </c>
      <c r="B78" s="1072" t="s">
        <v>630</v>
      </c>
      <c r="C78" s="1072"/>
      <c r="D78" s="1072"/>
    </row>
    <row r="79" spans="1:4" s="67" customFormat="1" ht="13" x14ac:dyDescent="0.25">
      <c r="A79" s="258" t="s">
        <v>596</v>
      </c>
      <c r="B79" s="1073" t="s">
        <v>631</v>
      </c>
      <c r="C79" s="1073"/>
      <c r="D79" s="1073"/>
    </row>
    <row r="80" spans="1:4" s="67" customFormat="1" ht="13" x14ac:dyDescent="0.25">
      <c r="A80" s="258" t="s">
        <v>598</v>
      </c>
      <c r="B80" s="1071" t="s">
        <v>615</v>
      </c>
      <c r="C80" s="1071"/>
      <c r="D80" s="1071"/>
    </row>
    <row r="81" spans="1:4" s="67" customFormat="1" ht="13" x14ac:dyDescent="0.25">
      <c r="A81" s="258" t="s">
        <v>600</v>
      </c>
      <c r="B81" s="113" t="s">
        <v>616</v>
      </c>
      <c r="C81" s="81"/>
      <c r="D81" s="81"/>
    </row>
    <row r="82" spans="1:4" s="67" customFormat="1" ht="13" x14ac:dyDescent="0.25">
      <c r="A82" s="258" t="s">
        <v>602</v>
      </c>
      <c r="B82" s="1073" t="s">
        <v>617</v>
      </c>
      <c r="C82" s="1073"/>
      <c r="D82" s="1073"/>
    </row>
    <row r="83" spans="1:4" s="67" customFormat="1" ht="13" x14ac:dyDescent="0.25">
      <c r="A83" s="258" t="s">
        <v>604</v>
      </c>
      <c r="B83" s="85" t="s">
        <v>605</v>
      </c>
      <c r="C83" s="85"/>
      <c r="D83" s="85"/>
    </row>
    <row r="84" spans="1:4" s="67" customFormat="1" ht="13" x14ac:dyDescent="0.25">
      <c r="A84" s="258" t="s">
        <v>608</v>
      </c>
      <c r="B84" s="85" t="s">
        <v>609</v>
      </c>
      <c r="C84" s="85"/>
      <c r="D84" s="85"/>
    </row>
    <row r="85" spans="1:4" s="67" customFormat="1" ht="13" x14ac:dyDescent="0.25">
      <c r="A85" s="258" t="s">
        <v>606</v>
      </c>
      <c r="B85" s="85" t="s">
        <v>607</v>
      </c>
      <c r="C85" s="85"/>
      <c r="D85" s="85"/>
    </row>
    <row r="86" spans="1:4" s="67" customFormat="1" ht="13" x14ac:dyDescent="0.25">
      <c r="A86" s="258" t="s">
        <v>610</v>
      </c>
      <c r="B86" s="116">
        <v>-0.06</v>
      </c>
      <c r="C86" s="115"/>
      <c r="D86" s="85"/>
    </row>
    <row r="87" spans="1:4" s="67" customFormat="1" ht="13" x14ac:dyDescent="0.25">
      <c r="A87" s="394" t="s">
        <v>270</v>
      </c>
      <c r="B87" s="81"/>
      <c r="C87" s="81"/>
      <c r="D87" s="81"/>
    </row>
    <row r="88" spans="1:4" s="67" customFormat="1" ht="13" x14ac:dyDescent="0.25">
      <c r="A88" s="258" t="s">
        <v>274</v>
      </c>
      <c r="B88" s="1074"/>
      <c r="C88" s="1074"/>
      <c r="D88" s="1074"/>
    </row>
    <row r="89" spans="1:4" s="67" customFormat="1" ht="13" x14ac:dyDescent="0.25">
      <c r="A89" s="258"/>
      <c r="B89" s="99"/>
      <c r="C89" s="99"/>
      <c r="D89" s="99"/>
    </row>
    <row r="90" spans="1:4" s="67" customFormat="1" ht="15.75" customHeight="1" x14ac:dyDescent="0.35">
      <c r="A90" s="258" t="s">
        <v>594</v>
      </c>
      <c r="B90" s="1072" t="s">
        <v>632</v>
      </c>
      <c r="C90" s="1072"/>
      <c r="D90" s="1072"/>
    </row>
    <row r="91" spans="1:4" s="67" customFormat="1" ht="13" x14ac:dyDescent="0.25">
      <c r="A91" s="258" t="s">
        <v>596</v>
      </c>
      <c r="B91" s="1073" t="s">
        <v>633</v>
      </c>
      <c r="C91" s="1073"/>
      <c r="D91" s="1073"/>
    </row>
    <row r="92" spans="1:4" s="67" customFormat="1" ht="13" x14ac:dyDescent="0.25">
      <c r="A92" s="258" t="s">
        <v>598</v>
      </c>
      <c r="B92" s="1071" t="s">
        <v>615</v>
      </c>
      <c r="C92" s="1071"/>
      <c r="D92" s="1071"/>
    </row>
    <row r="93" spans="1:4" s="67" customFormat="1" ht="13" x14ac:dyDescent="0.25">
      <c r="A93" s="258" t="s">
        <v>600</v>
      </c>
      <c r="B93" s="113" t="s">
        <v>616</v>
      </c>
      <c r="C93" s="113"/>
      <c r="D93" s="113"/>
    </row>
    <row r="94" spans="1:4" s="67" customFormat="1" ht="13" x14ac:dyDescent="0.25">
      <c r="A94" s="258" t="s">
        <v>602</v>
      </c>
      <c r="B94" s="1073" t="s">
        <v>617</v>
      </c>
      <c r="C94" s="1073"/>
      <c r="D94" s="1073"/>
    </row>
    <row r="95" spans="1:4" s="67" customFormat="1" ht="13" x14ac:dyDescent="0.25">
      <c r="A95" s="258" t="s">
        <v>604</v>
      </c>
      <c r="B95" s="85" t="s">
        <v>605</v>
      </c>
      <c r="C95" s="85"/>
      <c r="D95" s="85"/>
    </row>
    <row r="96" spans="1:4" s="67" customFormat="1" ht="13" x14ac:dyDescent="0.25">
      <c r="A96" s="258" t="s">
        <v>608</v>
      </c>
      <c r="B96" s="85" t="s">
        <v>609</v>
      </c>
      <c r="C96" s="85"/>
      <c r="D96" s="85"/>
    </row>
    <row r="97" spans="1:4" s="67" customFormat="1" ht="13" x14ac:dyDescent="0.25">
      <c r="A97" s="258" t="s">
        <v>606</v>
      </c>
      <c r="B97" s="85" t="s">
        <v>607</v>
      </c>
      <c r="C97" s="85"/>
      <c r="D97" s="85"/>
    </row>
    <row r="98" spans="1:4" s="67" customFormat="1" ht="13" x14ac:dyDescent="0.25">
      <c r="A98" s="258" t="s">
        <v>610</v>
      </c>
      <c r="B98" s="116">
        <v>-0.08</v>
      </c>
      <c r="C98" s="115"/>
      <c r="D98" s="85"/>
    </row>
    <row r="99" spans="1:4" s="67" customFormat="1" ht="13" x14ac:dyDescent="0.25">
      <c r="A99" s="394" t="s">
        <v>270</v>
      </c>
      <c r="B99" s="81"/>
      <c r="C99" s="81"/>
      <c r="D99" s="81"/>
    </row>
    <row r="100" spans="1:4" s="67" customFormat="1" ht="13" x14ac:dyDescent="0.25">
      <c r="A100" s="258" t="s">
        <v>274</v>
      </c>
      <c r="B100" s="1074"/>
      <c r="C100" s="1074"/>
      <c r="D100" s="1074"/>
    </row>
    <row r="101" spans="1:4" s="67" customFormat="1" ht="13" x14ac:dyDescent="0.25">
      <c r="A101" s="258"/>
      <c r="B101" s="99"/>
      <c r="C101" s="99"/>
      <c r="D101" s="99"/>
    </row>
    <row r="102" spans="1:4" s="67" customFormat="1" ht="15.75" customHeight="1" x14ac:dyDescent="0.35">
      <c r="A102" s="258" t="s">
        <v>594</v>
      </c>
      <c r="B102" s="1072" t="s">
        <v>634</v>
      </c>
      <c r="C102" s="1072"/>
      <c r="D102" s="1072"/>
    </row>
    <row r="103" spans="1:4" s="67" customFormat="1" ht="13" x14ac:dyDescent="0.25">
      <c r="A103" s="258" t="s">
        <v>596</v>
      </c>
      <c r="B103" s="1073" t="s">
        <v>635</v>
      </c>
      <c r="C103" s="1073"/>
      <c r="D103" s="1073"/>
    </row>
    <row r="104" spans="1:4" s="67" customFormat="1" ht="13" x14ac:dyDescent="0.25">
      <c r="A104" s="258" t="s">
        <v>598</v>
      </c>
      <c r="B104" s="1071" t="s">
        <v>615</v>
      </c>
      <c r="C104" s="1071"/>
      <c r="D104" s="1071"/>
    </row>
    <row r="105" spans="1:4" s="67" customFormat="1" ht="13" x14ac:dyDescent="0.25">
      <c r="A105" s="258" t="s">
        <v>600</v>
      </c>
      <c r="B105" s="113" t="s">
        <v>616</v>
      </c>
      <c r="C105" s="113"/>
      <c r="D105" s="113"/>
    </row>
    <row r="106" spans="1:4" s="67" customFormat="1" ht="13" x14ac:dyDescent="0.25">
      <c r="A106" s="258" t="s">
        <v>602</v>
      </c>
      <c r="B106" s="1073" t="s">
        <v>617</v>
      </c>
      <c r="C106" s="1073"/>
      <c r="D106" s="1073"/>
    </row>
    <row r="107" spans="1:4" s="67" customFormat="1" ht="13" x14ac:dyDescent="0.25">
      <c r="A107" s="258" t="s">
        <v>604</v>
      </c>
      <c r="B107" s="85" t="s">
        <v>605</v>
      </c>
      <c r="C107" s="85"/>
      <c r="D107" s="85"/>
    </row>
    <row r="108" spans="1:4" s="67" customFormat="1" ht="13" x14ac:dyDescent="0.25">
      <c r="A108" s="258" t="s">
        <v>608</v>
      </c>
      <c r="B108" s="85" t="s">
        <v>609</v>
      </c>
      <c r="C108" s="85"/>
      <c r="D108" s="85"/>
    </row>
    <row r="109" spans="1:4" s="67" customFormat="1" ht="13" x14ac:dyDescent="0.25">
      <c r="A109" s="258" t="s">
        <v>606</v>
      </c>
      <c r="B109" s="85" t="s">
        <v>607</v>
      </c>
      <c r="C109" s="85"/>
      <c r="D109" s="85"/>
    </row>
    <row r="110" spans="1:4" s="67" customFormat="1" ht="13" x14ac:dyDescent="0.25">
      <c r="A110" s="258" t="s">
        <v>610</v>
      </c>
      <c r="B110" s="116">
        <v>-0.1</v>
      </c>
      <c r="C110" s="115"/>
      <c r="D110" s="85"/>
    </row>
    <row r="111" spans="1:4" s="67" customFormat="1" ht="13" x14ac:dyDescent="0.25">
      <c r="A111" s="394" t="s">
        <v>270</v>
      </c>
      <c r="B111" s="81"/>
      <c r="C111" s="81"/>
      <c r="D111" s="81"/>
    </row>
    <row r="112" spans="1:4" s="67" customFormat="1" ht="13" x14ac:dyDescent="0.25">
      <c r="A112" s="258" t="s">
        <v>274</v>
      </c>
      <c r="B112" s="1074"/>
      <c r="C112" s="1074"/>
      <c r="D112" s="1074"/>
    </row>
    <row r="113" spans="1:4" s="67" customFormat="1" ht="13" x14ac:dyDescent="0.25">
      <c r="A113" s="258"/>
      <c r="B113" s="99"/>
      <c r="C113" s="99"/>
      <c r="D113" s="99"/>
    </row>
    <row r="114" spans="1:4" ht="15.5" x14ac:dyDescent="0.35">
      <c r="A114" s="258" t="s">
        <v>594</v>
      </c>
      <c r="B114" s="1072" t="s">
        <v>636</v>
      </c>
      <c r="C114" s="1072"/>
      <c r="D114" s="1072"/>
    </row>
    <row r="115" spans="1:4" ht="13" x14ac:dyDescent="0.25">
      <c r="A115" s="258" t="s">
        <v>596</v>
      </c>
      <c r="B115" s="1073" t="s">
        <v>637</v>
      </c>
      <c r="C115" s="1073"/>
      <c r="D115" s="1073"/>
    </row>
    <row r="116" spans="1:4" ht="13" x14ac:dyDescent="0.25">
      <c r="A116" s="258" t="s">
        <v>598</v>
      </c>
      <c r="B116" s="1071" t="s">
        <v>615</v>
      </c>
      <c r="C116" s="1071"/>
      <c r="D116" s="1071"/>
    </row>
    <row r="117" spans="1:4" ht="13" x14ac:dyDescent="0.25">
      <c r="A117" s="258" t="s">
        <v>600</v>
      </c>
      <c r="B117" s="113" t="s">
        <v>616</v>
      </c>
      <c r="C117" s="113"/>
      <c r="D117" s="113"/>
    </row>
    <row r="118" spans="1:4" ht="13" x14ac:dyDescent="0.25">
      <c r="A118" s="258" t="s">
        <v>602</v>
      </c>
      <c r="B118" s="1073" t="s">
        <v>617</v>
      </c>
      <c r="C118" s="1073"/>
      <c r="D118" s="1073"/>
    </row>
    <row r="119" spans="1:4" ht="13" x14ac:dyDescent="0.25">
      <c r="A119" s="258" t="s">
        <v>604</v>
      </c>
      <c r="B119" s="85" t="s">
        <v>605</v>
      </c>
      <c r="C119" s="85"/>
      <c r="D119" s="85"/>
    </row>
    <row r="120" spans="1:4" ht="13" x14ac:dyDescent="0.25">
      <c r="A120" s="258" t="s">
        <v>608</v>
      </c>
      <c r="B120" s="85" t="s">
        <v>609</v>
      </c>
      <c r="C120" s="85"/>
      <c r="D120" s="85"/>
    </row>
    <row r="121" spans="1:4" ht="13" x14ac:dyDescent="0.25">
      <c r="A121" s="258" t="s">
        <v>606</v>
      </c>
      <c r="B121" s="85" t="s">
        <v>607</v>
      </c>
      <c r="C121" s="85"/>
      <c r="D121" s="85"/>
    </row>
    <row r="122" spans="1:4" ht="13" x14ac:dyDescent="0.25">
      <c r="A122" s="258" t="s">
        <v>610</v>
      </c>
      <c r="B122" s="117">
        <v>-5.0000000000000001E-3</v>
      </c>
      <c r="C122" s="115"/>
      <c r="D122" s="85"/>
    </row>
    <row r="123" spans="1:4" ht="13" x14ac:dyDescent="0.25">
      <c r="A123" s="394" t="s">
        <v>270</v>
      </c>
      <c r="B123" s="81"/>
      <c r="C123" s="81"/>
      <c r="D123" s="81"/>
    </row>
    <row r="124" spans="1:4" ht="13" x14ac:dyDescent="0.25">
      <c r="A124" s="258" t="s">
        <v>274</v>
      </c>
      <c r="B124" s="1074"/>
      <c r="C124" s="1074"/>
      <c r="D124" s="1074"/>
    </row>
    <row r="125" spans="1:4" ht="13" x14ac:dyDescent="0.25">
      <c r="A125" s="258"/>
      <c r="B125" s="99"/>
      <c r="C125" s="99"/>
      <c r="D125" s="99"/>
    </row>
    <row r="126" spans="1:4" ht="15.5" x14ac:dyDescent="0.35">
      <c r="A126" s="258" t="s">
        <v>594</v>
      </c>
      <c r="B126" s="1072" t="s">
        <v>638</v>
      </c>
      <c r="C126" s="1072"/>
      <c r="D126" s="1072"/>
    </row>
    <row r="127" spans="1:4" ht="13" x14ac:dyDescent="0.25">
      <c r="A127" s="258" t="s">
        <v>596</v>
      </c>
      <c r="B127" s="1073" t="s">
        <v>639</v>
      </c>
      <c r="C127" s="1073"/>
      <c r="D127" s="1073"/>
    </row>
    <row r="128" spans="1:4" ht="13" x14ac:dyDescent="0.25">
      <c r="A128" s="258" t="s">
        <v>598</v>
      </c>
      <c r="B128" s="1071" t="s">
        <v>615</v>
      </c>
      <c r="C128" s="1071"/>
      <c r="D128" s="1071"/>
    </row>
    <row r="129" spans="1:4" ht="13" x14ac:dyDescent="0.25">
      <c r="A129" s="258" t="s">
        <v>600</v>
      </c>
      <c r="B129" s="113" t="s">
        <v>616</v>
      </c>
      <c r="C129" s="113"/>
      <c r="D129" s="113"/>
    </row>
    <row r="130" spans="1:4" ht="13" x14ac:dyDescent="0.25">
      <c r="A130" s="258" t="s">
        <v>602</v>
      </c>
      <c r="B130" s="1073" t="s">
        <v>617</v>
      </c>
      <c r="C130" s="1073"/>
      <c r="D130" s="1073"/>
    </row>
    <row r="131" spans="1:4" ht="13" x14ac:dyDescent="0.25">
      <c r="A131" s="258" t="s">
        <v>604</v>
      </c>
      <c r="B131" s="85" t="s">
        <v>605</v>
      </c>
      <c r="C131" s="85"/>
      <c r="D131" s="85"/>
    </row>
    <row r="132" spans="1:4" ht="13" x14ac:dyDescent="0.25">
      <c r="A132" s="258" t="s">
        <v>608</v>
      </c>
      <c r="B132" s="85" t="s">
        <v>609</v>
      </c>
      <c r="C132" s="85"/>
      <c r="D132" s="85"/>
    </row>
    <row r="133" spans="1:4" ht="13" x14ac:dyDescent="0.25">
      <c r="A133" s="258" t="s">
        <v>606</v>
      </c>
      <c r="B133" s="85" t="s">
        <v>607</v>
      </c>
      <c r="C133" s="85"/>
      <c r="D133" s="85"/>
    </row>
    <row r="134" spans="1:4" ht="13" x14ac:dyDescent="0.25">
      <c r="A134" s="258" t="s">
        <v>610</v>
      </c>
      <c r="B134" s="116">
        <v>-0.01</v>
      </c>
      <c r="C134" s="115"/>
      <c r="D134" s="85"/>
    </row>
    <row r="135" spans="1:4" ht="13" x14ac:dyDescent="0.25">
      <c r="A135" s="394" t="s">
        <v>270</v>
      </c>
      <c r="B135" s="81"/>
      <c r="C135" s="81"/>
      <c r="D135" s="81"/>
    </row>
    <row r="136" spans="1:4" ht="13" x14ac:dyDescent="0.25">
      <c r="A136" s="258" t="s">
        <v>274</v>
      </c>
      <c r="B136" s="1074"/>
      <c r="C136" s="1074"/>
      <c r="D136" s="1074"/>
    </row>
    <row r="137" spans="1:4" ht="13" x14ac:dyDescent="0.25">
      <c r="A137" s="258"/>
      <c r="B137" s="99"/>
      <c r="C137" s="99"/>
      <c r="D137" s="99"/>
    </row>
    <row r="138" spans="1:4" ht="15.5" x14ac:dyDescent="0.35">
      <c r="A138" s="258" t="s">
        <v>594</v>
      </c>
      <c r="B138" s="1072" t="s">
        <v>640</v>
      </c>
      <c r="C138" s="1072"/>
      <c r="D138" s="1072"/>
    </row>
    <row r="139" spans="1:4" ht="13" x14ac:dyDescent="0.25">
      <c r="A139" s="258" t="s">
        <v>596</v>
      </c>
      <c r="B139" s="1073" t="s">
        <v>641</v>
      </c>
      <c r="C139" s="1073"/>
      <c r="D139" s="1073"/>
    </row>
    <row r="140" spans="1:4" ht="13" x14ac:dyDescent="0.25">
      <c r="A140" s="258" t="s">
        <v>598</v>
      </c>
      <c r="B140" s="1071" t="s">
        <v>615</v>
      </c>
      <c r="C140" s="1071"/>
      <c r="D140" s="1071"/>
    </row>
    <row r="141" spans="1:4" ht="13" x14ac:dyDescent="0.25">
      <c r="A141" s="258" t="s">
        <v>600</v>
      </c>
      <c r="B141" s="113" t="s">
        <v>616</v>
      </c>
      <c r="C141" s="113"/>
      <c r="D141" s="113"/>
    </row>
    <row r="142" spans="1:4" ht="13" x14ac:dyDescent="0.25">
      <c r="A142" s="258" t="s">
        <v>602</v>
      </c>
      <c r="B142" s="1073" t="s">
        <v>617</v>
      </c>
      <c r="C142" s="1073"/>
      <c r="D142" s="1073"/>
    </row>
    <row r="143" spans="1:4" ht="13" x14ac:dyDescent="0.25">
      <c r="A143" s="258" t="s">
        <v>604</v>
      </c>
      <c r="B143" s="85" t="s">
        <v>605</v>
      </c>
      <c r="C143" s="85"/>
      <c r="D143" s="85"/>
    </row>
    <row r="144" spans="1:4" ht="13" x14ac:dyDescent="0.25">
      <c r="A144" s="258" t="s">
        <v>608</v>
      </c>
      <c r="B144" s="85" t="s">
        <v>609</v>
      </c>
      <c r="C144" s="85"/>
      <c r="D144" s="85"/>
    </row>
    <row r="145" spans="1:4" ht="13" x14ac:dyDescent="0.25">
      <c r="A145" s="258" t="s">
        <v>606</v>
      </c>
      <c r="B145" s="85" t="s">
        <v>607</v>
      </c>
      <c r="C145" s="85"/>
      <c r="D145" s="85"/>
    </row>
    <row r="146" spans="1:4" ht="13" x14ac:dyDescent="0.25">
      <c r="A146" s="258" t="s">
        <v>610</v>
      </c>
      <c r="B146" s="117">
        <v>-1.4999999999999999E-2</v>
      </c>
      <c r="C146" s="115"/>
      <c r="D146" s="85"/>
    </row>
    <row r="147" spans="1:4" ht="13" x14ac:dyDescent="0.25">
      <c r="A147" s="394" t="s">
        <v>270</v>
      </c>
      <c r="B147" s="81"/>
      <c r="C147" s="81"/>
      <c r="D147" s="81"/>
    </row>
    <row r="148" spans="1:4" ht="13" x14ac:dyDescent="0.25">
      <c r="A148" s="258" t="s">
        <v>274</v>
      </c>
      <c r="B148" s="1074"/>
      <c r="C148" s="1074"/>
      <c r="D148" s="1074"/>
    </row>
    <row r="149" spans="1:4" ht="13" x14ac:dyDescent="0.25">
      <c r="A149" s="258"/>
      <c r="B149" s="99"/>
      <c r="C149" s="99"/>
      <c r="D149" s="99"/>
    </row>
    <row r="150" spans="1:4" ht="15.5" x14ac:dyDescent="0.35">
      <c r="A150" s="258" t="s">
        <v>594</v>
      </c>
      <c r="B150" s="1072" t="s">
        <v>642</v>
      </c>
      <c r="C150" s="1072"/>
      <c r="D150" s="1072"/>
    </row>
    <row r="151" spans="1:4" ht="13" x14ac:dyDescent="0.25">
      <c r="A151" s="258" t="s">
        <v>596</v>
      </c>
      <c r="B151" s="1073" t="s">
        <v>643</v>
      </c>
      <c r="C151" s="1073"/>
      <c r="D151" s="1073"/>
    </row>
    <row r="152" spans="1:4" ht="13" x14ac:dyDescent="0.25">
      <c r="A152" s="258" t="s">
        <v>598</v>
      </c>
      <c r="B152" s="1071" t="s">
        <v>615</v>
      </c>
      <c r="C152" s="1071"/>
      <c r="D152" s="1071"/>
    </row>
    <row r="153" spans="1:4" ht="13" x14ac:dyDescent="0.25">
      <c r="A153" s="258" t="s">
        <v>600</v>
      </c>
      <c r="B153" s="113" t="s">
        <v>616</v>
      </c>
      <c r="C153" s="113"/>
      <c r="D153" s="113"/>
    </row>
    <row r="154" spans="1:4" ht="13" x14ac:dyDescent="0.25">
      <c r="A154" s="258" t="s">
        <v>602</v>
      </c>
      <c r="B154" s="1073" t="s">
        <v>617</v>
      </c>
      <c r="C154" s="1073"/>
      <c r="D154" s="1073"/>
    </row>
    <row r="155" spans="1:4" ht="13" x14ac:dyDescent="0.25">
      <c r="A155" s="258" t="s">
        <v>604</v>
      </c>
      <c r="B155" s="85" t="s">
        <v>605</v>
      </c>
      <c r="C155" s="85"/>
      <c r="D155" s="85"/>
    </row>
    <row r="156" spans="1:4" ht="13" x14ac:dyDescent="0.25">
      <c r="A156" s="258" t="s">
        <v>608</v>
      </c>
      <c r="B156" s="85" t="s">
        <v>609</v>
      </c>
      <c r="C156" s="85"/>
      <c r="D156" s="85"/>
    </row>
    <row r="157" spans="1:4" ht="13" x14ac:dyDescent="0.25">
      <c r="A157" s="258" t="s">
        <v>606</v>
      </c>
      <c r="B157" s="85" t="s">
        <v>607</v>
      </c>
      <c r="C157" s="85"/>
      <c r="D157" s="85"/>
    </row>
    <row r="158" spans="1:4" ht="13" x14ac:dyDescent="0.25">
      <c r="A158" s="258" t="s">
        <v>610</v>
      </c>
      <c r="B158" s="116">
        <v>-0.02</v>
      </c>
      <c r="C158" s="115"/>
      <c r="D158" s="85"/>
    </row>
    <row r="159" spans="1:4" ht="13" x14ac:dyDescent="0.25">
      <c r="A159" s="394" t="s">
        <v>270</v>
      </c>
      <c r="B159" s="81"/>
      <c r="C159" s="81"/>
      <c r="D159" s="81"/>
    </row>
    <row r="160" spans="1:4" ht="13" x14ac:dyDescent="0.25">
      <c r="A160" s="258" t="s">
        <v>274</v>
      </c>
      <c r="B160" s="1074"/>
      <c r="C160" s="1074"/>
      <c r="D160" s="1074"/>
    </row>
    <row r="161" spans="1:4" ht="13" x14ac:dyDescent="0.25">
      <c r="A161" s="258"/>
      <c r="B161" s="99"/>
      <c r="C161" s="99"/>
      <c r="D161" s="99"/>
    </row>
    <row r="162" spans="1:4" ht="15.5" x14ac:dyDescent="0.35">
      <c r="A162" s="258" t="s">
        <v>594</v>
      </c>
      <c r="B162" s="1072" t="s">
        <v>644</v>
      </c>
      <c r="C162" s="1072"/>
      <c r="D162" s="1072"/>
    </row>
    <row r="163" spans="1:4" ht="13" x14ac:dyDescent="0.25">
      <c r="A163" s="258" t="s">
        <v>596</v>
      </c>
      <c r="B163" s="1073" t="s">
        <v>645</v>
      </c>
      <c r="C163" s="1073"/>
      <c r="D163" s="1073"/>
    </row>
    <row r="164" spans="1:4" ht="13" x14ac:dyDescent="0.25">
      <c r="A164" s="258" t="s">
        <v>598</v>
      </c>
      <c r="B164" s="1071" t="s">
        <v>615</v>
      </c>
      <c r="C164" s="1071"/>
      <c r="D164" s="1071"/>
    </row>
    <row r="165" spans="1:4" ht="13" x14ac:dyDescent="0.25">
      <c r="A165" s="258" t="s">
        <v>600</v>
      </c>
      <c r="B165" s="113" t="s">
        <v>616</v>
      </c>
      <c r="C165" s="113"/>
      <c r="D165" s="113"/>
    </row>
    <row r="166" spans="1:4" ht="13" x14ac:dyDescent="0.25">
      <c r="A166" s="258" t="s">
        <v>602</v>
      </c>
      <c r="B166" s="1073" t="s">
        <v>617</v>
      </c>
      <c r="C166" s="1073"/>
      <c r="D166" s="1073"/>
    </row>
    <row r="167" spans="1:4" ht="13" x14ac:dyDescent="0.25">
      <c r="A167" s="258" t="s">
        <v>604</v>
      </c>
      <c r="B167" s="85" t="s">
        <v>605</v>
      </c>
      <c r="C167" s="85"/>
      <c r="D167" s="85"/>
    </row>
    <row r="168" spans="1:4" ht="13" x14ac:dyDescent="0.25">
      <c r="A168" s="258" t="s">
        <v>608</v>
      </c>
      <c r="B168" s="85" t="s">
        <v>609</v>
      </c>
      <c r="C168" s="85"/>
      <c r="D168" s="85"/>
    </row>
    <row r="169" spans="1:4" ht="13" x14ac:dyDescent="0.25">
      <c r="A169" s="258" t="s">
        <v>606</v>
      </c>
      <c r="B169" s="85" t="s">
        <v>607</v>
      </c>
      <c r="C169" s="85"/>
      <c r="D169" s="85"/>
    </row>
    <row r="170" spans="1:4" ht="13" x14ac:dyDescent="0.25">
      <c r="A170" s="258" t="s">
        <v>610</v>
      </c>
      <c r="B170" s="117">
        <v>-2.5000000000000001E-2</v>
      </c>
      <c r="C170" s="115"/>
      <c r="D170" s="85"/>
    </row>
    <row r="171" spans="1:4" ht="13" x14ac:dyDescent="0.25">
      <c r="A171" s="394" t="s">
        <v>270</v>
      </c>
      <c r="B171" s="81"/>
      <c r="C171" s="81"/>
      <c r="D171" s="81"/>
    </row>
    <row r="172" spans="1:4" ht="13" x14ac:dyDescent="0.25">
      <c r="A172" s="258" t="s">
        <v>274</v>
      </c>
      <c r="B172" s="1074"/>
      <c r="C172" s="1074"/>
      <c r="D172" s="1074"/>
    </row>
    <row r="173" spans="1:4" x14ac:dyDescent="0.25">
      <c r="A173" s="259"/>
      <c r="B173" s="259"/>
      <c r="C173" s="259"/>
      <c r="D173" s="259"/>
    </row>
    <row r="174" spans="1:4" ht="15.5" x14ac:dyDescent="0.35">
      <c r="A174" s="258" t="s">
        <v>594</v>
      </c>
      <c r="B174" s="1072" t="s">
        <v>646</v>
      </c>
      <c r="C174" s="1072"/>
      <c r="D174" s="1072"/>
    </row>
    <row r="175" spans="1:4" ht="13" x14ac:dyDescent="0.25">
      <c r="A175" s="258" t="s">
        <v>596</v>
      </c>
      <c r="B175" s="1073" t="s">
        <v>637</v>
      </c>
      <c r="C175" s="1073"/>
      <c r="D175" s="1073"/>
    </row>
    <row r="176" spans="1:4" ht="13" x14ac:dyDescent="0.25">
      <c r="A176" s="258" t="s">
        <v>598</v>
      </c>
      <c r="B176" s="1071" t="s">
        <v>615</v>
      </c>
      <c r="C176" s="1071"/>
      <c r="D176" s="1071"/>
    </row>
    <row r="177" spans="1:4" ht="13" x14ac:dyDescent="0.25">
      <c r="A177" s="258" t="s">
        <v>600</v>
      </c>
      <c r="B177" s="113" t="s">
        <v>616</v>
      </c>
      <c r="C177" s="113"/>
      <c r="D177" s="113"/>
    </row>
    <row r="178" spans="1:4" ht="13" x14ac:dyDescent="0.25">
      <c r="A178" s="258" t="s">
        <v>602</v>
      </c>
      <c r="B178" s="1073" t="s">
        <v>617</v>
      </c>
      <c r="C178" s="1073"/>
      <c r="D178" s="1073"/>
    </row>
    <row r="179" spans="1:4" ht="13" x14ac:dyDescent="0.25">
      <c r="A179" s="258" t="s">
        <v>604</v>
      </c>
      <c r="B179" s="85" t="s">
        <v>605</v>
      </c>
      <c r="C179" s="85"/>
      <c r="D179" s="85"/>
    </row>
    <row r="180" spans="1:4" ht="13" x14ac:dyDescent="0.25">
      <c r="A180" s="258" t="s">
        <v>608</v>
      </c>
      <c r="B180" s="85" t="s">
        <v>609</v>
      </c>
      <c r="C180" s="85"/>
      <c r="D180" s="85"/>
    </row>
    <row r="181" spans="1:4" ht="13" x14ac:dyDescent="0.25">
      <c r="A181" s="258" t="s">
        <v>606</v>
      </c>
      <c r="B181" s="85" t="s">
        <v>607</v>
      </c>
      <c r="C181" s="85"/>
      <c r="D181" s="85"/>
    </row>
    <row r="182" spans="1:4" ht="13" x14ac:dyDescent="0.25">
      <c r="A182" s="258" t="s">
        <v>610</v>
      </c>
      <c r="B182" s="116">
        <v>-0.03</v>
      </c>
      <c r="C182" s="115"/>
      <c r="D182" s="85"/>
    </row>
    <row r="183" spans="1:4" ht="13" x14ac:dyDescent="0.25">
      <c r="A183" s="394" t="s">
        <v>270</v>
      </c>
      <c r="B183" s="81"/>
      <c r="C183" s="81"/>
      <c r="D183" s="81"/>
    </row>
    <row r="184" spans="1:4" ht="13" x14ac:dyDescent="0.25">
      <c r="A184" s="258" t="s">
        <v>274</v>
      </c>
      <c r="B184" s="1074"/>
      <c r="C184" s="1074"/>
      <c r="D184" s="1074"/>
    </row>
    <row r="185" spans="1:4" ht="13" x14ac:dyDescent="0.25">
      <c r="A185" s="258"/>
      <c r="B185" s="99"/>
      <c r="C185" s="99"/>
      <c r="D185" s="99"/>
    </row>
    <row r="186" spans="1:4" ht="15.5" x14ac:dyDescent="0.35">
      <c r="A186" s="258" t="s">
        <v>594</v>
      </c>
      <c r="B186" s="1072" t="s">
        <v>647</v>
      </c>
      <c r="C186" s="1072"/>
      <c r="D186" s="1072"/>
    </row>
    <row r="187" spans="1:4" ht="13" x14ac:dyDescent="0.25">
      <c r="A187" s="258" t="s">
        <v>596</v>
      </c>
      <c r="B187" s="1073" t="s">
        <v>639</v>
      </c>
      <c r="C187" s="1073"/>
      <c r="D187" s="1073"/>
    </row>
    <row r="188" spans="1:4" ht="13" x14ac:dyDescent="0.25">
      <c r="A188" s="258" t="s">
        <v>598</v>
      </c>
      <c r="B188" s="1071" t="s">
        <v>615</v>
      </c>
      <c r="C188" s="1071"/>
      <c r="D188" s="1071"/>
    </row>
    <row r="189" spans="1:4" ht="13" x14ac:dyDescent="0.25">
      <c r="A189" s="258" t="s">
        <v>600</v>
      </c>
      <c r="B189" s="113" t="s">
        <v>616</v>
      </c>
      <c r="C189" s="113"/>
      <c r="D189" s="113"/>
    </row>
    <row r="190" spans="1:4" ht="13" x14ac:dyDescent="0.25">
      <c r="A190" s="258" t="s">
        <v>602</v>
      </c>
      <c r="B190" s="1073" t="s">
        <v>617</v>
      </c>
      <c r="C190" s="1073"/>
      <c r="D190" s="1073"/>
    </row>
    <row r="191" spans="1:4" ht="13" x14ac:dyDescent="0.25">
      <c r="A191" s="258" t="s">
        <v>604</v>
      </c>
      <c r="B191" s="85" t="s">
        <v>605</v>
      </c>
      <c r="C191" s="85"/>
      <c r="D191" s="85"/>
    </row>
    <row r="192" spans="1:4" ht="13" x14ac:dyDescent="0.25">
      <c r="A192" s="258" t="s">
        <v>608</v>
      </c>
      <c r="B192" s="85" t="s">
        <v>609</v>
      </c>
      <c r="C192" s="85"/>
      <c r="D192" s="85"/>
    </row>
    <row r="193" spans="1:4" ht="13" x14ac:dyDescent="0.25">
      <c r="A193" s="258" t="s">
        <v>606</v>
      </c>
      <c r="B193" s="85" t="s">
        <v>607</v>
      </c>
      <c r="C193" s="85"/>
      <c r="D193" s="85"/>
    </row>
    <row r="194" spans="1:4" ht="13" x14ac:dyDescent="0.25">
      <c r="A194" s="258" t="s">
        <v>610</v>
      </c>
      <c r="B194" s="117">
        <v>-3.5000000000000003E-2</v>
      </c>
      <c r="C194" s="115"/>
      <c r="D194" s="85"/>
    </row>
    <row r="195" spans="1:4" ht="13" x14ac:dyDescent="0.25">
      <c r="A195" s="394" t="s">
        <v>270</v>
      </c>
      <c r="B195" s="81"/>
      <c r="C195" s="81"/>
      <c r="D195" s="81"/>
    </row>
    <row r="196" spans="1:4" ht="13" x14ac:dyDescent="0.25">
      <c r="A196" s="258" t="s">
        <v>274</v>
      </c>
      <c r="B196" s="1074"/>
      <c r="C196" s="1074"/>
      <c r="D196" s="1074"/>
    </row>
    <row r="197" spans="1:4" ht="13" x14ac:dyDescent="0.25">
      <c r="A197" s="258"/>
      <c r="B197" s="99"/>
      <c r="C197" s="99"/>
      <c r="D197" s="99"/>
    </row>
    <row r="198" spans="1:4" ht="15.5" x14ac:dyDescent="0.35">
      <c r="A198" s="258" t="s">
        <v>594</v>
      </c>
      <c r="B198" s="1072" t="s">
        <v>648</v>
      </c>
      <c r="C198" s="1072"/>
      <c r="D198" s="1072"/>
    </row>
    <row r="199" spans="1:4" ht="13" x14ac:dyDescent="0.25">
      <c r="A199" s="258" t="s">
        <v>596</v>
      </c>
      <c r="B199" s="1073" t="s">
        <v>641</v>
      </c>
      <c r="C199" s="1073"/>
      <c r="D199" s="1073"/>
    </row>
    <row r="200" spans="1:4" ht="13" x14ac:dyDescent="0.25">
      <c r="A200" s="258" t="s">
        <v>598</v>
      </c>
      <c r="B200" s="1071" t="s">
        <v>615</v>
      </c>
      <c r="C200" s="1071"/>
      <c r="D200" s="1071"/>
    </row>
    <row r="201" spans="1:4" ht="13" x14ac:dyDescent="0.25">
      <c r="A201" s="258" t="s">
        <v>600</v>
      </c>
      <c r="B201" s="113" t="s">
        <v>616</v>
      </c>
      <c r="C201" s="113"/>
      <c r="D201" s="113"/>
    </row>
    <row r="202" spans="1:4" ht="13" x14ac:dyDescent="0.25">
      <c r="A202" s="258" t="s">
        <v>602</v>
      </c>
      <c r="B202" s="1073" t="s">
        <v>617</v>
      </c>
      <c r="C202" s="1073"/>
      <c r="D202" s="1073"/>
    </row>
    <row r="203" spans="1:4" ht="13" x14ac:dyDescent="0.25">
      <c r="A203" s="258" t="s">
        <v>604</v>
      </c>
      <c r="B203" s="85" t="s">
        <v>605</v>
      </c>
      <c r="C203" s="85"/>
      <c r="D203" s="85"/>
    </row>
    <row r="204" spans="1:4" ht="13" x14ac:dyDescent="0.25">
      <c r="A204" s="258" t="s">
        <v>608</v>
      </c>
      <c r="B204" s="85" t="s">
        <v>609</v>
      </c>
      <c r="C204" s="85"/>
      <c r="D204" s="85"/>
    </row>
    <row r="205" spans="1:4" ht="13" x14ac:dyDescent="0.25">
      <c r="A205" s="258" t="s">
        <v>606</v>
      </c>
      <c r="B205" s="85" t="s">
        <v>607</v>
      </c>
      <c r="C205" s="85"/>
      <c r="D205" s="85"/>
    </row>
    <row r="206" spans="1:4" ht="13" x14ac:dyDescent="0.25">
      <c r="A206" s="258" t="s">
        <v>610</v>
      </c>
      <c r="B206" s="116">
        <v>-0.04</v>
      </c>
      <c r="C206" s="115"/>
      <c r="D206" s="85"/>
    </row>
    <row r="207" spans="1:4" ht="13" x14ac:dyDescent="0.25">
      <c r="A207" s="394" t="s">
        <v>270</v>
      </c>
      <c r="B207" s="81"/>
      <c r="C207" s="81"/>
      <c r="D207" s="81"/>
    </row>
    <row r="208" spans="1:4" ht="13" x14ac:dyDescent="0.25">
      <c r="A208" s="258" t="s">
        <v>274</v>
      </c>
      <c r="B208" s="1074"/>
      <c r="C208" s="1074"/>
      <c r="D208" s="1074"/>
    </row>
    <row r="209" spans="1:4" ht="13" x14ac:dyDescent="0.25">
      <c r="A209" s="258"/>
      <c r="B209" s="99"/>
      <c r="C209" s="99"/>
      <c r="D209" s="99"/>
    </row>
    <row r="210" spans="1:4" ht="15.5" x14ac:dyDescent="0.35">
      <c r="A210" s="258" t="s">
        <v>594</v>
      </c>
      <c r="B210" s="1072" t="s">
        <v>649</v>
      </c>
      <c r="C210" s="1072"/>
      <c r="D210" s="1072"/>
    </row>
    <row r="211" spans="1:4" ht="13" x14ac:dyDescent="0.25">
      <c r="A211" s="258" t="s">
        <v>596</v>
      </c>
      <c r="B211" s="1073" t="s">
        <v>643</v>
      </c>
      <c r="C211" s="1073"/>
      <c r="D211" s="1073"/>
    </row>
    <row r="212" spans="1:4" ht="13" x14ac:dyDescent="0.25">
      <c r="A212" s="258" t="s">
        <v>598</v>
      </c>
      <c r="B212" s="1071" t="s">
        <v>615</v>
      </c>
      <c r="C212" s="1071"/>
      <c r="D212" s="1071"/>
    </row>
    <row r="213" spans="1:4" ht="13" x14ac:dyDescent="0.25">
      <c r="A213" s="258" t="s">
        <v>600</v>
      </c>
      <c r="B213" s="113" t="s">
        <v>616</v>
      </c>
      <c r="C213" s="113"/>
      <c r="D213" s="113"/>
    </row>
    <row r="214" spans="1:4" ht="13" x14ac:dyDescent="0.25">
      <c r="A214" s="258" t="s">
        <v>602</v>
      </c>
      <c r="B214" s="1073" t="s">
        <v>617</v>
      </c>
      <c r="C214" s="1073"/>
      <c r="D214" s="1073"/>
    </row>
    <row r="215" spans="1:4" ht="13" x14ac:dyDescent="0.25">
      <c r="A215" s="258" t="s">
        <v>604</v>
      </c>
      <c r="B215" s="85" t="s">
        <v>605</v>
      </c>
      <c r="C215" s="85"/>
      <c r="D215" s="85"/>
    </row>
    <row r="216" spans="1:4" ht="13" x14ac:dyDescent="0.25">
      <c r="A216" s="258" t="s">
        <v>608</v>
      </c>
      <c r="B216" s="85" t="s">
        <v>609</v>
      </c>
      <c r="C216" s="85"/>
      <c r="D216" s="85"/>
    </row>
    <row r="217" spans="1:4" ht="13" x14ac:dyDescent="0.25">
      <c r="A217" s="258" t="s">
        <v>606</v>
      </c>
      <c r="B217" s="85" t="s">
        <v>607</v>
      </c>
      <c r="C217" s="85"/>
      <c r="D217" s="85"/>
    </row>
    <row r="218" spans="1:4" ht="13" x14ac:dyDescent="0.25">
      <c r="A218" s="258" t="s">
        <v>610</v>
      </c>
      <c r="B218" s="117">
        <v>-4.4999999999999998E-2</v>
      </c>
      <c r="C218" s="115"/>
      <c r="D218" s="85"/>
    </row>
    <row r="219" spans="1:4" ht="13" x14ac:dyDescent="0.25">
      <c r="A219" s="394" t="s">
        <v>270</v>
      </c>
      <c r="B219" s="81"/>
      <c r="C219" s="81"/>
      <c r="D219" s="81"/>
    </row>
    <row r="220" spans="1:4" ht="13" x14ac:dyDescent="0.25">
      <c r="A220" s="258" t="s">
        <v>274</v>
      </c>
      <c r="B220" s="1074"/>
      <c r="C220" s="1074"/>
      <c r="D220" s="1074"/>
    </row>
    <row r="221" spans="1:4" ht="13" x14ac:dyDescent="0.25">
      <c r="A221" s="258"/>
      <c r="B221" s="99"/>
      <c r="C221" s="99"/>
      <c r="D221" s="99"/>
    </row>
    <row r="222" spans="1:4" ht="15.5" x14ac:dyDescent="0.35">
      <c r="A222" s="258" t="s">
        <v>594</v>
      </c>
      <c r="B222" s="1072" t="s">
        <v>650</v>
      </c>
      <c r="C222" s="1072"/>
      <c r="D222" s="1072"/>
    </row>
    <row r="223" spans="1:4" ht="13" x14ac:dyDescent="0.25">
      <c r="A223" s="258" t="s">
        <v>596</v>
      </c>
      <c r="B223" s="1073" t="s">
        <v>645</v>
      </c>
      <c r="C223" s="1073"/>
      <c r="D223" s="1073"/>
    </row>
    <row r="224" spans="1:4" ht="13" x14ac:dyDescent="0.25">
      <c r="A224" s="258" t="s">
        <v>598</v>
      </c>
      <c r="B224" s="1071" t="s">
        <v>615</v>
      </c>
      <c r="C224" s="1071"/>
      <c r="D224" s="1071"/>
    </row>
    <row r="225" spans="1:4" ht="13" x14ac:dyDescent="0.25">
      <c r="A225" s="258" t="s">
        <v>600</v>
      </c>
      <c r="B225" s="113" t="s">
        <v>616</v>
      </c>
      <c r="C225" s="113"/>
      <c r="D225" s="113"/>
    </row>
    <row r="226" spans="1:4" ht="13" x14ac:dyDescent="0.25">
      <c r="A226" s="258" t="s">
        <v>602</v>
      </c>
      <c r="B226" s="1073" t="s">
        <v>617</v>
      </c>
      <c r="C226" s="1073"/>
      <c r="D226" s="1073"/>
    </row>
    <row r="227" spans="1:4" ht="13" x14ac:dyDescent="0.25">
      <c r="A227" s="258" t="s">
        <v>604</v>
      </c>
      <c r="B227" s="85" t="s">
        <v>605</v>
      </c>
      <c r="C227" s="85"/>
      <c r="D227" s="85"/>
    </row>
    <row r="228" spans="1:4" ht="13" x14ac:dyDescent="0.25">
      <c r="A228" s="258" t="s">
        <v>608</v>
      </c>
      <c r="B228" s="85" t="s">
        <v>609</v>
      </c>
      <c r="C228" s="85"/>
      <c r="D228" s="85"/>
    </row>
    <row r="229" spans="1:4" ht="13" x14ac:dyDescent="0.25">
      <c r="A229" s="258" t="s">
        <v>606</v>
      </c>
      <c r="B229" s="85" t="s">
        <v>607</v>
      </c>
      <c r="C229" s="85"/>
      <c r="D229" s="85"/>
    </row>
    <row r="230" spans="1:4" ht="13" x14ac:dyDescent="0.25">
      <c r="A230" s="258" t="s">
        <v>610</v>
      </c>
      <c r="B230" s="116">
        <v>-0.05</v>
      </c>
      <c r="C230" s="115"/>
      <c r="D230" s="85"/>
    </row>
    <row r="231" spans="1:4" ht="13" x14ac:dyDescent="0.25">
      <c r="A231" s="394" t="s">
        <v>270</v>
      </c>
      <c r="B231" s="81"/>
      <c r="C231" s="81"/>
      <c r="D231" s="81"/>
    </row>
    <row r="232" spans="1:4" ht="13" x14ac:dyDescent="0.25">
      <c r="A232" s="258" t="s">
        <v>274</v>
      </c>
      <c r="B232" s="1074"/>
      <c r="C232" s="1074"/>
      <c r="D232" s="1074"/>
    </row>
    <row r="233" spans="1:4" customFormat="1" ht="13" x14ac:dyDescent="0.25">
      <c r="A233" s="258"/>
      <c r="B233" s="99"/>
      <c r="C233" s="99"/>
      <c r="D233" s="99"/>
    </row>
    <row r="234" spans="1:4" ht="15.5" x14ac:dyDescent="0.35">
      <c r="A234" s="258" t="s">
        <v>594</v>
      </c>
      <c r="B234" s="1072" t="s">
        <v>651</v>
      </c>
      <c r="C234" s="1072"/>
      <c r="D234" s="1072"/>
    </row>
    <row r="235" spans="1:4" ht="13" x14ac:dyDescent="0.25">
      <c r="A235" s="258" t="s">
        <v>596</v>
      </c>
      <c r="B235" s="1073" t="s">
        <v>652</v>
      </c>
      <c r="C235" s="1073"/>
      <c r="D235" s="1073"/>
    </row>
    <row r="236" spans="1:4" ht="13" x14ac:dyDescent="0.25">
      <c r="A236" s="258" t="s">
        <v>598</v>
      </c>
      <c r="B236" s="1071" t="s">
        <v>615</v>
      </c>
      <c r="C236" s="1071"/>
      <c r="D236" s="1071"/>
    </row>
    <row r="237" spans="1:4" ht="13" x14ac:dyDescent="0.25">
      <c r="A237" s="258" t="s">
        <v>600</v>
      </c>
      <c r="B237" s="113" t="s">
        <v>616</v>
      </c>
      <c r="C237" s="113"/>
      <c r="D237" s="113"/>
    </row>
    <row r="238" spans="1:4" ht="13" x14ac:dyDescent="0.25">
      <c r="A238" s="258" t="s">
        <v>602</v>
      </c>
      <c r="B238" s="1073" t="s">
        <v>617</v>
      </c>
      <c r="C238" s="1073"/>
      <c r="D238" s="1073"/>
    </row>
    <row r="239" spans="1:4" ht="13" x14ac:dyDescent="0.25">
      <c r="A239" s="258" t="s">
        <v>604</v>
      </c>
      <c r="B239" s="85" t="s">
        <v>605</v>
      </c>
      <c r="C239" s="85"/>
      <c r="D239" s="85"/>
    </row>
    <row r="240" spans="1:4" ht="13" x14ac:dyDescent="0.25">
      <c r="A240" s="258" t="s">
        <v>608</v>
      </c>
      <c r="B240" s="85" t="s">
        <v>609</v>
      </c>
      <c r="C240" s="85"/>
      <c r="D240" s="85"/>
    </row>
    <row r="241" spans="1:4" ht="13" x14ac:dyDescent="0.25">
      <c r="A241" s="258" t="s">
        <v>606</v>
      </c>
      <c r="B241" s="85" t="s">
        <v>607</v>
      </c>
      <c r="C241" s="85"/>
      <c r="D241" s="85"/>
    </row>
    <row r="242" spans="1:4" ht="13" x14ac:dyDescent="0.25">
      <c r="A242" s="258" t="s">
        <v>610</v>
      </c>
      <c r="B242" s="117">
        <v>-5.0000000000000001E-3</v>
      </c>
      <c r="C242" s="115"/>
      <c r="D242" s="85"/>
    </row>
    <row r="243" spans="1:4" ht="13" x14ac:dyDescent="0.25">
      <c r="A243" s="394" t="s">
        <v>270</v>
      </c>
      <c r="B243" s="81"/>
      <c r="C243" s="81"/>
      <c r="D243" s="81"/>
    </row>
    <row r="244" spans="1:4" ht="13" x14ac:dyDescent="0.25">
      <c r="A244" s="258" t="s">
        <v>274</v>
      </c>
      <c r="B244" s="1074"/>
      <c r="C244" s="1074"/>
      <c r="D244" s="1074"/>
    </row>
    <row r="245" spans="1:4" ht="13" x14ac:dyDescent="0.25">
      <c r="A245" s="258"/>
      <c r="B245" s="99"/>
      <c r="C245" s="99"/>
      <c r="D245" s="99"/>
    </row>
    <row r="246" spans="1:4" ht="15.5" x14ac:dyDescent="0.35">
      <c r="A246" s="258" t="s">
        <v>594</v>
      </c>
      <c r="B246" s="1072" t="s">
        <v>653</v>
      </c>
      <c r="C246" s="1072"/>
      <c r="D246" s="1072"/>
    </row>
    <row r="247" spans="1:4" ht="13" x14ac:dyDescent="0.25">
      <c r="A247" s="258" t="s">
        <v>596</v>
      </c>
      <c r="B247" s="1073" t="s">
        <v>654</v>
      </c>
      <c r="C247" s="1073"/>
      <c r="D247" s="1073"/>
    </row>
    <row r="248" spans="1:4" ht="13" x14ac:dyDescent="0.25">
      <c r="A248" s="258" t="s">
        <v>598</v>
      </c>
      <c r="B248" s="1071" t="s">
        <v>615</v>
      </c>
      <c r="C248" s="1071"/>
      <c r="D248" s="1071"/>
    </row>
    <row r="249" spans="1:4" ht="13" x14ac:dyDescent="0.25">
      <c r="A249" s="258" t="s">
        <v>600</v>
      </c>
      <c r="B249" s="113" t="s">
        <v>616</v>
      </c>
      <c r="C249" s="113"/>
      <c r="D249" s="113"/>
    </row>
    <row r="250" spans="1:4" ht="13" x14ac:dyDescent="0.25">
      <c r="A250" s="258" t="s">
        <v>602</v>
      </c>
      <c r="B250" s="1073" t="s">
        <v>617</v>
      </c>
      <c r="C250" s="1073"/>
      <c r="D250" s="1073"/>
    </row>
    <row r="251" spans="1:4" ht="13" x14ac:dyDescent="0.25">
      <c r="A251" s="258" t="s">
        <v>604</v>
      </c>
      <c r="B251" s="85" t="s">
        <v>605</v>
      </c>
      <c r="C251" s="85"/>
      <c r="D251" s="85"/>
    </row>
    <row r="252" spans="1:4" ht="13" x14ac:dyDescent="0.25">
      <c r="A252" s="258" t="s">
        <v>608</v>
      </c>
      <c r="B252" s="85" t="s">
        <v>609</v>
      </c>
      <c r="C252" s="85"/>
      <c r="D252" s="85"/>
    </row>
    <row r="253" spans="1:4" ht="13" x14ac:dyDescent="0.25">
      <c r="A253" s="258" t="s">
        <v>606</v>
      </c>
      <c r="B253" s="85" t="s">
        <v>607</v>
      </c>
      <c r="C253" s="85"/>
      <c r="D253" s="85"/>
    </row>
    <row r="254" spans="1:4" ht="13" x14ac:dyDescent="0.25">
      <c r="A254" s="258" t="s">
        <v>610</v>
      </c>
      <c r="B254" s="116">
        <v>-0.01</v>
      </c>
      <c r="C254" s="115"/>
      <c r="D254" s="85"/>
    </row>
    <row r="255" spans="1:4" ht="13" x14ac:dyDescent="0.25">
      <c r="A255" s="394" t="s">
        <v>270</v>
      </c>
      <c r="B255" s="81"/>
      <c r="C255" s="81"/>
      <c r="D255" s="81"/>
    </row>
    <row r="256" spans="1:4" ht="13" x14ac:dyDescent="0.25">
      <c r="A256" s="258" t="s">
        <v>274</v>
      </c>
      <c r="B256" s="1074"/>
      <c r="C256" s="1074"/>
      <c r="D256" s="1074"/>
    </row>
    <row r="257" spans="1:4" ht="13" x14ac:dyDescent="0.25">
      <c r="A257" s="258"/>
      <c r="B257" s="99"/>
      <c r="C257" s="99"/>
      <c r="D257" s="99"/>
    </row>
    <row r="258" spans="1:4" ht="15.5" x14ac:dyDescent="0.35">
      <c r="A258" s="258" t="s">
        <v>594</v>
      </c>
      <c r="B258" s="1072" t="s">
        <v>655</v>
      </c>
      <c r="C258" s="1072"/>
      <c r="D258" s="1072"/>
    </row>
    <row r="259" spans="1:4" ht="13" x14ac:dyDescent="0.25">
      <c r="A259" s="258" t="s">
        <v>596</v>
      </c>
      <c r="B259" s="1073" t="s">
        <v>656</v>
      </c>
      <c r="C259" s="1073"/>
      <c r="D259" s="1073"/>
    </row>
    <row r="260" spans="1:4" ht="13" x14ac:dyDescent="0.25">
      <c r="A260" s="258" t="s">
        <v>598</v>
      </c>
      <c r="B260" s="1071" t="s">
        <v>615</v>
      </c>
      <c r="C260" s="1071"/>
      <c r="D260" s="1071"/>
    </row>
    <row r="261" spans="1:4" ht="13" x14ac:dyDescent="0.25">
      <c r="A261" s="258" t="s">
        <v>600</v>
      </c>
      <c r="B261" s="113" t="s">
        <v>616</v>
      </c>
      <c r="C261" s="113"/>
      <c r="D261" s="113"/>
    </row>
    <row r="262" spans="1:4" ht="13" x14ac:dyDescent="0.25">
      <c r="A262" s="258" t="s">
        <v>602</v>
      </c>
      <c r="B262" s="1073" t="s">
        <v>617</v>
      </c>
      <c r="C262" s="1073"/>
      <c r="D262" s="1073"/>
    </row>
    <row r="263" spans="1:4" ht="13" x14ac:dyDescent="0.25">
      <c r="A263" s="258" t="s">
        <v>604</v>
      </c>
      <c r="B263" s="85" t="s">
        <v>605</v>
      </c>
      <c r="C263" s="85"/>
      <c r="D263" s="85"/>
    </row>
    <row r="264" spans="1:4" ht="13" x14ac:dyDescent="0.25">
      <c r="A264" s="258" t="s">
        <v>608</v>
      </c>
      <c r="B264" s="85" t="s">
        <v>609</v>
      </c>
      <c r="C264" s="85"/>
      <c r="D264" s="85"/>
    </row>
    <row r="265" spans="1:4" ht="13" x14ac:dyDescent="0.25">
      <c r="A265" s="258" t="s">
        <v>606</v>
      </c>
      <c r="B265" s="85" t="s">
        <v>607</v>
      </c>
      <c r="C265" s="85"/>
      <c r="D265" s="85"/>
    </row>
    <row r="266" spans="1:4" ht="13" x14ac:dyDescent="0.25">
      <c r="A266" s="258" t="s">
        <v>610</v>
      </c>
      <c r="B266" s="117">
        <v>-1.4999999999999999E-2</v>
      </c>
      <c r="C266" s="115"/>
      <c r="D266" s="85"/>
    </row>
    <row r="267" spans="1:4" ht="13" x14ac:dyDescent="0.25">
      <c r="A267" s="394" t="s">
        <v>270</v>
      </c>
      <c r="B267" s="81"/>
      <c r="C267" s="81"/>
      <c r="D267" s="81"/>
    </row>
    <row r="268" spans="1:4" ht="13" x14ac:dyDescent="0.25">
      <c r="A268" s="258" t="s">
        <v>274</v>
      </c>
      <c r="B268" s="1074"/>
      <c r="C268" s="1074"/>
      <c r="D268" s="1074"/>
    </row>
    <row r="269" spans="1:4" ht="13" x14ac:dyDescent="0.25">
      <c r="A269" s="258"/>
      <c r="B269" s="99"/>
      <c r="C269" s="99"/>
      <c r="D269" s="99"/>
    </row>
    <row r="270" spans="1:4" ht="15.5" x14ac:dyDescent="0.35">
      <c r="A270" s="258" t="s">
        <v>594</v>
      </c>
      <c r="B270" s="1072" t="s">
        <v>657</v>
      </c>
      <c r="C270" s="1072"/>
      <c r="D270" s="1072"/>
    </row>
    <row r="271" spans="1:4" ht="13" x14ac:dyDescent="0.25">
      <c r="A271" s="258" t="s">
        <v>596</v>
      </c>
      <c r="B271" s="1073" t="s">
        <v>658</v>
      </c>
      <c r="C271" s="1073"/>
      <c r="D271" s="1073"/>
    </row>
    <row r="272" spans="1:4" ht="13" x14ac:dyDescent="0.25">
      <c r="A272" s="258" t="s">
        <v>598</v>
      </c>
      <c r="B272" s="1071" t="s">
        <v>615</v>
      </c>
      <c r="C272" s="1071"/>
      <c r="D272" s="1071"/>
    </row>
    <row r="273" spans="1:4" ht="13" x14ac:dyDescent="0.25">
      <c r="A273" s="258" t="s">
        <v>600</v>
      </c>
      <c r="B273" s="113" t="s">
        <v>616</v>
      </c>
      <c r="C273" s="113"/>
      <c r="D273" s="113"/>
    </row>
    <row r="274" spans="1:4" ht="13" x14ac:dyDescent="0.25">
      <c r="A274" s="258" t="s">
        <v>602</v>
      </c>
      <c r="B274" s="1073" t="s">
        <v>617</v>
      </c>
      <c r="C274" s="1073"/>
      <c r="D274" s="1073"/>
    </row>
    <row r="275" spans="1:4" ht="13" x14ac:dyDescent="0.25">
      <c r="A275" s="258" t="s">
        <v>604</v>
      </c>
      <c r="B275" s="85" t="s">
        <v>605</v>
      </c>
      <c r="C275" s="85"/>
      <c r="D275" s="85"/>
    </row>
    <row r="276" spans="1:4" ht="13" x14ac:dyDescent="0.25">
      <c r="A276" s="258" t="s">
        <v>608</v>
      </c>
      <c r="B276" s="85" t="s">
        <v>609</v>
      </c>
      <c r="C276" s="85"/>
      <c r="D276" s="85"/>
    </row>
    <row r="277" spans="1:4" ht="13" x14ac:dyDescent="0.25">
      <c r="A277" s="258" t="s">
        <v>606</v>
      </c>
      <c r="B277" s="85" t="s">
        <v>607</v>
      </c>
      <c r="C277" s="85"/>
      <c r="D277" s="85"/>
    </row>
    <row r="278" spans="1:4" ht="13" x14ac:dyDescent="0.25">
      <c r="A278" s="258" t="s">
        <v>610</v>
      </c>
      <c r="B278" s="116">
        <v>-0.02</v>
      </c>
      <c r="C278" s="115"/>
      <c r="D278" s="85"/>
    </row>
    <row r="279" spans="1:4" ht="13" x14ac:dyDescent="0.25">
      <c r="A279" s="394" t="s">
        <v>270</v>
      </c>
      <c r="B279" s="81"/>
      <c r="C279" s="81"/>
      <c r="D279" s="81"/>
    </row>
    <row r="280" spans="1:4" ht="13" x14ac:dyDescent="0.25">
      <c r="A280" s="258" t="s">
        <v>274</v>
      </c>
      <c r="B280" s="1074"/>
      <c r="C280" s="1074"/>
      <c r="D280" s="1074"/>
    </row>
    <row r="281" spans="1:4" ht="13" x14ac:dyDescent="0.25">
      <c r="A281" s="258"/>
      <c r="B281" s="99"/>
      <c r="C281" s="99"/>
      <c r="D281" s="99"/>
    </row>
    <row r="282" spans="1:4" ht="15.5" x14ac:dyDescent="0.35">
      <c r="A282" s="258" t="s">
        <v>594</v>
      </c>
      <c r="B282" s="1072" t="s">
        <v>659</v>
      </c>
      <c r="C282" s="1072"/>
      <c r="D282" s="1072"/>
    </row>
    <row r="283" spans="1:4" ht="13" x14ac:dyDescent="0.25">
      <c r="A283" s="258" t="s">
        <v>596</v>
      </c>
      <c r="B283" s="1073" t="s">
        <v>660</v>
      </c>
      <c r="C283" s="1073"/>
      <c r="D283" s="1073"/>
    </row>
    <row r="284" spans="1:4" ht="13" x14ac:dyDescent="0.25">
      <c r="A284" s="258" t="s">
        <v>598</v>
      </c>
      <c r="B284" s="1071" t="s">
        <v>615</v>
      </c>
      <c r="C284" s="1071"/>
      <c r="D284" s="1071"/>
    </row>
    <row r="285" spans="1:4" ht="13" x14ac:dyDescent="0.25">
      <c r="A285" s="258" t="s">
        <v>600</v>
      </c>
      <c r="B285" s="113" t="s">
        <v>616</v>
      </c>
      <c r="C285" s="113"/>
      <c r="D285" s="113"/>
    </row>
    <row r="286" spans="1:4" ht="13" x14ac:dyDescent="0.25">
      <c r="A286" s="258" t="s">
        <v>602</v>
      </c>
      <c r="B286" s="1073" t="s">
        <v>617</v>
      </c>
      <c r="C286" s="1073"/>
      <c r="D286" s="1073"/>
    </row>
    <row r="287" spans="1:4" ht="13" x14ac:dyDescent="0.25">
      <c r="A287" s="258" t="s">
        <v>604</v>
      </c>
      <c r="B287" s="85" t="s">
        <v>605</v>
      </c>
      <c r="C287" s="85"/>
      <c r="D287" s="85"/>
    </row>
    <row r="288" spans="1:4" ht="13" x14ac:dyDescent="0.25">
      <c r="A288" s="258" t="s">
        <v>608</v>
      </c>
      <c r="B288" s="85" t="s">
        <v>609</v>
      </c>
      <c r="C288" s="85"/>
      <c r="D288" s="85"/>
    </row>
    <row r="289" spans="1:4" ht="13" x14ac:dyDescent="0.25">
      <c r="A289" s="258" t="s">
        <v>606</v>
      </c>
      <c r="B289" s="85" t="s">
        <v>607</v>
      </c>
      <c r="C289" s="85"/>
      <c r="D289" s="85"/>
    </row>
    <row r="290" spans="1:4" ht="13" x14ac:dyDescent="0.25">
      <c r="A290" s="258" t="s">
        <v>610</v>
      </c>
      <c r="B290" s="117">
        <v>-2.5000000000000001E-2</v>
      </c>
      <c r="C290" s="115"/>
      <c r="D290" s="85"/>
    </row>
    <row r="291" spans="1:4" ht="13" x14ac:dyDescent="0.25">
      <c r="A291" s="394" t="s">
        <v>270</v>
      </c>
      <c r="B291" s="81"/>
      <c r="C291" s="81"/>
      <c r="D291" s="81"/>
    </row>
    <row r="292" spans="1:4" ht="13" x14ac:dyDescent="0.25">
      <c r="A292" s="258" t="s">
        <v>274</v>
      </c>
      <c r="B292" s="1074"/>
      <c r="C292" s="1074"/>
      <c r="D292" s="1074"/>
    </row>
    <row r="293" spans="1:4" x14ac:dyDescent="0.25">
      <c r="A293" s="259"/>
      <c r="B293" s="259"/>
      <c r="C293" s="259"/>
      <c r="D293" s="259"/>
    </row>
    <row r="294" spans="1:4" ht="15.5" x14ac:dyDescent="0.35">
      <c r="A294" s="258" t="s">
        <v>594</v>
      </c>
      <c r="B294" s="1072" t="s">
        <v>661</v>
      </c>
      <c r="C294" s="1072"/>
      <c r="D294" s="1072"/>
    </row>
    <row r="295" spans="1:4" ht="13" x14ac:dyDescent="0.25">
      <c r="A295" s="258" t="s">
        <v>596</v>
      </c>
      <c r="B295" s="1073" t="s">
        <v>662</v>
      </c>
      <c r="C295" s="1073"/>
      <c r="D295" s="1073"/>
    </row>
    <row r="296" spans="1:4" ht="13" x14ac:dyDescent="0.25">
      <c r="A296" s="258" t="s">
        <v>598</v>
      </c>
      <c r="B296" s="1071" t="s">
        <v>615</v>
      </c>
      <c r="C296" s="1071"/>
      <c r="D296" s="1071"/>
    </row>
    <row r="297" spans="1:4" ht="13" x14ac:dyDescent="0.25">
      <c r="A297" s="258" t="s">
        <v>600</v>
      </c>
      <c r="B297" s="113" t="s">
        <v>616</v>
      </c>
      <c r="C297" s="113"/>
      <c r="D297" s="113"/>
    </row>
    <row r="298" spans="1:4" ht="13" x14ac:dyDescent="0.25">
      <c r="A298" s="258" t="s">
        <v>602</v>
      </c>
      <c r="B298" s="1073" t="s">
        <v>617</v>
      </c>
      <c r="C298" s="1073"/>
      <c r="D298" s="1073"/>
    </row>
    <row r="299" spans="1:4" ht="13" x14ac:dyDescent="0.25">
      <c r="A299" s="258" t="s">
        <v>604</v>
      </c>
      <c r="B299" s="85" t="s">
        <v>605</v>
      </c>
      <c r="C299" s="85"/>
      <c r="D299" s="85"/>
    </row>
    <row r="300" spans="1:4" ht="13" x14ac:dyDescent="0.25">
      <c r="A300" s="258" t="s">
        <v>608</v>
      </c>
      <c r="B300" s="85" t="s">
        <v>609</v>
      </c>
      <c r="C300" s="85"/>
      <c r="D300" s="85"/>
    </row>
    <row r="301" spans="1:4" ht="13" x14ac:dyDescent="0.25">
      <c r="A301" s="258" t="s">
        <v>606</v>
      </c>
      <c r="B301" s="85" t="s">
        <v>607</v>
      </c>
      <c r="C301" s="85"/>
      <c r="D301" s="85"/>
    </row>
    <row r="302" spans="1:4" ht="13" x14ac:dyDescent="0.25">
      <c r="A302" s="258" t="s">
        <v>610</v>
      </c>
      <c r="B302" s="116">
        <v>-0.03</v>
      </c>
      <c r="C302" s="115"/>
      <c r="D302" s="85"/>
    </row>
    <row r="303" spans="1:4" ht="13" x14ac:dyDescent="0.25">
      <c r="A303" s="394" t="s">
        <v>270</v>
      </c>
      <c r="B303" s="81"/>
      <c r="C303" s="81"/>
      <c r="D303" s="81"/>
    </row>
    <row r="304" spans="1:4" ht="13" x14ac:dyDescent="0.25">
      <c r="A304" s="258" t="s">
        <v>274</v>
      </c>
      <c r="B304" s="1074"/>
      <c r="C304" s="1074"/>
      <c r="D304" s="1074"/>
    </row>
    <row r="305" spans="1:4" ht="13" x14ac:dyDescent="0.25">
      <c r="A305" s="258"/>
      <c r="B305" s="99"/>
      <c r="C305" s="99"/>
      <c r="D305" s="99"/>
    </row>
    <row r="306" spans="1:4" ht="15.5" x14ac:dyDescent="0.35">
      <c r="A306" s="258" t="s">
        <v>594</v>
      </c>
      <c r="B306" s="1072" t="s">
        <v>663</v>
      </c>
      <c r="C306" s="1072"/>
      <c r="D306" s="1072"/>
    </row>
    <row r="307" spans="1:4" ht="13" x14ac:dyDescent="0.25">
      <c r="A307" s="258" t="s">
        <v>596</v>
      </c>
      <c r="B307" s="1073" t="s">
        <v>664</v>
      </c>
      <c r="C307" s="1073"/>
      <c r="D307" s="1073"/>
    </row>
    <row r="308" spans="1:4" ht="13" x14ac:dyDescent="0.25">
      <c r="A308" s="258" t="s">
        <v>598</v>
      </c>
      <c r="B308" s="1071" t="s">
        <v>615</v>
      </c>
      <c r="C308" s="1071"/>
      <c r="D308" s="1071"/>
    </row>
    <row r="309" spans="1:4" ht="13" x14ac:dyDescent="0.25">
      <c r="A309" s="258" t="s">
        <v>600</v>
      </c>
      <c r="B309" s="113" t="s">
        <v>616</v>
      </c>
      <c r="C309" s="113"/>
      <c r="D309" s="113"/>
    </row>
    <row r="310" spans="1:4" ht="13" x14ac:dyDescent="0.25">
      <c r="A310" s="258" t="s">
        <v>602</v>
      </c>
      <c r="B310" s="1073" t="s">
        <v>617</v>
      </c>
      <c r="C310" s="1073"/>
      <c r="D310" s="1073"/>
    </row>
    <row r="311" spans="1:4" ht="13" x14ac:dyDescent="0.25">
      <c r="A311" s="258" t="s">
        <v>604</v>
      </c>
      <c r="B311" s="85" t="s">
        <v>605</v>
      </c>
      <c r="C311" s="85"/>
      <c r="D311" s="85"/>
    </row>
    <row r="312" spans="1:4" ht="13" x14ac:dyDescent="0.25">
      <c r="A312" s="258" t="s">
        <v>608</v>
      </c>
      <c r="B312" s="85" t="s">
        <v>609</v>
      </c>
      <c r="C312" s="85"/>
      <c r="D312" s="85"/>
    </row>
    <row r="313" spans="1:4" ht="13" x14ac:dyDescent="0.25">
      <c r="A313" s="258" t="s">
        <v>606</v>
      </c>
      <c r="B313" s="85" t="s">
        <v>607</v>
      </c>
      <c r="C313" s="85"/>
      <c r="D313" s="85"/>
    </row>
    <row r="314" spans="1:4" ht="13" x14ac:dyDescent="0.25">
      <c r="A314" s="258" t="s">
        <v>610</v>
      </c>
      <c r="B314" s="117">
        <v>-3.5000000000000003E-2</v>
      </c>
      <c r="C314" s="115"/>
      <c r="D314" s="85"/>
    </row>
    <row r="315" spans="1:4" ht="13" x14ac:dyDescent="0.25">
      <c r="A315" s="394" t="s">
        <v>270</v>
      </c>
      <c r="B315" s="81"/>
      <c r="C315" s="81"/>
      <c r="D315" s="81"/>
    </row>
    <row r="316" spans="1:4" ht="13" x14ac:dyDescent="0.25">
      <c r="A316" s="258" t="s">
        <v>274</v>
      </c>
      <c r="B316" s="1074"/>
      <c r="C316" s="1074"/>
      <c r="D316" s="1074"/>
    </row>
    <row r="317" spans="1:4" ht="13" x14ac:dyDescent="0.25">
      <c r="A317" s="258"/>
      <c r="B317" s="99"/>
      <c r="C317" s="99"/>
      <c r="D317" s="99"/>
    </row>
    <row r="318" spans="1:4" ht="15.5" x14ac:dyDescent="0.35">
      <c r="A318" s="258" t="s">
        <v>594</v>
      </c>
      <c r="B318" s="1072" t="s">
        <v>665</v>
      </c>
      <c r="C318" s="1072"/>
      <c r="D318" s="1072"/>
    </row>
    <row r="319" spans="1:4" ht="13" x14ac:dyDescent="0.25">
      <c r="A319" s="258" t="s">
        <v>596</v>
      </c>
      <c r="B319" s="1073" t="s">
        <v>666</v>
      </c>
      <c r="C319" s="1073"/>
      <c r="D319" s="1073"/>
    </row>
    <row r="320" spans="1:4" ht="13" x14ac:dyDescent="0.25">
      <c r="A320" s="258" t="s">
        <v>598</v>
      </c>
      <c r="B320" s="1071" t="s">
        <v>615</v>
      </c>
      <c r="C320" s="1071"/>
      <c r="D320" s="1071"/>
    </row>
    <row r="321" spans="1:4" ht="13" x14ac:dyDescent="0.25">
      <c r="A321" s="258" t="s">
        <v>600</v>
      </c>
      <c r="B321" s="113" t="s">
        <v>616</v>
      </c>
      <c r="C321" s="113"/>
      <c r="D321" s="113"/>
    </row>
    <row r="322" spans="1:4" ht="13" x14ac:dyDescent="0.25">
      <c r="A322" s="258" t="s">
        <v>602</v>
      </c>
      <c r="B322" s="1073" t="s">
        <v>617</v>
      </c>
      <c r="C322" s="1073"/>
      <c r="D322" s="1073"/>
    </row>
    <row r="323" spans="1:4" ht="13" x14ac:dyDescent="0.25">
      <c r="A323" s="258" t="s">
        <v>604</v>
      </c>
      <c r="B323" s="85" t="s">
        <v>605</v>
      </c>
      <c r="C323" s="85"/>
      <c r="D323" s="85"/>
    </row>
    <row r="324" spans="1:4" ht="13" x14ac:dyDescent="0.25">
      <c r="A324" s="258" t="s">
        <v>608</v>
      </c>
      <c r="B324" s="85" t="s">
        <v>609</v>
      </c>
      <c r="C324" s="85"/>
      <c r="D324" s="85"/>
    </row>
    <row r="325" spans="1:4" ht="13" x14ac:dyDescent="0.25">
      <c r="A325" s="258" t="s">
        <v>606</v>
      </c>
      <c r="B325" s="85" t="s">
        <v>607</v>
      </c>
      <c r="C325" s="85"/>
      <c r="D325" s="85"/>
    </row>
    <row r="326" spans="1:4" ht="13" x14ac:dyDescent="0.25">
      <c r="A326" s="258" t="s">
        <v>610</v>
      </c>
      <c r="B326" s="116">
        <v>-0.04</v>
      </c>
      <c r="C326" s="115"/>
      <c r="D326" s="85"/>
    </row>
    <row r="327" spans="1:4" ht="13" x14ac:dyDescent="0.25">
      <c r="A327" s="394" t="s">
        <v>270</v>
      </c>
      <c r="B327" s="81"/>
      <c r="C327" s="81"/>
      <c r="D327" s="81"/>
    </row>
    <row r="328" spans="1:4" ht="13" x14ac:dyDescent="0.25">
      <c r="A328" s="258" t="s">
        <v>274</v>
      </c>
      <c r="B328" s="1074"/>
      <c r="C328" s="1074"/>
      <c r="D328" s="1074"/>
    </row>
    <row r="329" spans="1:4" ht="13" x14ac:dyDescent="0.25">
      <c r="A329" s="258"/>
      <c r="B329" s="99"/>
      <c r="C329" s="99"/>
      <c r="D329" s="99"/>
    </row>
    <row r="330" spans="1:4" ht="15.5" x14ac:dyDescent="0.35">
      <c r="A330" s="258" t="s">
        <v>594</v>
      </c>
      <c r="B330" s="1072" t="s">
        <v>667</v>
      </c>
      <c r="C330" s="1072"/>
      <c r="D330" s="1072"/>
    </row>
    <row r="331" spans="1:4" ht="13" x14ac:dyDescent="0.25">
      <c r="A331" s="258" t="s">
        <v>596</v>
      </c>
      <c r="B331" s="1073" t="s">
        <v>668</v>
      </c>
      <c r="C331" s="1073"/>
      <c r="D331" s="1073"/>
    </row>
    <row r="332" spans="1:4" ht="13" x14ac:dyDescent="0.25">
      <c r="A332" s="258" t="s">
        <v>598</v>
      </c>
      <c r="B332" s="1071" t="s">
        <v>615</v>
      </c>
      <c r="C332" s="1071"/>
      <c r="D332" s="1071"/>
    </row>
    <row r="333" spans="1:4" ht="13" x14ac:dyDescent="0.25">
      <c r="A333" s="258" t="s">
        <v>600</v>
      </c>
      <c r="B333" s="113" t="s">
        <v>616</v>
      </c>
      <c r="C333" s="113"/>
      <c r="D333" s="113"/>
    </row>
    <row r="334" spans="1:4" ht="13" x14ac:dyDescent="0.25">
      <c r="A334" s="258" t="s">
        <v>602</v>
      </c>
      <c r="B334" s="1073" t="s">
        <v>617</v>
      </c>
      <c r="C334" s="1073"/>
      <c r="D334" s="1073"/>
    </row>
    <row r="335" spans="1:4" ht="13" x14ac:dyDescent="0.25">
      <c r="A335" s="258" t="s">
        <v>604</v>
      </c>
      <c r="B335" s="85" t="s">
        <v>605</v>
      </c>
      <c r="C335" s="85"/>
      <c r="D335" s="85"/>
    </row>
    <row r="336" spans="1:4" ht="13" x14ac:dyDescent="0.25">
      <c r="A336" s="258" t="s">
        <v>608</v>
      </c>
      <c r="B336" s="85" t="s">
        <v>609</v>
      </c>
      <c r="C336" s="85"/>
      <c r="D336" s="85"/>
    </row>
    <row r="337" spans="1:4" ht="13" x14ac:dyDescent="0.25">
      <c r="A337" s="258" t="s">
        <v>606</v>
      </c>
      <c r="B337" s="85" t="s">
        <v>607</v>
      </c>
      <c r="C337" s="85"/>
      <c r="D337" s="85"/>
    </row>
    <row r="338" spans="1:4" ht="13" x14ac:dyDescent="0.25">
      <c r="A338" s="258" t="s">
        <v>610</v>
      </c>
      <c r="B338" s="117">
        <v>-4.4999999999999998E-2</v>
      </c>
      <c r="C338" s="115"/>
      <c r="D338" s="85"/>
    </row>
    <row r="339" spans="1:4" ht="13" x14ac:dyDescent="0.25">
      <c r="A339" s="394" t="s">
        <v>270</v>
      </c>
      <c r="B339" s="81"/>
      <c r="C339" s="81"/>
      <c r="D339" s="81"/>
    </row>
    <row r="340" spans="1:4" ht="13" x14ac:dyDescent="0.25">
      <c r="A340" s="258" t="s">
        <v>274</v>
      </c>
      <c r="B340" s="1074"/>
      <c r="C340" s="1074"/>
      <c r="D340" s="1074"/>
    </row>
    <row r="341" spans="1:4" ht="13" x14ac:dyDescent="0.25">
      <c r="A341" s="258"/>
      <c r="B341" s="99"/>
      <c r="C341" s="99"/>
      <c r="D341" s="99"/>
    </row>
    <row r="342" spans="1:4" ht="15.5" x14ac:dyDescent="0.35">
      <c r="A342" s="258" t="s">
        <v>594</v>
      </c>
      <c r="B342" s="1072" t="s">
        <v>669</v>
      </c>
      <c r="C342" s="1072"/>
      <c r="D342" s="1072"/>
    </row>
    <row r="343" spans="1:4" ht="13" x14ac:dyDescent="0.25">
      <c r="A343" s="258" t="s">
        <v>596</v>
      </c>
      <c r="B343" s="1073" t="s">
        <v>670</v>
      </c>
      <c r="C343" s="1073"/>
      <c r="D343" s="1073"/>
    </row>
    <row r="344" spans="1:4" ht="13" x14ac:dyDescent="0.25">
      <c r="A344" s="258" t="s">
        <v>598</v>
      </c>
      <c r="B344" s="1071" t="s">
        <v>615</v>
      </c>
      <c r="C344" s="1071"/>
      <c r="D344" s="1071"/>
    </row>
    <row r="345" spans="1:4" ht="13" x14ac:dyDescent="0.25">
      <c r="A345" s="258" t="s">
        <v>600</v>
      </c>
      <c r="B345" s="113" t="s">
        <v>616</v>
      </c>
      <c r="C345" s="113"/>
      <c r="D345" s="113"/>
    </row>
    <row r="346" spans="1:4" ht="13" x14ac:dyDescent="0.25">
      <c r="A346" s="258" t="s">
        <v>602</v>
      </c>
      <c r="B346" s="1073" t="s">
        <v>617</v>
      </c>
      <c r="C346" s="1073"/>
      <c r="D346" s="1073"/>
    </row>
    <row r="347" spans="1:4" ht="13" x14ac:dyDescent="0.25">
      <c r="A347" s="258" t="s">
        <v>604</v>
      </c>
      <c r="B347" s="85" t="s">
        <v>605</v>
      </c>
      <c r="C347" s="85"/>
      <c r="D347" s="85"/>
    </row>
    <row r="348" spans="1:4" ht="13" x14ac:dyDescent="0.25">
      <c r="A348" s="258" t="s">
        <v>608</v>
      </c>
      <c r="B348" s="85" t="s">
        <v>609</v>
      </c>
      <c r="C348" s="85"/>
      <c r="D348" s="85"/>
    </row>
    <row r="349" spans="1:4" ht="13" x14ac:dyDescent="0.25">
      <c r="A349" s="258" t="s">
        <v>606</v>
      </c>
      <c r="B349" s="85" t="s">
        <v>607</v>
      </c>
      <c r="C349" s="85"/>
      <c r="D349" s="85"/>
    </row>
    <row r="350" spans="1:4" ht="13" x14ac:dyDescent="0.25">
      <c r="A350" s="258" t="s">
        <v>610</v>
      </c>
      <c r="B350" s="116">
        <v>-0.05</v>
      </c>
      <c r="C350" s="115"/>
      <c r="D350" s="85"/>
    </row>
    <row r="351" spans="1:4" ht="13" x14ac:dyDescent="0.25">
      <c r="A351" s="394" t="s">
        <v>270</v>
      </c>
      <c r="B351" s="81"/>
      <c r="C351" s="81"/>
      <c r="D351" s="81"/>
    </row>
    <row r="352" spans="1:4" ht="13" x14ac:dyDescent="0.25">
      <c r="A352" s="258" t="s">
        <v>274</v>
      </c>
      <c r="B352" s="1074"/>
      <c r="C352" s="1074"/>
      <c r="D352" s="1074"/>
    </row>
    <row r="353" spans="1:4" s="67" customFormat="1" x14ac:dyDescent="0.25">
      <c r="A353" s="81"/>
      <c r="B353" s="81"/>
      <c r="C353" s="81"/>
      <c r="D353" s="81"/>
    </row>
    <row r="354" spans="1:4" s="67" customFormat="1" ht="15.75" customHeight="1" x14ac:dyDescent="0.35">
      <c r="A354" s="258" t="s">
        <v>594</v>
      </c>
      <c r="B354" s="1072" t="s">
        <v>671</v>
      </c>
      <c r="C354" s="1072"/>
      <c r="D354" s="1072"/>
    </row>
    <row r="355" spans="1:4" s="67" customFormat="1" ht="13" x14ac:dyDescent="0.25">
      <c r="A355" s="258" t="s">
        <v>596</v>
      </c>
      <c r="B355" s="1073" t="s">
        <v>672</v>
      </c>
      <c r="C355" s="1073"/>
      <c r="D355" s="1073"/>
    </row>
    <row r="356" spans="1:4" s="67" customFormat="1" ht="13" x14ac:dyDescent="0.25">
      <c r="A356" s="258" t="s">
        <v>598</v>
      </c>
      <c r="B356" s="1071" t="s">
        <v>615</v>
      </c>
      <c r="C356" s="1071"/>
      <c r="D356" s="1071"/>
    </row>
    <row r="357" spans="1:4" s="67" customFormat="1" ht="13" x14ac:dyDescent="0.25">
      <c r="A357" s="258" t="s">
        <v>600</v>
      </c>
      <c r="B357" s="113" t="s">
        <v>673</v>
      </c>
      <c r="C357" s="113"/>
      <c r="D357" s="113"/>
    </row>
    <row r="358" spans="1:4" s="67" customFormat="1" ht="13" x14ac:dyDescent="0.25">
      <c r="A358" s="258" t="s">
        <v>602</v>
      </c>
      <c r="B358" s="1073" t="s">
        <v>617</v>
      </c>
      <c r="C358" s="1073"/>
      <c r="D358" s="1073"/>
    </row>
    <row r="359" spans="1:4" s="67" customFormat="1" ht="13" x14ac:dyDescent="0.25">
      <c r="A359" s="258" t="s">
        <v>604</v>
      </c>
      <c r="B359" s="85" t="s">
        <v>605</v>
      </c>
      <c r="C359" s="85"/>
      <c r="D359" s="85"/>
    </row>
    <row r="360" spans="1:4" s="67" customFormat="1" ht="13" x14ac:dyDescent="0.25">
      <c r="A360" s="258" t="s">
        <v>608</v>
      </c>
      <c r="B360" s="85" t="s">
        <v>609</v>
      </c>
      <c r="C360" s="85"/>
      <c r="D360" s="85"/>
    </row>
    <row r="361" spans="1:4" s="67" customFormat="1" ht="13" x14ac:dyDescent="0.25">
      <c r="A361" s="258" t="s">
        <v>606</v>
      </c>
      <c r="B361" s="85" t="s">
        <v>607</v>
      </c>
      <c r="C361" s="85"/>
      <c r="D361" s="85"/>
    </row>
    <row r="362" spans="1:4" s="67" customFormat="1" ht="13" x14ac:dyDescent="0.25">
      <c r="A362" s="258" t="s">
        <v>610</v>
      </c>
      <c r="B362" s="114">
        <v>0</v>
      </c>
      <c r="C362" s="115"/>
      <c r="D362" s="85"/>
    </row>
    <row r="363" spans="1:4" s="67" customFormat="1" ht="13" x14ac:dyDescent="0.25">
      <c r="A363" s="394" t="s">
        <v>270</v>
      </c>
      <c r="B363" s="1074" t="s">
        <v>674</v>
      </c>
      <c r="C363" s="1074"/>
      <c r="D363" s="1074"/>
    </row>
    <row r="364" spans="1:4" s="67" customFormat="1" ht="13" x14ac:dyDescent="0.25">
      <c r="A364" s="395" t="s">
        <v>274</v>
      </c>
      <c r="B364" s="1074" t="s">
        <v>675</v>
      </c>
      <c r="C364" s="1074"/>
      <c r="D364" s="1074"/>
    </row>
    <row r="365" spans="1:4" x14ac:dyDescent="0.25">
      <c r="A365" s="81"/>
      <c r="B365" s="81"/>
      <c r="C365" s="81"/>
      <c r="D365" s="81"/>
    </row>
    <row r="366" spans="1:4" ht="15.75" customHeight="1" x14ac:dyDescent="0.35">
      <c r="A366" s="258" t="s">
        <v>594</v>
      </c>
      <c r="B366" s="1072" t="s">
        <v>676</v>
      </c>
      <c r="C366" s="1072"/>
      <c r="D366" s="1072"/>
    </row>
    <row r="367" spans="1:4" ht="13" x14ac:dyDescent="0.25">
      <c r="A367" s="258" t="s">
        <v>596</v>
      </c>
      <c r="B367" s="1073" t="s">
        <v>677</v>
      </c>
      <c r="C367" s="1073"/>
      <c r="D367" s="1073"/>
    </row>
    <row r="368" spans="1:4" ht="13" x14ac:dyDescent="0.25">
      <c r="A368" s="258" t="s">
        <v>598</v>
      </c>
      <c r="B368" s="1071" t="s">
        <v>615</v>
      </c>
      <c r="C368" s="1071"/>
      <c r="D368" s="1071"/>
    </row>
    <row r="369" spans="1:4" ht="13" x14ac:dyDescent="0.25">
      <c r="A369" s="258" t="s">
        <v>600</v>
      </c>
      <c r="B369" s="113" t="s">
        <v>673</v>
      </c>
      <c r="C369" s="113"/>
      <c r="D369" s="113"/>
    </row>
    <row r="370" spans="1:4" ht="13" x14ac:dyDescent="0.25">
      <c r="A370" s="258" t="s">
        <v>602</v>
      </c>
      <c r="B370" s="1073" t="s">
        <v>617</v>
      </c>
      <c r="C370" s="1073"/>
      <c r="D370" s="1073"/>
    </row>
    <row r="371" spans="1:4" ht="13" x14ac:dyDescent="0.25">
      <c r="A371" s="258" t="s">
        <v>604</v>
      </c>
      <c r="B371" s="85" t="s">
        <v>605</v>
      </c>
      <c r="C371" s="85"/>
      <c r="D371" s="85"/>
    </row>
    <row r="372" spans="1:4" ht="13" x14ac:dyDescent="0.25">
      <c r="A372" s="258" t="s">
        <v>608</v>
      </c>
      <c r="B372" s="85" t="s">
        <v>609</v>
      </c>
      <c r="C372" s="85"/>
      <c r="D372" s="85"/>
    </row>
    <row r="373" spans="1:4" ht="13" x14ac:dyDescent="0.25">
      <c r="A373" s="258" t="s">
        <v>606</v>
      </c>
      <c r="B373" s="85" t="s">
        <v>607</v>
      </c>
      <c r="C373" s="85"/>
      <c r="D373" s="85"/>
    </row>
    <row r="374" spans="1:4" ht="13" x14ac:dyDescent="0.25">
      <c r="A374" s="258" t="s">
        <v>610</v>
      </c>
      <c r="B374" s="114">
        <v>0</v>
      </c>
      <c r="C374" s="115"/>
      <c r="D374" s="85"/>
    </row>
    <row r="375" spans="1:4" ht="13" x14ac:dyDescent="0.25">
      <c r="A375" s="394" t="s">
        <v>270</v>
      </c>
      <c r="B375" s="1074" t="s">
        <v>674</v>
      </c>
      <c r="C375" s="1074"/>
      <c r="D375" s="1074"/>
    </row>
    <row r="376" spans="1:4" ht="14.25" customHeight="1" x14ac:dyDescent="0.25">
      <c r="A376" s="395" t="s">
        <v>274</v>
      </c>
      <c r="B376" s="1074" t="s">
        <v>678</v>
      </c>
      <c r="C376" s="1074"/>
      <c r="D376" s="1074"/>
    </row>
    <row r="377" spans="1:4" ht="13" x14ac:dyDescent="0.25">
      <c r="A377" s="395"/>
      <c r="B377" s="99"/>
      <c r="C377" s="99"/>
      <c r="D377" s="99"/>
    </row>
    <row r="378" spans="1:4" s="81" customFormat="1" ht="14.25" customHeight="1" x14ac:dyDescent="0.35">
      <c r="A378" s="258" t="s">
        <v>594</v>
      </c>
      <c r="B378" s="1072" t="s">
        <v>679</v>
      </c>
      <c r="C378" s="1072"/>
      <c r="D378" s="1072"/>
    </row>
    <row r="379" spans="1:4" s="81" customFormat="1" ht="14.25" customHeight="1" x14ac:dyDescent="0.25">
      <c r="A379" s="258" t="s">
        <v>596</v>
      </c>
      <c r="B379" s="1073" t="s">
        <v>680</v>
      </c>
      <c r="C379" s="1073"/>
      <c r="D379" s="1073"/>
    </row>
    <row r="380" spans="1:4" s="81" customFormat="1" ht="14.25" customHeight="1" x14ac:dyDescent="0.25">
      <c r="A380" s="258" t="s">
        <v>598</v>
      </c>
      <c r="B380" s="1071" t="s">
        <v>615</v>
      </c>
      <c r="C380" s="1071"/>
      <c r="D380" s="1071"/>
    </row>
    <row r="381" spans="1:4" s="81" customFormat="1" ht="14.25" customHeight="1" x14ac:dyDescent="0.25">
      <c r="A381" s="258" t="s">
        <v>600</v>
      </c>
      <c r="B381" s="113" t="s">
        <v>673</v>
      </c>
      <c r="C381" s="113"/>
      <c r="D381" s="113"/>
    </row>
    <row r="382" spans="1:4" s="81" customFormat="1" ht="14.25" customHeight="1" x14ac:dyDescent="0.25">
      <c r="A382" s="258" t="s">
        <v>602</v>
      </c>
      <c r="B382" s="1073" t="s">
        <v>681</v>
      </c>
      <c r="C382" s="1073"/>
      <c r="D382" s="1073"/>
    </row>
    <row r="383" spans="1:4" s="81" customFormat="1" ht="14.25" customHeight="1" x14ac:dyDescent="0.25">
      <c r="A383" s="258" t="s">
        <v>604</v>
      </c>
      <c r="B383" s="85" t="s">
        <v>605</v>
      </c>
      <c r="C383" s="85"/>
      <c r="D383" s="85"/>
    </row>
    <row r="384" spans="1:4" s="81" customFormat="1" ht="14.25" customHeight="1" x14ac:dyDescent="0.25">
      <c r="A384" s="258" t="s">
        <v>608</v>
      </c>
      <c r="B384" s="85" t="s">
        <v>579</v>
      </c>
      <c r="C384" s="85"/>
      <c r="D384" s="85"/>
    </row>
    <row r="385" spans="1:4" s="81" customFormat="1" ht="14.25" customHeight="1" x14ac:dyDescent="0.25">
      <c r="A385" s="258" t="s">
        <v>606</v>
      </c>
      <c r="B385" s="85" t="s">
        <v>607</v>
      </c>
      <c r="C385" s="85"/>
      <c r="D385" s="85"/>
    </row>
    <row r="386" spans="1:4" s="81" customFormat="1" ht="14.25" customHeight="1" x14ac:dyDescent="0.25">
      <c r="A386" s="258" t="s">
        <v>610</v>
      </c>
      <c r="B386" s="114">
        <v>0</v>
      </c>
      <c r="C386" s="115"/>
      <c r="D386" s="85"/>
    </row>
    <row r="387" spans="1:4" s="81" customFormat="1" ht="14.25" customHeight="1" x14ac:dyDescent="0.25">
      <c r="A387" s="394" t="s">
        <v>270</v>
      </c>
      <c r="B387" s="1074" t="s">
        <v>674</v>
      </c>
      <c r="C387" s="1074"/>
      <c r="D387" s="1074"/>
    </row>
    <row r="388" spans="1:4" s="81" customFormat="1" ht="14.25" customHeight="1" x14ac:dyDescent="0.25">
      <c r="A388" s="395" t="s">
        <v>274</v>
      </c>
      <c r="B388" s="1074" t="s">
        <v>682</v>
      </c>
      <c r="C388" s="1074"/>
      <c r="D388" s="1074"/>
    </row>
    <row r="389" spans="1:4" s="261" customFormat="1" ht="14.25" customHeight="1" x14ac:dyDescent="0.25">
      <c r="A389" s="396"/>
      <c r="B389" s="260"/>
      <c r="C389" s="260"/>
      <c r="D389" s="260"/>
    </row>
    <row r="390" spans="1:4" s="81" customFormat="1" ht="14.25" customHeight="1" x14ac:dyDescent="0.35">
      <c r="A390" s="258" t="s">
        <v>594</v>
      </c>
      <c r="B390" s="1072" t="s">
        <v>683</v>
      </c>
      <c r="C390" s="1072"/>
      <c r="D390" s="1072"/>
    </row>
    <row r="391" spans="1:4" s="81" customFormat="1" ht="14.25" customHeight="1" x14ac:dyDescent="0.25">
      <c r="A391" s="258" t="s">
        <v>596</v>
      </c>
      <c r="B391" s="1073" t="s">
        <v>684</v>
      </c>
      <c r="C391" s="1073"/>
      <c r="D391" s="1073"/>
    </row>
    <row r="392" spans="1:4" s="81" customFormat="1" ht="14.25" customHeight="1" x14ac:dyDescent="0.25">
      <c r="A392" s="258" t="s">
        <v>598</v>
      </c>
      <c r="B392" s="1071" t="s">
        <v>615</v>
      </c>
      <c r="C392" s="1071"/>
      <c r="D392" s="1071"/>
    </row>
    <row r="393" spans="1:4" s="81" customFormat="1" ht="14.25" customHeight="1" x14ac:dyDescent="0.25">
      <c r="A393" s="258" t="s">
        <v>600</v>
      </c>
      <c r="B393" s="113" t="s">
        <v>673</v>
      </c>
      <c r="C393" s="113"/>
      <c r="D393" s="113"/>
    </row>
    <row r="394" spans="1:4" s="81" customFormat="1" ht="14.25" customHeight="1" x14ac:dyDescent="0.25">
      <c r="A394" s="258" t="s">
        <v>602</v>
      </c>
      <c r="B394" s="1073" t="s">
        <v>681</v>
      </c>
      <c r="C394" s="1073"/>
      <c r="D394" s="1073"/>
    </row>
    <row r="395" spans="1:4" s="81" customFormat="1" ht="14.25" customHeight="1" x14ac:dyDescent="0.25">
      <c r="A395" s="258" t="s">
        <v>604</v>
      </c>
      <c r="B395" s="85" t="s">
        <v>605</v>
      </c>
      <c r="C395" s="85"/>
      <c r="D395" s="85"/>
    </row>
    <row r="396" spans="1:4" s="81" customFormat="1" ht="14.25" customHeight="1" x14ac:dyDescent="0.25">
      <c r="A396" s="258" t="s">
        <v>608</v>
      </c>
      <c r="B396" s="85" t="s">
        <v>579</v>
      </c>
      <c r="C396" s="85"/>
      <c r="D396" s="85"/>
    </row>
    <row r="397" spans="1:4" s="81" customFormat="1" ht="14.25" customHeight="1" x14ac:dyDescent="0.25">
      <c r="A397" s="258" t="s">
        <v>606</v>
      </c>
      <c r="B397" s="85" t="s">
        <v>607</v>
      </c>
      <c r="C397" s="85"/>
      <c r="D397" s="85"/>
    </row>
    <row r="398" spans="1:4" s="81" customFormat="1" ht="14.25" customHeight="1" x14ac:dyDescent="0.25">
      <c r="A398" s="258" t="s">
        <v>610</v>
      </c>
      <c r="B398" s="114">
        <v>0</v>
      </c>
      <c r="C398" s="115"/>
      <c r="D398" s="85"/>
    </row>
    <row r="399" spans="1:4" s="81" customFormat="1" ht="14.25" customHeight="1" x14ac:dyDescent="0.25">
      <c r="A399" s="394" t="s">
        <v>270</v>
      </c>
      <c r="B399" s="1074" t="s">
        <v>674</v>
      </c>
      <c r="C399" s="1074"/>
      <c r="D399" s="1074"/>
    </row>
    <row r="400" spans="1:4" s="81" customFormat="1" ht="14.25" customHeight="1" x14ac:dyDescent="0.25">
      <c r="A400" s="395" t="s">
        <v>274</v>
      </c>
      <c r="B400" s="1074" t="s">
        <v>685</v>
      </c>
      <c r="C400" s="1074"/>
      <c r="D400" s="1074"/>
    </row>
    <row r="401" spans="1:4" s="261" customFormat="1" ht="14.25" customHeight="1" x14ac:dyDescent="0.25">
      <c r="A401" s="396"/>
      <c r="B401" s="260"/>
      <c r="C401" s="260"/>
      <c r="D401" s="260"/>
    </row>
    <row r="402" spans="1:4" s="81" customFormat="1" ht="14.25" customHeight="1" x14ac:dyDescent="0.35">
      <c r="A402" s="258" t="s">
        <v>594</v>
      </c>
      <c r="B402" s="1072" t="s">
        <v>686</v>
      </c>
      <c r="C402" s="1072"/>
      <c r="D402" s="1072"/>
    </row>
    <row r="403" spans="1:4" s="81" customFormat="1" ht="14.25" customHeight="1" x14ac:dyDescent="0.25">
      <c r="A403" s="258" t="s">
        <v>596</v>
      </c>
      <c r="B403" s="1073" t="s">
        <v>687</v>
      </c>
      <c r="C403" s="1073"/>
      <c r="D403" s="1073"/>
    </row>
    <row r="404" spans="1:4" s="81" customFormat="1" ht="14.25" customHeight="1" x14ac:dyDescent="0.25">
      <c r="A404" s="258" t="s">
        <v>598</v>
      </c>
      <c r="B404" s="1071" t="s">
        <v>599</v>
      </c>
      <c r="C404" s="1071"/>
      <c r="D404" s="1071"/>
    </row>
    <row r="405" spans="1:4" s="81" customFormat="1" ht="14.25" customHeight="1" x14ac:dyDescent="0.25">
      <c r="A405" s="258" t="s">
        <v>600</v>
      </c>
      <c r="B405" s="113" t="s">
        <v>601</v>
      </c>
      <c r="C405" s="113"/>
      <c r="D405" s="113"/>
    </row>
    <row r="406" spans="1:4" s="81" customFormat="1" ht="14.25" customHeight="1" x14ac:dyDescent="0.25">
      <c r="A406" s="258" t="s">
        <v>602</v>
      </c>
      <c r="B406" s="1073" t="s">
        <v>681</v>
      </c>
      <c r="C406" s="1073"/>
      <c r="D406" s="1073"/>
    </row>
    <row r="407" spans="1:4" s="81" customFormat="1" ht="14.25" customHeight="1" x14ac:dyDescent="0.25">
      <c r="A407" s="258" t="s">
        <v>604</v>
      </c>
      <c r="B407" s="85" t="s">
        <v>605</v>
      </c>
      <c r="C407" s="85"/>
      <c r="D407" s="85"/>
    </row>
    <row r="408" spans="1:4" s="81" customFormat="1" ht="14.25" customHeight="1" x14ac:dyDescent="0.25">
      <c r="A408" s="258" t="s">
        <v>608</v>
      </c>
      <c r="B408" s="85" t="s">
        <v>579</v>
      </c>
      <c r="C408" s="85"/>
      <c r="D408" s="85"/>
    </row>
    <row r="409" spans="1:4" s="81" customFormat="1" ht="14.25" customHeight="1" x14ac:dyDescent="0.25">
      <c r="A409" s="258" t="s">
        <v>606</v>
      </c>
      <c r="B409" s="85" t="s">
        <v>607</v>
      </c>
      <c r="C409" s="85"/>
      <c r="D409" s="85"/>
    </row>
    <row r="410" spans="1:4" s="81" customFormat="1" ht="14.25" customHeight="1" x14ac:dyDescent="0.25">
      <c r="A410" s="258" t="s">
        <v>610</v>
      </c>
      <c r="B410" s="114">
        <v>0</v>
      </c>
      <c r="C410" s="115"/>
      <c r="D410" s="85"/>
    </row>
    <row r="411" spans="1:4" s="81" customFormat="1" ht="14.25" customHeight="1" x14ac:dyDescent="0.25">
      <c r="A411" s="394" t="s">
        <v>270</v>
      </c>
      <c r="B411" s="1074" t="s">
        <v>674</v>
      </c>
      <c r="C411" s="1074"/>
      <c r="D411" s="1074"/>
    </row>
    <row r="412" spans="1:4" s="81" customFormat="1" ht="14.25" customHeight="1" x14ac:dyDescent="0.25">
      <c r="A412" s="395" t="s">
        <v>274</v>
      </c>
      <c r="B412" s="1074"/>
      <c r="C412" s="1074"/>
      <c r="D412" s="1074"/>
    </row>
    <row r="413" spans="1:4" ht="13" x14ac:dyDescent="0.25">
      <c r="A413" s="395"/>
      <c r="B413" s="99"/>
      <c r="C413" s="99"/>
      <c r="D413" s="99"/>
    </row>
    <row r="414" spans="1:4" s="81" customFormat="1" ht="14.25" customHeight="1" x14ac:dyDescent="0.35">
      <c r="A414" s="258" t="s">
        <v>594</v>
      </c>
      <c r="B414" s="1072" t="s">
        <v>688</v>
      </c>
      <c r="C414" s="1072"/>
      <c r="D414" s="1072"/>
    </row>
    <row r="415" spans="1:4" s="81" customFormat="1" ht="14.25" customHeight="1" x14ac:dyDescent="0.25">
      <c r="A415" s="258" t="s">
        <v>596</v>
      </c>
      <c r="B415" s="1073" t="s">
        <v>689</v>
      </c>
      <c r="C415" s="1073"/>
      <c r="D415" s="1073"/>
    </row>
    <row r="416" spans="1:4" s="81" customFormat="1" ht="14.25" customHeight="1" x14ac:dyDescent="0.25">
      <c r="A416" s="258" t="s">
        <v>598</v>
      </c>
      <c r="B416" s="1071" t="s">
        <v>599</v>
      </c>
      <c r="C416" s="1071"/>
      <c r="D416" s="1071"/>
    </row>
    <row r="417" spans="1:4" s="81" customFormat="1" ht="14.25" customHeight="1" x14ac:dyDescent="0.25">
      <c r="A417" s="258" t="s">
        <v>600</v>
      </c>
      <c r="B417" s="113" t="s">
        <v>690</v>
      </c>
      <c r="C417" s="113"/>
      <c r="D417" s="113"/>
    </row>
    <row r="418" spans="1:4" s="81" customFormat="1" ht="14.25" customHeight="1" x14ac:dyDescent="0.25">
      <c r="A418" s="258" t="s">
        <v>602</v>
      </c>
      <c r="B418" s="1073" t="s">
        <v>681</v>
      </c>
      <c r="C418" s="1073"/>
      <c r="D418" s="1073"/>
    </row>
    <row r="419" spans="1:4" s="81" customFormat="1" ht="14.25" customHeight="1" x14ac:dyDescent="0.25">
      <c r="A419" s="258" t="s">
        <v>604</v>
      </c>
      <c r="B419" s="85" t="s">
        <v>605</v>
      </c>
      <c r="C419" s="85"/>
      <c r="D419" s="85"/>
    </row>
    <row r="420" spans="1:4" s="81" customFormat="1" ht="14.25" customHeight="1" x14ac:dyDescent="0.25">
      <c r="A420" s="258" t="s">
        <v>608</v>
      </c>
      <c r="B420" s="85" t="s">
        <v>579</v>
      </c>
      <c r="C420" s="85"/>
      <c r="D420" s="85"/>
    </row>
    <row r="421" spans="1:4" s="81" customFormat="1" ht="14.25" customHeight="1" x14ac:dyDescent="0.25">
      <c r="A421" s="258" t="s">
        <v>606</v>
      </c>
      <c r="B421" s="85" t="s">
        <v>607</v>
      </c>
      <c r="C421" s="85"/>
      <c r="D421" s="85"/>
    </row>
    <row r="422" spans="1:4" s="81" customFormat="1" ht="14.25" customHeight="1" x14ac:dyDescent="0.25">
      <c r="A422" s="258" t="s">
        <v>610</v>
      </c>
      <c r="B422" s="114">
        <v>0.25</v>
      </c>
      <c r="C422" s="115"/>
      <c r="D422" s="85"/>
    </row>
    <row r="423" spans="1:4" s="81" customFormat="1" ht="14.25" customHeight="1" x14ac:dyDescent="0.25">
      <c r="A423" s="394" t="s">
        <v>270</v>
      </c>
      <c r="B423" s="1074" t="s">
        <v>674</v>
      </c>
      <c r="C423" s="1074"/>
      <c r="D423" s="1074"/>
    </row>
    <row r="424" spans="1:4" s="81" customFormat="1" ht="27" customHeight="1" x14ac:dyDescent="0.25">
      <c r="A424" s="395" t="s">
        <v>274</v>
      </c>
      <c r="B424" s="1074" t="s">
        <v>691</v>
      </c>
      <c r="C424" s="1074"/>
      <c r="D424" s="1074"/>
    </row>
    <row r="425" spans="1:4" ht="13" x14ac:dyDescent="0.25">
      <c r="A425" s="395"/>
      <c r="B425" s="99"/>
      <c r="C425" s="99"/>
      <c r="D425" s="99"/>
    </row>
    <row r="426" spans="1:4" s="81" customFormat="1" ht="14.25" customHeight="1" x14ac:dyDescent="0.35">
      <c r="A426" s="258" t="s">
        <v>594</v>
      </c>
      <c r="B426" s="1072" t="s">
        <v>692</v>
      </c>
      <c r="C426" s="1072"/>
      <c r="D426" s="1072"/>
    </row>
    <row r="427" spans="1:4" s="81" customFormat="1" ht="14.25" customHeight="1" x14ac:dyDescent="0.25">
      <c r="A427" s="258" t="s">
        <v>596</v>
      </c>
      <c r="B427" s="1073" t="s">
        <v>693</v>
      </c>
      <c r="C427" s="1073"/>
      <c r="D427" s="1073"/>
    </row>
    <row r="428" spans="1:4" s="81" customFormat="1" ht="14.25" customHeight="1" x14ac:dyDescent="0.25">
      <c r="A428" s="258" t="s">
        <v>598</v>
      </c>
      <c r="B428" s="1071" t="s">
        <v>599</v>
      </c>
      <c r="C428" s="1071"/>
      <c r="D428" s="1071"/>
    </row>
    <row r="429" spans="1:4" s="81" customFormat="1" ht="14.25" customHeight="1" x14ac:dyDescent="0.25">
      <c r="A429" s="258" t="s">
        <v>600</v>
      </c>
      <c r="B429" s="113" t="s">
        <v>690</v>
      </c>
      <c r="C429" s="113"/>
      <c r="D429" s="113"/>
    </row>
    <row r="430" spans="1:4" s="81" customFormat="1" ht="14.25" customHeight="1" x14ac:dyDescent="0.25">
      <c r="A430" s="258" t="s">
        <v>602</v>
      </c>
      <c r="B430" s="1073" t="s">
        <v>681</v>
      </c>
      <c r="C430" s="1073"/>
      <c r="D430" s="1073"/>
    </row>
    <row r="431" spans="1:4" s="81" customFormat="1" ht="14.25" customHeight="1" x14ac:dyDescent="0.25">
      <c r="A431" s="258" t="s">
        <v>604</v>
      </c>
      <c r="B431" s="85" t="s">
        <v>605</v>
      </c>
      <c r="C431" s="85"/>
      <c r="D431" s="85"/>
    </row>
    <row r="432" spans="1:4" s="81" customFormat="1" ht="14.25" customHeight="1" x14ac:dyDescent="0.25">
      <c r="A432" s="258" t="s">
        <v>608</v>
      </c>
      <c r="B432" s="85" t="s">
        <v>579</v>
      </c>
      <c r="C432" s="85"/>
      <c r="D432" s="85"/>
    </row>
    <row r="433" spans="1:4" s="81" customFormat="1" ht="14.25" customHeight="1" x14ac:dyDescent="0.25">
      <c r="A433" s="258" t="s">
        <v>606</v>
      </c>
      <c r="B433" s="85" t="s">
        <v>607</v>
      </c>
      <c r="C433" s="85"/>
      <c r="D433" s="85"/>
    </row>
    <row r="434" spans="1:4" s="81" customFormat="1" ht="14.25" customHeight="1" x14ac:dyDescent="0.25">
      <c r="A434" s="258" t="s">
        <v>610</v>
      </c>
      <c r="B434" s="114">
        <v>0.5</v>
      </c>
      <c r="C434" s="115"/>
      <c r="D434" s="85"/>
    </row>
    <row r="435" spans="1:4" s="81" customFormat="1" ht="14.25" customHeight="1" x14ac:dyDescent="0.25">
      <c r="A435" s="394" t="s">
        <v>270</v>
      </c>
      <c r="B435" s="1074" t="s">
        <v>674</v>
      </c>
      <c r="C435" s="1074"/>
      <c r="D435" s="1074"/>
    </row>
    <row r="436" spans="1:4" s="81" customFormat="1" ht="29.25" customHeight="1" x14ac:dyDescent="0.25">
      <c r="A436" s="395" t="s">
        <v>274</v>
      </c>
      <c r="B436" s="1074" t="s">
        <v>691</v>
      </c>
      <c r="C436" s="1074"/>
      <c r="D436" s="1074"/>
    </row>
    <row r="437" spans="1:4" s="67" customFormat="1" ht="13" x14ac:dyDescent="0.25">
      <c r="A437" s="395"/>
      <c r="B437" s="99"/>
      <c r="C437" s="99"/>
      <c r="D437" s="99"/>
    </row>
    <row r="438" spans="1:4" ht="15.75" customHeight="1" x14ac:dyDescent="0.35">
      <c r="A438" s="258" t="s">
        <v>594</v>
      </c>
      <c r="B438" s="1072" t="s">
        <v>694</v>
      </c>
      <c r="C438" s="1072"/>
      <c r="D438" s="1072"/>
    </row>
    <row r="439" spans="1:4" ht="13" x14ac:dyDescent="0.25">
      <c r="A439" s="258" t="s">
        <v>596</v>
      </c>
      <c r="B439" s="1073" t="s">
        <v>695</v>
      </c>
      <c r="C439" s="1073"/>
      <c r="D439" s="1073"/>
    </row>
    <row r="440" spans="1:4" ht="13" x14ac:dyDescent="0.25">
      <c r="A440" s="258" t="s">
        <v>598</v>
      </c>
      <c r="B440" s="1073" t="s">
        <v>696</v>
      </c>
      <c r="C440" s="1073"/>
      <c r="D440" s="1073"/>
    </row>
    <row r="441" spans="1:4" ht="13" x14ac:dyDescent="0.25">
      <c r="A441" s="258" t="s">
        <v>604</v>
      </c>
      <c r="B441" s="85" t="s">
        <v>605</v>
      </c>
      <c r="C441" s="85"/>
      <c r="D441" s="85"/>
    </row>
    <row r="442" spans="1:4" ht="13" x14ac:dyDescent="0.25">
      <c r="A442" s="258" t="s">
        <v>606</v>
      </c>
      <c r="B442" s="85" t="s">
        <v>697</v>
      </c>
      <c r="C442" s="85"/>
      <c r="D442" s="85"/>
    </row>
    <row r="443" spans="1:4" ht="13" x14ac:dyDescent="0.25">
      <c r="A443" s="258" t="s">
        <v>610</v>
      </c>
      <c r="B443" s="116">
        <v>-0.05</v>
      </c>
      <c r="C443" s="115"/>
      <c r="D443" s="85"/>
    </row>
    <row r="444" spans="1:4" ht="13" x14ac:dyDescent="0.25">
      <c r="A444" s="394" t="s">
        <v>270</v>
      </c>
      <c r="B444" s="1074" t="s">
        <v>698</v>
      </c>
      <c r="C444" s="1074"/>
      <c r="D444" s="1074"/>
    </row>
    <row r="445" spans="1:4" ht="13" x14ac:dyDescent="0.25">
      <c r="A445" s="258" t="s">
        <v>274</v>
      </c>
      <c r="B445" s="1074" t="s">
        <v>699</v>
      </c>
      <c r="C445" s="1074"/>
      <c r="D445" s="1074"/>
    </row>
    <row r="446" spans="1:4" ht="13" x14ac:dyDescent="0.25">
      <c r="A446" s="397"/>
      <c r="B446" s="262"/>
      <c r="C446" s="262"/>
      <c r="D446" s="262"/>
    </row>
    <row r="447" spans="1:4" s="55" customFormat="1" ht="15.75" customHeight="1" x14ac:dyDescent="0.35">
      <c r="A447" s="397" t="s">
        <v>594</v>
      </c>
      <c r="B447" s="1078" t="s">
        <v>700</v>
      </c>
      <c r="C447" s="1078"/>
      <c r="D447" s="1078"/>
    </row>
    <row r="448" spans="1:4" s="55" customFormat="1" ht="13" x14ac:dyDescent="0.25">
      <c r="A448" s="397" t="s">
        <v>596</v>
      </c>
      <c r="B448" s="1076" t="s">
        <v>693</v>
      </c>
      <c r="C448" s="1076"/>
      <c r="D448" s="1076"/>
    </row>
    <row r="449" spans="1:4" s="55" customFormat="1" ht="13" x14ac:dyDescent="0.25">
      <c r="A449" s="397" t="s">
        <v>598</v>
      </c>
      <c r="B449" s="1079" t="s">
        <v>701</v>
      </c>
      <c r="C449" s="1079"/>
      <c r="D449" s="1079"/>
    </row>
    <row r="450" spans="1:4" s="55" customFormat="1" ht="13" x14ac:dyDescent="0.25">
      <c r="A450" s="397" t="s">
        <v>602</v>
      </c>
      <c r="B450" s="1076" t="s">
        <v>681</v>
      </c>
      <c r="C450" s="1076"/>
      <c r="D450" s="1076"/>
    </row>
    <row r="451" spans="1:4" s="55" customFormat="1" ht="13" x14ac:dyDescent="0.25">
      <c r="A451" s="397" t="s">
        <v>604</v>
      </c>
      <c r="B451" s="263" t="s">
        <v>702</v>
      </c>
      <c r="C451" s="263"/>
      <c r="D451" s="263"/>
    </row>
    <row r="452" spans="1:4" s="55" customFormat="1" ht="13" x14ac:dyDescent="0.25">
      <c r="A452" s="397" t="s">
        <v>608</v>
      </c>
      <c r="B452" s="263" t="s">
        <v>592</v>
      </c>
      <c r="C452" s="263"/>
      <c r="D452" s="263"/>
    </row>
    <row r="453" spans="1:4" s="55" customFormat="1" ht="13" x14ac:dyDescent="0.25">
      <c r="A453" s="397" t="s">
        <v>606</v>
      </c>
      <c r="B453" s="1080" t="s">
        <v>703</v>
      </c>
      <c r="C453" s="1080"/>
      <c r="D453" s="1080"/>
    </row>
    <row r="454" spans="1:4" s="55" customFormat="1" ht="13" x14ac:dyDescent="0.25">
      <c r="A454" s="397" t="s">
        <v>610</v>
      </c>
      <c r="B454" s="311">
        <v>-0.1</v>
      </c>
      <c r="C454" s="312"/>
      <c r="D454" s="263"/>
    </row>
    <row r="455" spans="1:4" s="55" customFormat="1" ht="13" x14ac:dyDescent="0.25">
      <c r="A455" s="398" t="s">
        <v>270</v>
      </c>
      <c r="B455" s="1075" t="s">
        <v>704</v>
      </c>
      <c r="C455" s="1075"/>
      <c r="D455" s="1075"/>
    </row>
    <row r="456" spans="1:4" s="55" customFormat="1" ht="13" x14ac:dyDescent="0.25">
      <c r="A456" s="397" t="s">
        <v>274</v>
      </c>
      <c r="B456" s="1075" t="s">
        <v>705</v>
      </c>
      <c r="C456" s="1075"/>
      <c r="D456" s="1075"/>
    </row>
    <row r="457" spans="1:4" ht="13" x14ac:dyDescent="0.25">
      <c r="A457" s="396"/>
      <c r="B457" s="260"/>
      <c r="C457" s="260"/>
      <c r="D457" s="260"/>
    </row>
    <row r="458" spans="1:4" ht="15.5" x14ac:dyDescent="0.35">
      <c r="A458" s="397" t="s">
        <v>594</v>
      </c>
      <c r="B458" s="1078" t="s">
        <v>706</v>
      </c>
      <c r="C458" s="1078"/>
      <c r="D458" s="1078"/>
    </row>
    <row r="459" spans="1:4" ht="13" x14ac:dyDescent="0.25">
      <c r="A459" s="397" t="s">
        <v>596</v>
      </c>
      <c r="B459" s="1076" t="s">
        <v>707</v>
      </c>
      <c r="C459" s="1076"/>
      <c r="D459" s="1076"/>
    </row>
    <row r="460" spans="1:4" ht="13" x14ac:dyDescent="0.25">
      <c r="A460" s="397" t="s">
        <v>598</v>
      </c>
      <c r="B460" s="1076" t="s">
        <v>696</v>
      </c>
      <c r="C460" s="1076"/>
      <c r="D460" s="1076"/>
    </row>
    <row r="461" spans="1:4" ht="13" x14ac:dyDescent="0.25">
      <c r="A461" s="397" t="s">
        <v>604</v>
      </c>
      <c r="B461" s="263" t="s">
        <v>605</v>
      </c>
      <c r="C461" s="263"/>
      <c r="D461" s="263"/>
    </row>
    <row r="462" spans="1:4" ht="13" x14ac:dyDescent="0.25">
      <c r="A462" s="397" t="s">
        <v>606</v>
      </c>
      <c r="B462" s="263" t="s">
        <v>697</v>
      </c>
      <c r="C462" s="263"/>
      <c r="D462" s="263"/>
    </row>
    <row r="463" spans="1:4" ht="13" x14ac:dyDescent="0.25">
      <c r="A463" s="397" t="s">
        <v>610</v>
      </c>
      <c r="B463" s="1077" t="s">
        <v>708</v>
      </c>
      <c r="C463" s="1077"/>
      <c r="D463" s="1077"/>
    </row>
    <row r="464" spans="1:4" ht="13" x14ac:dyDescent="0.25">
      <c r="A464" s="398" t="s">
        <v>270</v>
      </c>
      <c r="B464" s="1075" t="s">
        <v>709</v>
      </c>
      <c r="C464" s="1075"/>
      <c r="D464" s="1075"/>
    </row>
    <row r="465" spans="1:4" ht="13" x14ac:dyDescent="0.25">
      <c r="A465" s="397" t="s">
        <v>274</v>
      </c>
      <c r="B465" s="1075" t="s">
        <v>710</v>
      </c>
      <c r="C465" s="1075"/>
      <c r="D465" s="1075"/>
    </row>
  </sheetData>
  <mergeCells count="205">
    <mergeCell ref="B379:D379"/>
    <mergeCell ref="B380:D380"/>
    <mergeCell ref="B382:D382"/>
    <mergeCell ref="B387:D387"/>
    <mergeCell ref="B367:D367"/>
    <mergeCell ref="B368:D368"/>
    <mergeCell ref="B423:D423"/>
    <mergeCell ref="B424:D424"/>
    <mergeCell ref="B404:D404"/>
    <mergeCell ref="B406:D406"/>
    <mergeCell ref="B411:D411"/>
    <mergeCell ref="B412:D412"/>
    <mergeCell ref="B388:D388"/>
    <mergeCell ref="B391:D391"/>
    <mergeCell ref="B392:D392"/>
    <mergeCell ref="B394:D394"/>
    <mergeCell ref="B399:D399"/>
    <mergeCell ref="B334:D334"/>
    <mergeCell ref="B340:D340"/>
    <mergeCell ref="B342:D342"/>
    <mergeCell ref="B343:D343"/>
    <mergeCell ref="B344:D344"/>
    <mergeCell ref="B346:D346"/>
    <mergeCell ref="B352:D352"/>
    <mergeCell ref="B356:D356"/>
    <mergeCell ref="B358:D358"/>
    <mergeCell ref="B316:D316"/>
    <mergeCell ref="B318:D318"/>
    <mergeCell ref="B319:D319"/>
    <mergeCell ref="B320:D320"/>
    <mergeCell ref="B322:D322"/>
    <mergeCell ref="B328:D328"/>
    <mergeCell ref="B330:D330"/>
    <mergeCell ref="B331:D331"/>
    <mergeCell ref="B332:D332"/>
    <mergeCell ref="B294:D294"/>
    <mergeCell ref="B295:D295"/>
    <mergeCell ref="B296:D296"/>
    <mergeCell ref="B298:D298"/>
    <mergeCell ref="B304:D304"/>
    <mergeCell ref="B306:D306"/>
    <mergeCell ref="B307:D307"/>
    <mergeCell ref="B308:D308"/>
    <mergeCell ref="B310:D310"/>
    <mergeCell ref="B271:D271"/>
    <mergeCell ref="B272:D272"/>
    <mergeCell ref="B274:D274"/>
    <mergeCell ref="B280:D280"/>
    <mergeCell ref="B282:D282"/>
    <mergeCell ref="B283:D283"/>
    <mergeCell ref="B284:D284"/>
    <mergeCell ref="B286:D286"/>
    <mergeCell ref="B292:D292"/>
    <mergeCell ref="B247:D247"/>
    <mergeCell ref="B248:D248"/>
    <mergeCell ref="B250:D250"/>
    <mergeCell ref="B256:D256"/>
    <mergeCell ref="B258:D258"/>
    <mergeCell ref="B259:D259"/>
    <mergeCell ref="B270:D270"/>
    <mergeCell ref="B260:D260"/>
    <mergeCell ref="B262:D262"/>
    <mergeCell ref="B268:D268"/>
    <mergeCell ref="B202:D202"/>
    <mergeCell ref="B208:D208"/>
    <mergeCell ref="B210:D210"/>
    <mergeCell ref="B211:D211"/>
    <mergeCell ref="B212:D212"/>
    <mergeCell ref="B190:D190"/>
    <mergeCell ref="B196:D196"/>
    <mergeCell ref="B198:D198"/>
    <mergeCell ref="B199:D199"/>
    <mergeCell ref="B200:D200"/>
    <mergeCell ref="B226:D226"/>
    <mergeCell ref="B232:D232"/>
    <mergeCell ref="B214:D214"/>
    <mergeCell ref="B220:D220"/>
    <mergeCell ref="B222:D222"/>
    <mergeCell ref="B223:D223"/>
    <mergeCell ref="B224:D224"/>
    <mergeCell ref="B234:D234"/>
    <mergeCell ref="B235:D235"/>
    <mergeCell ref="B236:D236"/>
    <mergeCell ref="B238:D238"/>
    <mergeCell ref="B244:D244"/>
    <mergeCell ref="B246:D246"/>
    <mergeCell ref="A1:D1"/>
    <mergeCell ref="B5:D5"/>
    <mergeCell ref="B12:D12"/>
    <mergeCell ref="B13:D13"/>
    <mergeCell ref="B138:D138"/>
    <mergeCell ref="B142:D142"/>
    <mergeCell ref="B50:D50"/>
    <mergeCell ref="B20:D20"/>
    <mergeCell ref="B24:D24"/>
    <mergeCell ref="B25:D25"/>
    <mergeCell ref="B31:D31"/>
    <mergeCell ref="B33:D33"/>
    <mergeCell ref="B37:D37"/>
    <mergeCell ref="B38:D38"/>
    <mergeCell ref="B44:D44"/>
    <mergeCell ref="B46:D46"/>
    <mergeCell ref="B51:D51"/>
    <mergeCell ref="B3:D3"/>
    <mergeCell ref="B15:D15"/>
    <mergeCell ref="B28:D28"/>
    <mergeCell ref="B187:D187"/>
    <mergeCell ref="B188:D188"/>
    <mergeCell ref="B136:D136"/>
    <mergeCell ref="B104:D104"/>
    <mergeCell ref="B79:D79"/>
    <mergeCell ref="B80:D80"/>
    <mergeCell ref="B82:D82"/>
    <mergeCell ref="B88:D88"/>
    <mergeCell ref="B91:D91"/>
    <mergeCell ref="B92:D92"/>
    <mergeCell ref="B94:D94"/>
    <mergeCell ref="B100:D100"/>
    <mergeCell ref="B103:D103"/>
    <mergeCell ref="B148:D148"/>
    <mergeCell ref="B164:D164"/>
    <mergeCell ref="B139:D139"/>
    <mergeCell ref="B140:D140"/>
    <mergeCell ref="B151:D151"/>
    <mergeCell ref="B152:D152"/>
    <mergeCell ref="B163:D163"/>
    <mergeCell ref="B184:D184"/>
    <mergeCell ref="B186:D186"/>
    <mergeCell ref="B160:D160"/>
    <mergeCell ref="B162:D162"/>
    <mergeCell ref="B106:D106"/>
    <mergeCell ref="B112:D112"/>
    <mergeCell ref="B115:D115"/>
    <mergeCell ref="B116:D116"/>
    <mergeCell ref="B127:D127"/>
    <mergeCell ref="B128:D128"/>
    <mergeCell ref="B114:D114"/>
    <mergeCell ref="B118:D118"/>
    <mergeCell ref="B124:D124"/>
    <mergeCell ref="B126:D126"/>
    <mergeCell ref="B150:D150"/>
    <mergeCell ref="B154:D154"/>
    <mergeCell ref="B166:D166"/>
    <mergeCell ref="B172:D172"/>
    <mergeCell ref="B174:D174"/>
    <mergeCell ref="B175:D175"/>
    <mergeCell ref="B176:D176"/>
    <mergeCell ref="B130:D130"/>
    <mergeCell ref="B178:D178"/>
    <mergeCell ref="B464:D464"/>
    <mergeCell ref="B465:D465"/>
    <mergeCell ref="B444:D444"/>
    <mergeCell ref="B445:D445"/>
    <mergeCell ref="B459:D459"/>
    <mergeCell ref="B460:D460"/>
    <mergeCell ref="B463:D463"/>
    <mergeCell ref="B440:D440"/>
    <mergeCell ref="B439:D439"/>
    <mergeCell ref="B458:D458"/>
    <mergeCell ref="B448:D448"/>
    <mergeCell ref="B449:D449"/>
    <mergeCell ref="B450:D450"/>
    <mergeCell ref="B455:D455"/>
    <mergeCell ref="B456:D456"/>
    <mergeCell ref="B453:D453"/>
    <mergeCell ref="B447:D447"/>
    <mergeCell ref="B438:D438"/>
    <mergeCell ref="B426:D426"/>
    <mergeCell ref="B414:D414"/>
    <mergeCell ref="B402:D402"/>
    <mergeCell ref="B390:D390"/>
    <mergeCell ref="B378:D378"/>
    <mergeCell ref="B366:D366"/>
    <mergeCell ref="B354:D354"/>
    <mergeCell ref="B400:D400"/>
    <mergeCell ref="B403:D403"/>
    <mergeCell ref="B427:D427"/>
    <mergeCell ref="B428:D428"/>
    <mergeCell ref="B430:D430"/>
    <mergeCell ref="B435:D435"/>
    <mergeCell ref="B436:D436"/>
    <mergeCell ref="B370:D370"/>
    <mergeCell ref="B355:D355"/>
    <mergeCell ref="B363:D363"/>
    <mergeCell ref="B364:D364"/>
    <mergeCell ref="B375:D375"/>
    <mergeCell ref="B376:D376"/>
    <mergeCell ref="B415:D415"/>
    <mergeCell ref="B416:D416"/>
    <mergeCell ref="B418:D418"/>
    <mergeCell ref="B18:D18"/>
    <mergeCell ref="B90:D90"/>
    <mergeCell ref="B102:D102"/>
    <mergeCell ref="B55:D55"/>
    <mergeCell ref="B56:D56"/>
    <mergeCell ref="B58:D58"/>
    <mergeCell ref="B64:D64"/>
    <mergeCell ref="B67:D67"/>
    <mergeCell ref="B68:D68"/>
    <mergeCell ref="B70:D70"/>
    <mergeCell ref="B76:D76"/>
    <mergeCell ref="B41:D41"/>
    <mergeCell ref="B54:D54"/>
    <mergeCell ref="B66:D66"/>
    <mergeCell ref="B78:D78"/>
  </mergeCells>
  <pageMargins left="0.7" right="0.7" top="0.75" bottom="0.75" header="0.3" footer="0.3"/>
  <pageSetup scale="76" orientation="portrait" r:id="rId1"/>
  <headerFooter>
    <oddFooter>&amp;F</oddFooter>
  </headerFooter>
  <rowBreaks count="1" manualBreakCount="1">
    <brk id="52"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D243"/>
  <sheetViews>
    <sheetView topLeftCell="A46" zoomScaleNormal="100" zoomScaleSheetLayoutView="80" workbookViewId="0">
      <selection sqref="A1:D1"/>
    </sheetView>
  </sheetViews>
  <sheetFormatPr defaultColWidth="9.26953125" defaultRowHeight="12.5" x14ac:dyDescent="0.25"/>
  <cols>
    <col min="1" max="1" width="31" style="80" customWidth="1"/>
    <col min="2" max="2" width="44.26953125" style="80" customWidth="1"/>
    <col min="3" max="16384" width="9.26953125" style="80"/>
  </cols>
  <sheetData>
    <row r="1" spans="1:4" s="67" customFormat="1" ht="18.5" thickBot="1" x14ac:dyDescent="0.3">
      <c r="A1" s="1086" t="s">
        <v>711</v>
      </c>
      <c r="B1" s="1087"/>
      <c r="C1" s="1087"/>
      <c r="D1" s="1088"/>
    </row>
    <row r="2" spans="1:4" s="67" customFormat="1" x14ac:dyDescent="0.25"/>
    <row r="3" spans="1:4" s="67" customFormat="1" ht="15.5" x14ac:dyDescent="0.35">
      <c r="A3" s="83" t="s">
        <v>594</v>
      </c>
      <c r="B3" s="1072" t="s">
        <v>712</v>
      </c>
      <c r="C3" s="1072"/>
      <c r="D3" s="1072"/>
    </row>
    <row r="4" spans="1:4" s="67" customFormat="1" ht="13" x14ac:dyDescent="0.25">
      <c r="A4" s="83" t="s">
        <v>596</v>
      </c>
      <c r="B4" s="1073" t="s">
        <v>713</v>
      </c>
      <c r="C4" s="1073"/>
      <c r="D4" s="1073"/>
    </row>
    <row r="5" spans="1:4" s="67" customFormat="1" ht="13" x14ac:dyDescent="0.25">
      <c r="A5" s="83" t="s">
        <v>598</v>
      </c>
      <c r="B5" s="1071" t="s">
        <v>615</v>
      </c>
      <c r="C5" s="1071"/>
      <c r="D5" s="1071"/>
    </row>
    <row r="6" spans="1:4" s="67" customFormat="1" ht="13" x14ac:dyDescent="0.25">
      <c r="A6" s="83" t="s">
        <v>600</v>
      </c>
      <c r="B6" s="113" t="s">
        <v>601</v>
      </c>
      <c r="C6" s="113"/>
      <c r="D6" s="113"/>
    </row>
    <row r="7" spans="1:4" s="67" customFormat="1" ht="13" x14ac:dyDescent="0.25">
      <c r="A7" s="83" t="s">
        <v>602</v>
      </c>
      <c r="B7" s="1073" t="s">
        <v>617</v>
      </c>
      <c r="C7" s="1073"/>
      <c r="D7" s="1073"/>
    </row>
    <row r="8" spans="1:4" s="67" customFormat="1" ht="13" x14ac:dyDescent="0.25">
      <c r="A8" s="83" t="s">
        <v>604</v>
      </c>
      <c r="B8" s="85" t="s">
        <v>605</v>
      </c>
      <c r="C8" s="85"/>
      <c r="D8" s="85"/>
    </row>
    <row r="9" spans="1:4" s="67" customFormat="1" ht="13" x14ac:dyDescent="0.25">
      <c r="A9" s="83" t="s">
        <v>608</v>
      </c>
      <c r="B9" s="85" t="s">
        <v>609</v>
      </c>
      <c r="C9" s="85"/>
      <c r="D9" s="85"/>
    </row>
    <row r="10" spans="1:4" s="67" customFormat="1" ht="13" x14ac:dyDescent="0.25">
      <c r="A10" s="83" t="s">
        <v>606</v>
      </c>
      <c r="B10" s="85" t="s">
        <v>607</v>
      </c>
      <c r="C10" s="85"/>
      <c r="D10" s="85"/>
    </row>
    <row r="11" spans="1:4" s="67" customFormat="1" ht="13" x14ac:dyDescent="0.25">
      <c r="A11" s="83" t="s">
        <v>610</v>
      </c>
      <c r="B11" s="114">
        <v>-0.2</v>
      </c>
      <c r="C11" s="115"/>
      <c r="D11" s="85"/>
    </row>
    <row r="12" spans="1:4" s="67" customFormat="1" ht="13" x14ac:dyDescent="0.25">
      <c r="A12" s="118" t="s">
        <v>270</v>
      </c>
      <c r="B12" s="1074"/>
      <c r="C12" s="1074"/>
      <c r="D12" s="1074"/>
    </row>
    <row r="13" spans="1:4" s="67" customFormat="1" ht="13" x14ac:dyDescent="0.25">
      <c r="A13" s="83" t="s">
        <v>274</v>
      </c>
      <c r="B13" s="1074"/>
      <c r="C13" s="1074"/>
      <c r="D13" s="1074"/>
    </row>
    <row r="14" spans="1:4" s="67" customFormat="1" x14ac:dyDescent="0.25"/>
    <row r="15" spans="1:4" s="67" customFormat="1" ht="15.5" x14ac:dyDescent="0.35">
      <c r="A15" s="83" t="s">
        <v>594</v>
      </c>
      <c r="B15" s="1072" t="s">
        <v>714</v>
      </c>
      <c r="C15" s="1072"/>
      <c r="D15" s="1072"/>
    </row>
    <row r="16" spans="1:4" s="67" customFormat="1" ht="13" x14ac:dyDescent="0.25">
      <c r="A16" s="83" t="s">
        <v>596</v>
      </c>
      <c r="B16" s="1073" t="s">
        <v>715</v>
      </c>
      <c r="C16" s="1073"/>
      <c r="D16" s="1073"/>
    </row>
    <row r="17" spans="1:4" s="67" customFormat="1" ht="13" x14ac:dyDescent="0.25">
      <c r="A17" s="83" t="s">
        <v>598</v>
      </c>
      <c r="B17" s="1071" t="s">
        <v>615</v>
      </c>
      <c r="C17" s="1071"/>
      <c r="D17" s="1071"/>
    </row>
    <row r="18" spans="1:4" s="67" customFormat="1" ht="13" x14ac:dyDescent="0.25">
      <c r="A18" s="83" t="s">
        <v>600</v>
      </c>
      <c r="B18" s="113" t="s">
        <v>601</v>
      </c>
      <c r="C18" s="113"/>
      <c r="D18" s="113"/>
    </row>
    <row r="19" spans="1:4" s="67" customFormat="1" ht="13" x14ac:dyDescent="0.25">
      <c r="A19" s="83" t="s">
        <v>602</v>
      </c>
      <c r="B19" s="1073" t="s">
        <v>617</v>
      </c>
      <c r="C19" s="1073"/>
      <c r="D19" s="1073"/>
    </row>
    <row r="20" spans="1:4" s="67" customFormat="1" ht="13" x14ac:dyDescent="0.25">
      <c r="A20" s="83" t="s">
        <v>604</v>
      </c>
      <c r="B20" s="85" t="s">
        <v>605</v>
      </c>
      <c r="C20" s="85"/>
      <c r="D20" s="85"/>
    </row>
    <row r="21" spans="1:4" s="67" customFormat="1" ht="13" x14ac:dyDescent="0.25">
      <c r="A21" s="83" t="s">
        <v>608</v>
      </c>
      <c r="B21" s="85" t="s">
        <v>609</v>
      </c>
      <c r="C21" s="85"/>
      <c r="D21" s="85"/>
    </row>
    <row r="22" spans="1:4" s="67" customFormat="1" ht="13" x14ac:dyDescent="0.25">
      <c r="A22" s="83" t="s">
        <v>606</v>
      </c>
      <c r="B22" s="85" t="s">
        <v>607</v>
      </c>
      <c r="C22" s="85"/>
      <c r="D22" s="85"/>
    </row>
    <row r="23" spans="1:4" s="67" customFormat="1" ht="13" x14ac:dyDescent="0.25">
      <c r="A23" s="83" t="s">
        <v>610</v>
      </c>
      <c r="B23" s="114">
        <v>-0.1</v>
      </c>
      <c r="C23" s="115"/>
      <c r="D23" s="85"/>
    </row>
    <row r="24" spans="1:4" s="67" customFormat="1" ht="13" x14ac:dyDescent="0.25">
      <c r="A24" s="118" t="s">
        <v>270</v>
      </c>
      <c r="B24" s="1074"/>
      <c r="C24" s="1074"/>
      <c r="D24" s="1074"/>
    </row>
    <row r="25" spans="1:4" s="67" customFormat="1" ht="13" x14ac:dyDescent="0.25">
      <c r="A25" s="83" t="s">
        <v>274</v>
      </c>
      <c r="B25" s="1074"/>
      <c r="C25" s="1074"/>
      <c r="D25" s="1074"/>
    </row>
    <row r="26" spans="1:4" s="67" customFormat="1" x14ac:dyDescent="0.25"/>
    <row r="27" spans="1:4" s="67" customFormat="1" ht="15.5" x14ac:dyDescent="0.35">
      <c r="A27" s="83" t="s">
        <v>594</v>
      </c>
      <c r="B27" s="1072" t="s">
        <v>716</v>
      </c>
      <c r="C27" s="1072"/>
      <c r="D27" s="1072"/>
    </row>
    <row r="28" spans="1:4" s="67" customFormat="1" ht="13" x14ac:dyDescent="0.25">
      <c r="A28" s="83" t="s">
        <v>596</v>
      </c>
      <c r="B28" s="1073" t="s">
        <v>717</v>
      </c>
      <c r="C28" s="1073"/>
      <c r="D28" s="1073"/>
    </row>
    <row r="29" spans="1:4" s="67" customFormat="1" ht="13" x14ac:dyDescent="0.25">
      <c r="A29" s="83" t="s">
        <v>598</v>
      </c>
      <c r="B29" s="1071" t="s">
        <v>615</v>
      </c>
      <c r="C29" s="1071"/>
      <c r="D29" s="1071"/>
    </row>
    <row r="30" spans="1:4" s="67" customFormat="1" ht="13" x14ac:dyDescent="0.25">
      <c r="A30" s="83" t="s">
        <v>600</v>
      </c>
      <c r="B30" s="113" t="s">
        <v>601</v>
      </c>
      <c r="C30" s="113"/>
      <c r="D30" s="113"/>
    </row>
    <row r="31" spans="1:4" s="67" customFormat="1" ht="13" x14ac:dyDescent="0.25">
      <c r="A31" s="83" t="s">
        <v>602</v>
      </c>
      <c r="B31" s="1073" t="s">
        <v>617</v>
      </c>
      <c r="C31" s="1073"/>
      <c r="D31" s="1073"/>
    </row>
    <row r="32" spans="1:4" s="67" customFormat="1" ht="13" x14ac:dyDescent="0.25">
      <c r="A32" s="83" t="s">
        <v>604</v>
      </c>
      <c r="B32" s="85" t="s">
        <v>605</v>
      </c>
      <c r="C32" s="85"/>
      <c r="D32" s="85"/>
    </row>
    <row r="33" spans="1:4" s="67" customFormat="1" ht="13" x14ac:dyDescent="0.25">
      <c r="A33" s="83" t="s">
        <v>608</v>
      </c>
      <c r="B33" s="85" t="s">
        <v>609</v>
      </c>
      <c r="C33" s="85"/>
      <c r="D33" s="85"/>
    </row>
    <row r="34" spans="1:4" s="67" customFormat="1" ht="13" x14ac:dyDescent="0.25">
      <c r="A34" s="83" t="s">
        <v>606</v>
      </c>
      <c r="B34" s="85" t="s">
        <v>607</v>
      </c>
      <c r="C34" s="85"/>
      <c r="D34" s="85"/>
    </row>
    <row r="35" spans="1:4" s="67" customFormat="1" ht="13" x14ac:dyDescent="0.25">
      <c r="A35" s="83" t="s">
        <v>610</v>
      </c>
      <c r="B35" s="114">
        <v>-0.05</v>
      </c>
      <c r="C35" s="115"/>
      <c r="D35" s="85"/>
    </row>
    <row r="36" spans="1:4" s="67" customFormat="1" ht="13" x14ac:dyDescent="0.25">
      <c r="A36" s="118" t="s">
        <v>270</v>
      </c>
      <c r="B36" s="1074"/>
      <c r="C36" s="1074"/>
      <c r="D36" s="1074"/>
    </row>
    <row r="37" spans="1:4" s="67" customFormat="1" ht="13" x14ac:dyDescent="0.25">
      <c r="A37" s="83" t="s">
        <v>274</v>
      </c>
      <c r="B37" s="1074"/>
      <c r="C37" s="1074"/>
      <c r="D37" s="1074"/>
    </row>
    <row r="38" spans="1:4" s="67" customFormat="1" x14ac:dyDescent="0.25"/>
    <row r="39" spans="1:4" s="67" customFormat="1" ht="15.5" x14ac:dyDescent="0.35">
      <c r="A39" s="83" t="s">
        <v>594</v>
      </c>
      <c r="B39" s="1072" t="s">
        <v>718</v>
      </c>
      <c r="C39" s="1072"/>
      <c r="D39" s="1072"/>
    </row>
    <row r="40" spans="1:4" s="67" customFormat="1" ht="13" x14ac:dyDescent="0.25">
      <c r="A40" s="83" t="s">
        <v>596</v>
      </c>
      <c r="B40" s="1073" t="s">
        <v>719</v>
      </c>
      <c r="C40" s="1073"/>
      <c r="D40" s="1073"/>
    </row>
    <row r="41" spans="1:4" s="67" customFormat="1" ht="13" x14ac:dyDescent="0.25">
      <c r="A41" s="83" t="s">
        <v>598</v>
      </c>
      <c r="B41" s="1071" t="s">
        <v>615</v>
      </c>
      <c r="C41" s="1071"/>
      <c r="D41" s="1071"/>
    </row>
    <row r="42" spans="1:4" s="67" customFormat="1" ht="13" x14ac:dyDescent="0.25">
      <c r="A42" s="83" t="s">
        <v>600</v>
      </c>
      <c r="B42" s="113" t="s">
        <v>601</v>
      </c>
      <c r="C42" s="113"/>
      <c r="D42" s="113"/>
    </row>
    <row r="43" spans="1:4" s="67" customFormat="1" ht="13" x14ac:dyDescent="0.25">
      <c r="A43" s="83" t="s">
        <v>602</v>
      </c>
      <c r="B43" s="1073" t="s">
        <v>617</v>
      </c>
      <c r="C43" s="1073"/>
      <c r="D43" s="1073"/>
    </row>
    <row r="44" spans="1:4" s="67" customFormat="1" ht="13" x14ac:dyDescent="0.25">
      <c r="A44" s="83" t="s">
        <v>604</v>
      </c>
      <c r="B44" s="85" t="s">
        <v>605</v>
      </c>
      <c r="C44" s="85"/>
      <c r="D44" s="85"/>
    </row>
    <row r="45" spans="1:4" s="67" customFormat="1" ht="13" x14ac:dyDescent="0.25">
      <c r="A45" s="83" t="s">
        <v>608</v>
      </c>
      <c r="B45" s="85" t="s">
        <v>609</v>
      </c>
      <c r="C45" s="85"/>
      <c r="D45" s="85"/>
    </row>
    <row r="46" spans="1:4" s="67" customFormat="1" ht="13" x14ac:dyDescent="0.25">
      <c r="A46" s="83" t="s">
        <v>606</v>
      </c>
      <c r="B46" s="85" t="s">
        <v>607</v>
      </c>
      <c r="C46" s="85"/>
      <c r="D46" s="85"/>
    </row>
    <row r="47" spans="1:4" s="67" customFormat="1" ht="13" x14ac:dyDescent="0.25">
      <c r="A47" s="83" t="s">
        <v>610</v>
      </c>
      <c r="B47" s="114">
        <v>-0.2</v>
      </c>
      <c r="C47" s="115"/>
      <c r="D47" s="85"/>
    </row>
    <row r="48" spans="1:4" s="67" customFormat="1" ht="13" x14ac:dyDescent="0.25">
      <c r="A48" s="118" t="s">
        <v>270</v>
      </c>
      <c r="B48" s="1074"/>
      <c r="C48" s="1074"/>
      <c r="D48" s="1074"/>
    </row>
    <row r="49" spans="1:4" s="67" customFormat="1" ht="13" x14ac:dyDescent="0.25">
      <c r="A49" s="83" t="s">
        <v>274</v>
      </c>
      <c r="B49" s="1074"/>
      <c r="C49" s="1074"/>
      <c r="D49" s="1074"/>
    </row>
    <row r="50" spans="1:4" s="67" customFormat="1" x14ac:dyDescent="0.25"/>
    <row r="51" spans="1:4" s="67" customFormat="1" ht="15.5" x14ac:dyDescent="0.35">
      <c r="A51" s="83" t="s">
        <v>594</v>
      </c>
      <c r="B51" s="1072" t="s">
        <v>720</v>
      </c>
      <c r="C51" s="1072"/>
      <c r="D51" s="1072"/>
    </row>
    <row r="52" spans="1:4" s="67" customFormat="1" ht="13" x14ac:dyDescent="0.25">
      <c r="A52" s="83" t="s">
        <v>596</v>
      </c>
      <c r="B52" s="1073" t="s">
        <v>721</v>
      </c>
      <c r="C52" s="1073"/>
      <c r="D52" s="1073"/>
    </row>
    <row r="53" spans="1:4" s="67" customFormat="1" ht="13" x14ac:dyDescent="0.25">
      <c r="A53" s="83" t="s">
        <v>598</v>
      </c>
      <c r="B53" s="1071" t="s">
        <v>615</v>
      </c>
      <c r="C53" s="1071"/>
      <c r="D53" s="1071"/>
    </row>
    <row r="54" spans="1:4" s="67" customFormat="1" ht="13" x14ac:dyDescent="0.25">
      <c r="A54" s="83" t="s">
        <v>600</v>
      </c>
      <c r="B54" s="113" t="s">
        <v>601</v>
      </c>
      <c r="C54" s="113"/>
      <c r="D54" s="113"/>
    </row>
    <row r="55" spans="1:4" s="67" customFormat="1" ht="13" x14ac:dyDescent="0.25">
      <c r="A55" s="83" t="s">
        <v>602</v>
      </c>
      <c r="B55" s="1073" t="s">
        <v>617</v>
      </c>
      <c r="C55" s="1073"/>
      <c r="D55" s="1073"/>
    </row>
    <row r="56" spans="1:4" s="67" customFormat="1" ht="13" x14ac:dyDescent="0.25">
      <c r="A56" s="83" t="s">
        <v>604</v>
      </c>
      <c r="B56" s="85" t="s">
        <v>605</v>
      </c>
      <c r="C56" s="85"/>
      <c r="D56" s="85"/>
    </row>
    <row r="57" spans="1:4" s="67" customFormat="1" ht="13" x14ac:dyDescent="0.25">
      <c r="A57" s="83" t="s">
        <v>608</v>
      </c>
      <c r="B57" s="85" t="s">
        <v>609</v>
      </c>
      <c r="C57" s="85"/>
      <c r="D57" s="85"/>
    </row>
    <row r="58" spans="1:4" s="67" customFormat="1" ht="13" x14ac:dyDescent="0.25">
      <c r="A58" s="83" t="s">
        <v>606</v>
      </c>
      <c r="B58" s="85" t="s">
        <v>607</v>
      </c>
      <c r="C58" s="85"/>
      <c r="D58" s="85"/>
    </row>
    <row r="59" spans="1:4" s="67" customFormat="1" ht="13" x14ac:dyDescent="0.25">
      <c r="A59" s="83" t="s">
        <v>610</v>
      </c>
      <c r="B59" s="114">
        <v>-0.1</v>
      </c>
      <c r="C59" s="115"/>
      <c r="D59" s="85"/>
    </row>
    <row r="60" spans="1:4" s="67" customFormat="1" ht="13" x14ac:dyDescent="0.25">
      <c r="A60" s="118" t="s">
        <v>270</v>
      </c>
      <c r="B60" s="1074"/>
      <c r="C60" s="1074"/>
      <c r="D60" s="1074"/>
    </row>
    <row r="61" spans="1:4" s="67" customFormat="1" ht="13" x14ac:dyDescent="0.25">
      <c r="A61" s="83" t="s">
        <v>274</v>
      </c>
      <c r="B61" s="1074"/>
      <c r="C61" s="1074"/>
      <c r="D61" s="1074"/>
    </row>
    <row r="62" spans="1:4" s="67" customFormat="1" x14ac:dyDescent="0.25"/>
    <row r="63" spans="1:4" s="67" customFormat="1" ht="15.5" x14ac:dyDescent="0.35">
      <c r="A63" s="83" t="s">
        <v>594</v>
      </c>
      <c r="B63" s="1072" t="s">
        <v>722</v>
      </c>
      <c r="C63" s="1072"/>
      <c r="D63" s="1072"/>
    </row>
    <row r="64" spans="1:4" s="67" customFormat="1" ht="13" x14ac:dyDescent="0.25">
      <c r="A64" s="83" t="s">
        <v>596</v>
      </c>
      <c r="B64" s="1073" t="s">
        <v>723</v>
      </c>
      <c r="C64" s="1073"/>
      <c r="D64" s="1073"/>
    </row>
    <row r="65" spans="1:4" s="67" customFormat="1" ht="13" x14ac:dyDescent="0.25">
      <c r="A65" s="83" t="s">
        <v>598</v>
      </c>
      <c r="B65" s="1071" t="s">
        <v>615</v>
      </c>
      <c r="C65" s="1071"/>
      <c r="D65" s="1071"/>
    </row>
    <row r="66" spans="1:4" s="67" customFormat="1" ht="13" x14ac:dyDescent="0.25">
      <c r="A66" s="83" t="s">
        <v>600</v>
      </c>
      <c r="B66" s="113" t="s">
        <v>601</v>
      </c>
      <c r="C66" s="113"/>
      <c r="D66" s="113"/>
    </row>
    <row r="67" spans="1:4" s="67" customFormat="1" ht="13" x14ac:dyDescent="0.25">
      <c r="A67" s="83" t="s">
        <v>602</v>
      </c>
      <c r="B67" s="1073" t="s">
        <v>617</v>
      </c>
      <c r="C67" s="1073"/>
      <c r="D67" s="1073"/>
    </row>
    <row r="68" spans="1:4" s="67" customFormat="1" ht="13" x14ac:dyDescent="0.25">
      <c r="A68" s="83" t="s">
        <v>604</v>
      </c>
      <c r="B68" s="85" t="s">
        <v>605</v>
      </c>
      <c r="C68" s="85"/>
      <c r="D68" s="85"/>
    </row>
    <row r="69" spans="1:4" s="67" customFormat="1" ht="13" x14ac:dyDescent="0.25">
      <c r="A69" s="83" t="s">
        <v>608</v>
      </c>
      <c r="B69" s="85" t="s">
        <v>609</v>
      </c>
      <c r="C69" s="85"/>
      <c r="D69" s="85"/>
    </row>
    <row r="70" spans="1:4" s="67" customFormat="1" ht="13" x14ac:dyDescent="0.25">
      <c r="A70" s="83" t="s">
        <v>606</v>
      </c>
      <c r="B70" s="85" t="s">
        <v>607</v>
      </c>
      <c r="C70" s="85"/>
      <c r="D70" s="85"/>
    </row>
    <row r="71" spans="1:4" s="67" customFormat="1" ht="13" x14ac:dyDescent="0.25">
      <c r="A71" s="83" t="s">
        <v>610</v>
      </c>
      <c r="B71" s="114">
        <v>-0.05</v>
      </c>
      <c r="C71" s="115"/>
      <c r="D71" s="85"/>
    </row>
    <row r="72" spans="1:4" s="67" customFormat="1" ht="13" x14ac:dyDescent="0.25">
      <c r="A72" s="118" t="s">
        <v>270</v>
      </c>
      <c r="B72" s="1074"/>
      <c r="C72" s="1074"/>
      <c r="D72" s="1074"/>
    </row>
    <row r="73" spans="1:4" s="67" customFormat="1" ht="13" x14ac:dyDescent="0.25">
      <c r="A73" s="83" t="s">
        <v>274</v>
      </c>
      <c r="B73" s="1074"/>
      <c r="C73" s="1074"/>
      <c r="D73" s="1074"/>
    </row>
    <row r="74" spans="1:4" s="67" customFormat="1" x14ac:dyDescent="0.25"/>
    <row r="75" spans="1:4" s="67" customFormat="1" ht="15.5" x14ac:dyDescent="0.25">
      <c r="A75" s="83" t="s">
        <v>594</v>
      </c>
      <c r="B75" s="1085" t="s">
        <v>724</v>
      </c>
      <c r="C75" s="1085"/>
      <c r="D75" s="1085"/>
    </row>
    <row r="76" spans="1:4" s="67" customFormat="1" ht="13" x14ac:dyDescent="0.25">
      <c r="A76" s="83" t="s">
        <v>596</v>
      </c>
      <c r="B76" s="1073" t="s">
        <v>725</v>
      </c>
      <c r="C76" s="1073"/>
      <c r="D76" s="1073"/>
    </row>
    <row r="77" spans="1:4" s="67" customFormat="1" ht="13" x14ac:dyDescent="0.25">
      <c r="A77" s="83" t="s">
        <v>598</v>
      </c>
      <c r="B77" s="1051" t="s">
        <v>599</v>
      </c>
      <c r="C77" s="1051"/>
      <c r="D77" s="1051"/>
    </row>
    <row r="78" spans="1:4" s="67" customFormat="1" ht="13" x14ac:dyDescent="0.25">
      <c r="A78" s="83" t="s">
        <v>600</v>
      </c>
      <c r="B78" s="113" t="s">
        <v>601</v>
      </c>
      <c r="C78" s="119"/>
      <c r="D78" s="119"/>
    </row>
    <row r="79" spans="1:4" s="67" customFormat="1" ht="13" x14ac:dyDescent="0.25">
      <c r="A79" s="83" t="s">
        <v>602</v>
      </c>
      <c r="B79" s="1073" t="s">
        <v>603</v>
      </c>
      <c r="C79" s="1073"/>
      <c r="D79" s="1073"/>
    </row>
    <row r="80" spans="1:4" s="67" customFormat="1" ht="13" x14ac:dyDescent="0.25">
      <c r="A80" s="83" t="s">
        <v>604</v>
      </c>
      <c r="B80" s="85" t="s">
        <v>605</v>
      </c>
      <c r="C80" s="85"/>
      <c r="D80" s="85"/>
    </row>
    <row r="81" spans="1:4" s="67" customFormat="1" ht="13" x14ac:dyDescent="0.25">
      <c r="A81" s="83" t="s">
        <v>608</v>
      </c>
      <c r="B81" s="85" t="s">
        <v>726</v>
      </c>
      <c r="C81" s="85"/>
      <c r="D81" s="85"/>
    </row>
    <row r="82" spans="1:4" s="67" customFormat="1" ht="13" x14ac:dyDescent="0.25">
      <c r="A82" s="83" t="s">
        <v>606</v>
      </c>
      <c r="B82" s="85" t="s">
        <v>607</v>
      </c>
      <c r="C82" s="85"/>
      <c r="D82" s="85"/>
    </row>
    <row r="83" spans="1:4" s="67" customFormat="1" ht="13" x14ac:dyDescent="0.25">
      <c r="A83" s="83" t="s">
        <v>610</v>
      </c>
      <c r="B83" s="114">
        <v>-0.25</v>
      </c>
      <c r="C83" s="115"/>
      <c r="D83" s="85"/>
    </row>
    <row r="84" spans="1:4" s="67" customFormat="1" ht="13" x14ac:dyDescent="0.25">
      <c r="A84" s="118" t="s">
        <v>270</v>
      </c>
      <c r="B84" s="1074"/>
      <c r="C84" s="1074"/>
      <c r="D84" s="1074"/>
    </row>
    <row r="85" spans="1:4" s="67" customFormat="1" ht="13" x14ac:dyDescent="0.25">
      <c r="A85" s="83" t="s">
        <v>274</v>
      </c>
      <c r="B85" s="1074"/>
      <c r="C85" s="1074"/>
      <c r="D85" s="1074"/>
    </row>
    <row r="86" spans="1:4" s="67" customFormat="1" x14ac:dyDescent="0.25">
      <c r="A86" s="81"/>
      <c r="B86" s="81"/>
      <c r="C86" s="81"/>
      <c r="D86" s="81"/>
    </row>
    <row r="87" spans="1:4" s="67" customFormat="1" ht="15.5" x14ac:dyDescent="0.25">
      <c r="A87" s="83" t="s">
        <v>594</v>
      </c>
      <c r="B87" s="1085" t="s">
        <v>727</v>
      </c>
      <c r="C87" s="1085"/>
      <c r="D87" s="1085"/>
    </row>
    <row r="88" spans="1:4" s="67" customFormat="1" ht="13" x14ac:dyDescent="0.25">
      <c r="A88" s="83" t="s">
        <v>596</v>
      </c>
      <c r="B88" s="1073" t="s">
        <v>728</v>
      </c>
      <c r="C88" s="1073"/>
      <c r="D88" s="1073"/>
    </row>
    <row r="89" spans="1:4" s="67" customFormat="1" ht="13" x14ac:dyDescent="0.25">
      <c r="A89" s="83" t="s">
        <v>598</v>
      </c>
      <c r="B89" s="1051" t="s">
        <v>599</v>
      </c>
      <c r="C89" s="1051"/>
      <c r="D89" s="1051"/>
    </row>
    <row r="90" spans="1:4" s="67" customFormat="1" ht="13" x14ac:dyDescent="0.25">
      <c r="A90" s="83" t="s">
        <v>600</v>
      </c>
      <c r="B90" s="113" t="s">
        <v>601</v>
      </c>
      <c r="C90" s="119"/>
      <c r="D90" s="119"/>
    </row>
    <row r="91" spans="1:4" s="67" customFormat="1" ht="13" x14ac:dyDescent="0.25">
      <c r="A91" s="83" t="s">
        <v>602</v>
      </c>
      <c r="B91" s="1073" t="s">
        <v>603</v>
      </c>
      <c r="C91" s="1073"/>
      <c r="D91" s="1073"/>
    </row>
    <row r="92" spans="1:4" s="67" customFormat="1" ht="13" x14ac:dyDescent="0.25">
      <c r="A92" s="83" t="s">
        <v>604</v>
      </c>
      <c r="B92" s="85" t="s">
        <v>605</v>
      </c>
      <c r="C92" s="85"/>
      <c r="D92" s="85"/>
    </row>
    <row r="93" spans="1:4" s="67" customFormat="1" ht="13" x14ac:dyDescent="0.25">
      <c r="A93" s="83" t="s">
        <v>608</v>
      </c>
      <c r="B93" s="85" t="s">
        <v>726</v>
      </c>
      <c r="C93" s="85"/>
      <c r="D93" s="85"/>
    </row>
    <row r="94" spans="1:4" s="67" customFormat="1" ht="13" x14ac:dyDescent="0.25">
      <c r="A94" s="83" t="s">
        <v>606</v>
      </c>
      <c r="B94" s="85" t="s">
        <v>607</v>
      </c>
      <c r="C94" s="85"/>
      <c r="D94" s="85"/>
    </row>
    <row r="95" spans="1:4" s="67" customFormat="1" ht="13" x14ac:dyDescent="0.25">
      <c r="A95" s="83" t="s">
        <v>610</v>
      </c>
      <c r="B95" s="114">
        <v>-0.15</v>
      </c>
      <c r="C95" s="115"/>
      <c r="D95" s="85"/>
    </row>
    <row r="96" spans="1:4" s="67" customFormat="1" ht="13" x14ac:dyDescent="0.25">
      <c r="A96" s="118" t="s">
        <v>270</v>
      </c>
      <c r="B96" s="1074"/>
      <c r="C96" s="1074"/>
      <c r="D96" s="1074"/>
    </row>
    <row r="97" spans="1:4" s="67" customFormat="1" ht="13" x14ac:dyDescent="0.25">
      <c r="A97" s="83" t="s">
        <v>274</v>
      </c>
      <c r="B97" s="1074"/>
      <c r="C97" s="1074"/>
      <c r="D97" s="1074"/>
    </row>
    <row r="98" spans="1:4" s="67" customFormat="1" x14ac:dyDescent="0.25">
      <c r="A98" s="81"/>
      <c r="B98" s="81"/>
      <c r="C98" s="81"/>
      <c r="D98" s="81"/>
    </row>
    <row r="99" spans="1:4" s="67" customFormat="1" ht="15.5" x14ac:dyDescent="0.25">
      <c r="A99" s="83" t="s">
        <v>594</v>
      </c>
      <c r="B99" s="1085" t="s">
        <v>729</v>
      </c>
      <c r="C99" s="1085"/>
      <c r="D99" s="1085"/>
    </row>
    <row r="100" spans="1:4" s="67" customFormat="1" ht="13" x14ac:dyDescent="0.25">
      <c r="A100" s="83" t="s">
        <v>596</v>
      </c>
      <c r="B100" s="1073" t="s">
        <v>730</v>
      </c>
      <c r="C100" s="1073"/>
      <c r="D100" s="1073"/>
    </row>
    <row r="101" spans="1:4" s="67" customFormat="1" ht="13" x14ac:dyDescent="0.25">
      <c r="A101" s="83" t="s">
        <v>598</v>
      </c>
      <c r="B101" s="1051" t="s">
        <v>599</v>
      </c>
      <c r="C101" s="1051"/>
      <c r="D101" s="1051"/>
    </row>
    <row r="102" spans="1:4" s="67" customFormat="1" ht="13" x14ac:dyDescent="0.25">
      <c r="A102" s="83" t="s">
        <v>600</v>
      </c>
      <c r="B102" s="113" t="s">
        <v>601</v>
      </c>
      <c r="C102" s="119"/>
      <c r="D102" s="119"/>
    </row>
    <row r="103" spans="1:4" s="67" customFormat="1" ht="13" x14ac:dyDescent="0.25">
      <c r="A103" s="83" t="s">
        <v>602</v>
      </c>
      <c r="B103" s="1073" t="s">
        <v>603</v>
      </c>
      <c r="C103" s="1073"/>
      <c r="D103" s="1073"/>
    </row>
    <row r="104" spans="1:4" s="67" customFormat="1" ht="13" x14ac:dyDescent="0.25">
      <c r="A104" s="83" t="s">
        <v>604</v>
      </c>
      <c r="B104" s="85" t="s">
        <v>605</v>
      </c>
      <c r="C104" s="85"/>
      <c r="D104" s="85"/>
    </row>
    <row r="105" spans="1:4" s="67" customFormat="1" ht="13" x14ac:dyDescent="0.25">
      <c r="A105" s="83" t="s">
        <v>608</v>
      </c>
      <c r="B105" s="85" t="s">
        <v>726</v>
      </c>
      <c r="C105" s="85"/>
      <c r="D105" s="85"/>
    </row>
    <row r="106" spans="1:4" s="67" customFormat="1" ht="13" x14ac:dyDescent="0.25">
      <c r="A106" s="83" t="s">
        <v>606</v>
      </c>
      <c r="B106" s="85" t="s">
        <v>607</v>
      </c>
      <c r="C106" s="85"/>
      <c r="D106" s="85"/>
    </row>
    <row r="107" spans="1:4" s="67" customFormat="1" ht="13" x14ac:dyDescent="0.25">
      <c r="A107" s="83" t="s">
        <v>610</v>
      </c>
      <c r="B107" s="114">
        <v>-0.05</v>
      </c>
      <c r="C107" s="115"/>
      <c r="D107" s="85"/>
    </row>
    <row r="108" spans="1:4" s="67" customFormat="1" ht="13" x14ac:dyDescent="0.25">
      <c r="A108" s="118" t="s">
        <v>270</v>
      </c>
      <c r="B108" s="1074"/>
      <c r="C108" s="1074"/>
      <c r="D108" s="1074"/>
    </row>
    <row r="109" spans="1:4" s="67" customFormat="1" ht="13" x14ac:dyDescent="0.25">
      <c r="A109" s="83" t="s">
        <v>274</v>
      </c>
      <c r="B109" s="1074"/>
      <c r="C109" s="1074"/>
      <c r="D109" s="1074"/>
    </row>
    <row r="110" spans="1:4" s="67" customFormat="1" ht="13" x14ac:dyDescent="0.25">
      <c r="A110" s="83"/>
      <c r="B110" s="99"/>
      <c r="C110" s="99"/>
      <c r="D110" s="99"/>
    </row>
    <row r="111" spans="1:4" s="67" customFormat="1" ht="15.5" x14ac:dyDescent="0.35">
      <c r="A111" s="83" t="s">
        <v>594</v>
      </c>
      <c r="B111" s="1072" t="s">
        <v>731</v>
      </c>
      <c r="C111" s="1072"/>
      <c r="D111" s="1072"/>
    </row>
    <row r="112" spans="1:4" s="67" customFormat="1" ht="13" x14ac:dyDescent="0.25">
      <c r="A112" s="83" t="s">
        <v>596</v>
      </c>
      <c r="B112" s="1073" t="s">
        <v>732</v>
      </c>
      <c r="C112" s="1073"/>
      <c r="D112" s="1073"/>
    </row>
    <row r="113" spans="1:4" s="67" customFormat="1" ht="13" x14ac:dyDescent="0.25">
      <c r="A113" s="83" t="s">
        <v>598</v>
      </c>
      <c r="B113" s="1051" t="s">
        <v>599</v>
      </c>
      <c r="C113" s="1051"/>
      <c r="D113" s="1051"/>
    </row>
    <row r="114" spans="1:4" s="67" customFormat="1" ht="13" x14ac:dyDescent="0.25">
      <c r="A114" s="83" t="s">
        <v>600</v>
      </c>
      <c r="B114" s="113" t="s">
        <v>601</v>
      </c>
      <c r="C114" s="119"/>
      <c r="D114" s="119"/>
    </row>
    <row r="115" spans="1:4" s="67" customFormat="1" ht="13" x14ac:dyDescent="0.25">
      <c r="A115" s="83" t="s">
        <v>602</v>
      </c>
      <c r="B115" s="1073" t="s">
        <v>603</v>
      </c>
      <c r="C115" s="1073"/>
      <c r="D115" s="1073"/>
    </row>
    <row r="116" spans="1:4" s="67" customFormat="1" ht="13" x14ac:dyDescent="0.25">
      <c r="A116" s="83" t="s">
        <v>604</v>
      </c>
      <c r="B116" s="85" t="s">
        <v>605</v>
      </c>
      <c r="C116" s="85"/>
      <c r="D116" s="85"/>
    </row>
    <row r="117" spans="1:4" s="67" customFormat="1" ht="13" x14ac:dyDescent="0.25">
      <c r="A117" s="83" t="s">
        <v>608</v>
      </c>
      <c r="B117" s="85" t="s">
        <v>726</v>
      </c>
      <c r="C117" s="85"/>
      <c r="D117" s="85"/>
    </row>
    <row r="118" spans="1:4" s="67" customFormat="1" ht="13" x14ac:dyDescent="0.25">
      <c r="A118" s="83" t="s">
        <v>606</v>
      </c>
      <c r="B118" s="85" t="s">
        <v>607</v>
      </c>
      <c r="C118" s="85"/>
      <c r="D118" s="85"/>
    </row>
    <row r="119" spans="1:4" s="67" customFormat="1" ht="13" x14ac:dyDescent="0.25">
      <c r="A119" s="83" t="s">
        <v>610</v>
      </c>
      <c r="B119" s="114" t="s">
        <v>733</v>
      </c>
      <c r="C119" s="115"/>
      <c r="D119" s="85"/>
    </row>
    <row r="120" spans="1:4" s="67" customFormat="1" ht="13" x14ac:dyDescent="0.25">
      <c r="A120" s="118" t="s">
        <v>270</v>
      </c>
      <c r="B120" s="1074"/>
      <c r="C120" s="1074"/>
      <c r="D120" s="1074"/>
    </row>
    <row r="121" spans="1:4" s="67" customFormat="1" ht="13" x14ac:dyDescent="0.25">
      <c r="A121" s="83" t="s">
        <v>274</v>
      </c>
      <c r="B121" s="1074" t="s">
        <v>734</v>
      </c>
      <c r="C121" s="1074"/>
      <c r="D121" s="1074"/>
    </row>
    <row r="122" spans="1:4" s="67" customFormat="1" x14ac:dyDescent="0.25">
      <c r="A122" s="81"/>
      <c r="B122" s="81"/>
      <c r="C122" s="81"/>
      <c r="D122" s="81"/>
    </row>
    <row r="123" spans="1:4" s="67" customFormat="1" ht="15.5" x14ac:dyDescent="0.35">
      <c r="A123" s="83" t="s">
        <v>594</v>
      </c>
      <c r="B123" s="1072" t="s">
        <v>735</v>
      </c>
      <c r="C123" s="1072"/>
      <c r="D123" s="1072"/>
    </row>
    <row r="124" spans="1:4" s="67" customFormat="1" ht="13" x14ac:dyDescent="0.25">
      <c r="A124" s="83" t="s">
        <v>596</v>
      </c>
      <c r="B124" s="1073" t="s">
        <v>736</v>
      </c>
      <c r="C124" s="1073"/>
      <c r="D124" s="1073"/>
    </row>
    <row r="125" spans="1:4" s="67" customFormat="1" ht="13" x14ac:dyDescent="0.25">
      <c r="A125" s="83" t="s">
        <v>598</v>
      </c>
      <c r="B125" s="1051" t="s">
        <v>599</v>
      </c>
      <c r="C125" s="1051"/>
      <c r="D125" s="1051"/>
    </row>
    <row r="126" spans="1:4" s="67" customFormat="1" ht="13" x14ac:dyDescent="0.25">
      <c r="A126" s="83" t="s">
        <v>600</v>
      </c>
      <c r="B126" s="113" t="s">
        <v>601</v>
      </c>
      <c r="C126" s="119"/>
      <c r="D126" s="119"/>
    </row>
    <row r="127" spans="1:4" s="67" customFormat="1" ht="13" x14ac:dyDescent="0.25">
      <c r="A127" s="83" t="s">
        <v>602</v>
      </c>
      <c r="B127" s="1073" t="s">
        <v>603</v>
      </c>
      <c r="C127" s="1073"/>
      <c r="D127" s="1073"/>
    </row>
    <row r="128" spans="1:4" s="67" customFormat="1" ht="13" x14ac:dyDescent="0.25">
      <c r="A128" s="83" t="s">
        <v>604</v>
      </c>
      <c r="B128" s="85" t="s">
        <v>605</v>
      </c>
      <c r="C128" s="85"/>
      <c r="D128" s="85"/>
    </row>
    <row r="129" spans="1:4" s="67" customFormat="1" ht="13" x14ac:dyDescent="0.25">
      <c r="A129" s="83" t="s">
        <v>608</v>
      </c>
      <c r="B129" s="85" t="s">
        <v>726</v>
      </c>
      <c r="C129" s="85"/>
      <c r="D129" s="85"/>
    </row>
    <row r="130" spans="1:4" s="67" customFormat="1" ht="13" x14ac:dyDescent="0.25">
      <c r="A130" s="83" t="s">
        <v>606</v>
      </c>
      <c r="B130" s="85" t="s">
        <v>607</v>
      </c>
      <c r="C130" s="85"/>
      <c r="D130" s="85"/>
    </row>
    <row r="131" spans="1:4" s="67" customFormat="1" ht="13" x14ac:dyDescent="0.25">
      <c r="A131" s="83" t="s">
        <v>610</v>
      </c>
      <c r="B131" s="114" t="s">
        <v>737</v>
      </c>
      <c r="C131" s="115"/>
      <c r="D131" s="85"/>
    </row>
    <row r="132" spans="1:4" s="67" customFormat="1" ht="13" x14ac:dyDescent="0.25">
      <c r="A132" s="118" t="s">
        <v>270</v>
      </c>
      <c r="B132" s="1074"/>
      <c r="C132" s="1074"/>
      <c r="D132" s="1074"/>
    </row>
    <row r="133" spans="1:4" s="67" customFormat="1" ht="13" x14ac:dyDescent="0.25">
      <c r="A133" s="83" t="s">
        <v>274</v>
      </c>
      <c r="B133" s="1074" t="s">
        <v>734</v>
      </c>
      <c r="C133" s="1074"/>
      <c r="D133" s="1074"/>
    </row>
    <row r="134" spans="1:4" s="67" customFormat="1" x14ac:dyDescent="0.25">
      <c r="A134" s="81"/>
      <c r="B134" s="81"/>
      <c r="C134" s="81"/>
      <c r="D134" s="81"/>
    </row>
    <row r="135" spans="1:4" s="67" customFormat="1" ht="15.5" x14ac:dyDescent="0.35">
      <c r="A135" s="83" t="s">
        <v>594</v>
      </c>
      <c r="B135" s="1072" t="s">
        <v>738</v>
      </c>
      <c r="C135" s="1072"/>
      <c r="D135" s="1072"/>
    </row>
    <row r="136" spans="1:4" s="67" customFormat="1" ht="13" x14ac:dyDescent="0.25">
      <c r="A136" s="83" t="s">
        <v>596</v>
      </c>
      <c r="B136" s="1073" t="s">
        <v>739</v>
      </c>
      <c r="C136" s="1073"/>
      <c r="D136" s="1073"/>
    </row>
    <row r="137" spans="1:4" s="67" customFormat="1" ht="13" x14ac:dyDescent="0.25">
      <c r="A137" s="83" t="s">
        <v>598</v>
      </c>
      <c r="B137" s="1051" t="s">
        <v>599</v>
      </c>
      <c r="C137" s="1051"/>
      <c r="D137" s="1051"/>
    </row>
    <row r="138" spans="1:4" s="67" customFormat="1" ht="13" x14ac:dyDescent="0.25">
      <c r="A138" s="83" t="s">
        <v>600</v>
      </c>
      <c r="B138" s="113" t="s">
        <v>601</v>
      </c>
      <c r="C138" s="119"/>
      <c r="D138" s="119"/>
    </row>
    <row r="139" spans="1:4" s="67" customFormat="1" ht="13" x14ac:dyDescent="0.25">
      <c r="A139" s="83" t="s">
        <v>602</v>
      </c>
      <c r="B139" s="1073" t="s">
        <v>603</v>
      </c>
      <c r="C139" s="1073"/>
      <c r="D139" s="1073"/>
    </row>
    <row r="140" spans="1:4" s="67" customFormat="1" ht="13" x14ac:dyDescent="0.25">
      <c r="A140" s="83" t="s">
        <v>604</v>
      </c>
      <c r="B140" s="85" t="s">
        <v>605</v>
      </c>
      <c r="C140" s="85"/>
      <c r="D140" s="85"/>
    </row>
    <row r="141" spans="1:4" s="67" customFormat="1" ht="13" x14ac:dyDescent="0.25">
      <c r="A141" s="83" t="s">
        <v>608</v>
      </c>
      <c r="B141" s="85" t="s">
        <v>726</v>
      </c>
      <c r="C141" s="85"/>
      <c r="D141" s="85"/>
    </row>
    <row r="142" spans="1:4" s="67" customFormat="1" ht="13" x14ac:dyDescent="0.25">
      <c r="A142" s="83" t="s">
        <v>606</v>
      </c>
      <c r="B142" s="85" t="s">
        <v>607</v>
      </c>
      <c r="C142" s="85"/>
      <c r="D142" s="85"/>
    </row>
    <row r="143" spans="1:4" s="67" customFormat="1" ht="13" x14ac:dyDescent="0.25">
      <c r="A143" s="83" t="s">
        <v>610</v>
      </c>
      <c r="B143" s="114" t="s">
        <v>740</v>
      </c>
      <c r="C143" s="115"/>
      <c r="D143" s="85"/>
    </row>
    <row r="144" spans="1:4" s="67" customFormat="1" ht="13" x14ac:dyDescent="0.25">
      <c r="A144" s="118" t="s">
        <v>270</v>
      </c>
      <c r="B144" s="1074"/>
      <c r="C144" s="1074"/>
      <c r="D144" s="1074"/>
    </row>
    <row r="145" spans="1:4" s="67" customFormat="1" ht="13" x14ac:dyDescent="0.25">
      <c r="A145" s="83" t="s">
        <v>274</v>
      </c>
      <c r="B145" s="1074" t="s">
        <v>734</v>
      </c>
      <c r="C145" s="1074"/>
      <c r="D145" s="1074"/>
    </row>
    <row r="146" spans="1:4" s="67" customFormat="1" x14ac:dyDescent="0.25">
      <c r="A146" s="81"/>
      <c r="B146" s="81"/>
      <c r="C146" s="81"/>
      <c r="D146" s="81"/>
    </row>
    <row r="147" spans="1:4" s="67" customFormat="1" ht="15.5" x14ac:dyDescent="0.35">
      <c r="A147" s="83" t="s">
        <v>594</v>
      </c>
      <c r="B147" s="1072" t="s">
        <v>741</v>
      </c>
      <c r="C147" s="1072"/>
      <c r="D147" s="1072"/>
    </row>
    <row r="148" spans="1:4" s="67" customFormat="1" ht="13" x14ac:dyDescent="0.25">
      <c r="A148" s="83" t="s">
        <v>596</v>
      </c>
      <c r="B148" s="1073" t="s">
        <v>742</v>
      </c>
      <c r="C148" s="1073"/>
      <c r="D148" s="1073"/>
    </row>
    <row r="149" spans="1:4" s="67" customFormat="1" ht="13" x14ac:dyDescent="0.25">
      <c r="A149" s="83" t="s">
        <v>598</v>
      </c>
      <c r="B149" s="1051" t="s">
        <v>599</v>
      </c>
      <c r="C149" s="1051"/>
      <c r="D149" s="1051"/>
    </row>
    <row r="150" spans="1:4" s="67" customFormat="1" ht="13" x14ac:dyDescent="0.25">
      <c r="A150" s="83" t="s">
        <v>600</v>
      </c>
      <c r="B150" s="113" t="s">
        <v>601</v>
      </c>
      <c r="C150" s="119"/>
      <c r="D150" s="119"/>
    </row>
    <row r="151" spans="1:4" s="67" customFormat="1" ht="13" x14ac:dyDescent="0.25">
      <c r="A151" s="83" t="s">
        <v>602</v>
      </c>
      <c r="B151" s="1073" t="s">
        <v>603</v>
      </c>
      <c r="C151" s="1073"/>
      <c r="D151" s="1073"/>
    </row>
    <row r="152" spans="1:4" s="67" customFormat="1" ht="13" x14ac:dyDescent="0.25">
      <c r="A152" s="83" t="s">
        <v>604</v>
      </c>
      <c r="B152" s="85" t="s">
        <v>605</v>
      </c>
      <c r="C152" s="85"/>
      <c r="D152" s="85"/>
    </row>
    <row r="153" spans="1:4" s="67" customFormat="1" ht="13" x14ac:dyDescent="0.25">
      <c r="A153" s="83" t="s">
        <v>608</v>
      </c>
      <c r="B153" s="85" t="s">
        <v>726</v>
      </c>
      <c r="C153" s="85"/>
      <c r="D153" s="85"/>
    </row>
    <row r="154" spans="1:4" s="67" customFormat="1" ht="13" x14ac:dyDescent="0.25">
      <c r="A154" s="83" t="s">
        <v>606</v>
      </c>
      <c r="B154" s="85" t="s">
        <v>607</v>
      </c>
      <c r="C154" s="85"/>
      <c r="D154" s="85"/>
    </row>
    <row r="155" spans="1:4" s="67" customFormat="1" ht="13" x14ac:dyDescent="0.25">
      <c r="A155" s="83" t="s">
        <v>610</v>
      </c>
      <c r="B155" s="114" t="s">
        <v>733</v>
      </c>
      <c r="C155" s="115"/>
      <c r="D155" s="85"/>
    </row>
    <row r="156" spans="1:4" s="67" customFormat="1" ht="13" x14ac:dyDescent="0.25">
      <c r="A156" s="118" t="s">
        <v>270</v>
      </c>
      <c r="B156" s="1074"/>
      <c r="C156" s="1074"/>
      <c r="D156" s="1074"/>
    </row>
    <row r="157" spans="1:4" s="67" customFormat="1" ht="13" x14ac:dyDescent="0.25">
      <c r="A157" s="83" t="s">
        <v>274</v>
      </c>
      <c r="B157" s="1074" t="s">
        <v>734</v>
      </c>
      <c r="C157" s="1074"/>
      <c r="D157" s="1074"/>
    </row>
    <row r="158" spans="1:4" s="67" customFormat="1" x14ac:dyDescent="0.25">
      <c r="A158" s="81"/>
      <c r="B158" s="81"/>
      <c r="C158" s="81"/>
      <c r="D158" s="81"/>
    </row>
    <row r="159" spans="1:4" s="67" customFormat="1" ht="15.5" x14ac:dyDescent="0.35">
      <c r="A159" s="83" t="s">
        <v>594</v>
      </c>
      <c r="B159" s="1072" t="s">
        <v>743</v>
      </c>
      <c r="C159" s="1072"/>
      <c r="D159" s="1072"/>
    </row>
    <row r="160" spans="1:4" s="67" customFormat="1" ht="13" x14ac:dyDescent="0.25">
      <c r="A160" s="83" t="s">
        <v>596</v>
      </c>
      <c r="B160" s="1073" t="s">
        <v>744</v>
      </c>
      <c r="C160" s="1073"/>
      <c r="D160" s="1073"/>
    </row>
    <row r="161" spans="1:4" s="67" customFormat="1" ht="13" x14ac:dyDescent="0.25">
      <c r="A161" s="83" t="s">
        <v>598</v>
      </c>
      <c r="B161" s="1051" t="s">
        <v>599</v>
      </c>
      <c r="C161" s="1051"/>
      <c r="D161" s="1051"/>
    </row>
    <row r="162" spans="1:4" s="67" customFormat="1" ht="13" x14ac:dyDescent="0.25">
      <c r="A162" s="83" t="s">
        <v>600</v>
      </c>
      <c r="B162" s="113" t="s">
        <v>601</v>
      </c>
      <c r="C162" s="119"/>
      <c r="D162" s="119"/>
    </row>
    <row r="163" spans="1:4" s="67" customFormat="1" ht="13" x14ac:dyDescent="0.25">
      <c r="A163" s="83" t="s">
        <v>602</v>
      </c>
      <c r="B163" s="1073" t="s">
        <v>603</v>
      </c>
      <c r="C163" s="1073"/>
      <c r="D163" s="1073"/>
    </row>
    <row r="164" spans="1:4" s="67" customFormat="1" ht="13" x14ac:dyDescent="0.25">
      <c r="A164" s="83" t="s">
        <v>604</v>
      </c>
      <c r="B164" s="85" t="s">
        <v>605</v>
      </c>
      <c r="C164" s="85"/>
      <c r="D164" s="85"/>
    </row>
    <row r="165" spans="1:4" s="67" customFormat="1" ht="13" x14ac:dyDescent="0.25">
      <c r="A165" s="83" t="s">
        <v>608</v>
      </c>
      <c r="B165" s="85" t="s">
        <v>726</v>
      </c>
      <c r="C165" s="85"/>
      <c r="D165" s="85"/>
    </row>
    <row r="166" spans="1:4" s="67" customFormat="1" ht="13" x14ac:dyDescent="0.25">
      <c r="A166" s="83" t="s">
        <v>606</v>
      </c>
      <c r="B166" s="85" t="s">
        <v>607</v>
      </c>
      <c r="C166" s="85"/>
      <c r="D166" s="85"/>
    </row>
    <row r="167" spans="1:4" s="67" customFormat="1" ht="13" x14ac:dyDescent="0.25">
      <c r="A167" s="83" t="s">
        <v>610</v>
      </c>
      <c r="B167" s="114" t="s">
        <v>737</v>
      </c>
      <c r="C167" s="115"/>
      <c r="D167" s="85"/>
    </row>
    <row r="168" spans="1:4" s="67" customFormat="1" ht="13" x14ac:dyDescent="0.25">
      <c r="A168" s="118" t="s">
        <v>270</v>
      </c>
      <c r="B168" s="1074"/>
      <c r="C168" s="1074"/>
      <c r="D168" s="1074"/>
    </row>
    <row r="169" spans="1:4" s="67" customFormat="1" ht="13" x14ac:dyDescent="0.25">
      <c r="A169" s="83" t="s">
        <v>274</v>
      </c>
      <c r="B169" s="1074" t="s">
        <v>734</v>
      </c>
      <c r="C169" s="1074"/>
      <c r="D169" s="1074"/>
    </row>
    <row r="170" spans="1:4" s="67" customFormat="1" x14ac:dyDescent="0.25">
      <c r="A170" s="81"/>
      <c r="B170" s="81"/>
      <c r="C170" s="81"/>
      <c r="D170" s="81"/>
    </row>
    <row r="171" spans="1:4" s="67" customFormat="1" ht="15.5" x14ac:dyDescent="0.35">
      <c r="A171" s="83" t="s">
        <v>594</v>
      </c>
      <c r="B171" s="1072" t="s">
        <v>745</v>
      </c>
      <c r="C171" s="1072"/>
      <c r="D171" s="1072"/>
    </row>
    <row r="172" spans="1:4" s="67" customFormat="1" ht="13" x14ac:dyDescent="0.25">
      <c r="A172" s="83" t="s">
        <v>596</v>
      </c>
      <c r="B172" s="1073" t="s">
        <v>746</v>
      </c>
      <c r="C172" s="1073"/>
      <c r="D172" s="1073"/>
    </row>
    <row r="173" spans="1:4" s="67" customFormat="1" ht="13" x14ac:dyDescent="0.25">
      <c r="A173" s="83" t="s">
        <v>598</v>
      </c>
      <c r="B173" s="1051" t="s">
        <v>599</v>
      </c>
      <c r="C173" s="1051"/>
      <c r="D173" s="1051"/>
    </row>
    <row r="174" spans="1:4" s="67" customFormat="1" ht="13" x14ac:dyDescent="0.25">
      <c r="A174" s="83" t="s">
        <v>600</v>
      </c>
      <c r="B174" s="113" t="s">
        <v>601</v>
      </c>
      <c r="C174" s="119"/>
      <c r="D174" s="119"/>
    </row>
    <row r="175" spans="1:4" s="67" customFormat="1" ht="13" x14ac:dyDescent="0.25">
      <c r="A175" s="83" t="s">
        <v>602</v>
      </c>
      <c r="B175" s="1073" t="s">
        <v>603</v>
      </c>
      <c r="C175" s="1073"/>
      <c r="D175" s="1073"/>
    </row>
    <row r="176" spans="1:4" s="67" customFormat="1" ht="13" x14ac:dyDescent="0.25">
      <c r="A176" s="83" t="s">
        <v>604</v>
      </c>
      <c r="B176" s="85" t="s">
        <v>605</v>
      </c>
      <c r="C176" s="85"/>
      <c r="D176" s="85"/>
    </row>
    <row r="177" spans="1:4" s="67" customFormat="1" ht="13" x14ac:dyDescent="0.25">
      <c r="A177" s="83" t="s">
        <v>608</v>
      </c>
      <c r="B177" s="85" t="s">
        <v>726</v>
      </c>
      <c r="C177" s="85"/>
      <c r="D177" s="85"/>
    </row>
    <row r="178" spans="1:4" s="67" customFormat="1" ht="13" x14ac:dyDescent="0.25">
      <c r="A178" s="83" t="s">
        <v>606</v>
      </c>
      <c r="B178" s="85" t="s">
        <v>607</v>
      </c>
      <c r="C178" s="85"/>
      <c r="D178" s="85"/>
    </row>
    <row r="179" spans="1:4" s="67" customFormat="1" ht="13" x14ac:dyDescent="0.25">
      <c r="A179" s="83" t="s">
        <v>610</v>
      </c>
      <c r="B179" s="114" t="s">
        <v>740</v>
      </c>
      <c r="C179" s="115"/>
      <c r="D179" s="85"/>
    </row>
    <row r="180" spans="1:4" s="67" customFormat="1" ht="13" x14ac:dyDescent="0.25">
      <c r="A180" s="118" t="s">
        <v>270</v>
      </c>
      <c r="B180" s="1074"/>
      <c r="C180" s="1074"/>
      <c r="D180" s="1074"/>
    </row>
    <row r="181" spans="1:4" s="67" customFormat="1" ht="13" x14ac:dyDescent="0.25">
      <c r="A181" s="83" t="s">
        <v>274</v>
      </c>
      <c r="B181" s="1074" t="s">
        <v>734</v>
      </c>
      <c r="C181" s="1074"/>
      <c r="D181" s="1074"/>
    </row>
    <row r="182" spans="1:4" s="67" customFormat="1" ht="13" x14ac:dyDescent="0.25">
      <c r="A182" s="83"/>
      <c r="B182" s="99"/>
      <c r="C182" s="99"/>
      <c r="D182" s="99"/>
    </row>
    <row r="183" spans="1:4" s="67" customFormat="1" ht="15.5" x14ac:dyDescent="0.35">
      <c r="A183" s="83" t="s">
        <v>594</v>
      </c>
      <c r="B183" s="1072" t="s">
        <v>747</v>
      </c>
      <c r="C183" s="1072"/>
      <c r="D183" s="1072"/>
    </row>
    <row r="184" spans="1:4" s="67" customFormat="1" ht="13" x14ac:dyDescent="0.25">
      <c r="A184" s="83" t="s">
        <v>596</v>
      </c>
      <c r="B184" s="1073" t="s">
        <v>748</v>
      </c>
      <c r="C184" s="1073"/>
      <c r="D184" s="1073"/>
    </row>
    <row r="185" spans="1:4" s="67" customFormat="1" ht="13" x14ac:dyDescent="0.25">
      <c r="A185" s="83" t="s">
        <v>598</v>
      </c>
      <c r="B185" s="1051" t="s">
        <v>599</v>
      </c>
      <c r="C185" s="1051"/>
      <c r="D185" s="1051"/>
    </row>
    <row r="186" spans="1:4" s="67" customFormat="1" ht="13" x14ac:dyDescent="0.25">
      <c r="A186" s="83" t="s">
        <v>600</v>
      </c>
      <c r="B186" s="113" t="s">
        <v>601</v>
      </c>
      <c r="C186" s="119"/>
      <c r="D186" s="119"/>
    </row>
    <row r="187" spans="1:4" s="67" customFormat="1" ht="13" x14ac:dyDescent="0.25">
      <c r="A187" s="83" t="s">
        <v>602</v>
      </c>
      <c r="B187" s="1073" t="s">
        <v>603</v>
      </c>
      <c r="C187" s="1073"/>
      <c r="D187" s="1073"/>
    </row>
    <row r="188" spans="1:4" s="67" customFormat="1" ht="13" x14ac:dyDescent="0.25">
      <c r="A188" s="83" t="s">
        <v>604</v>
      </c>
      <c r="B188" s="85" t="s">
        <v>605</v>
      </c>
      <c r="C188" s="85"/>
      <c r="D188" s="85"/>
    </row>
    <row r="189" spans="1:4" s="67" customFormat="1" ht="13" x14ac:dyDescent="0.25">
      <c r="A189" s="83" t="s">
        <v>608</v>
      </c>
      <c r="B189" s="85" t="s">
        <v>726</v>
      </c>
      <c r="C189" s="85"/>
      <c r="D189" s="85"/>
    </row>
    <row r="190" spans="1:4" s="67" customFormat="1" ht="13" x14ac:dyDescent="0.25">
      <c r="A190" s="83" t="s">
        <v>606</v>
      </c>
      <c r="B190" s="85" t="s">
        <v>607</v>
      </c>
      <c r="C190" s="85"/>
      <c r="D190" s="85"/>
    </row>
    <row r="191" spans="1:4" s="67" customFormat="1" ht="13" x14ac:dyDescent="0.25">
      <c r="A191" s="83" t="s">
        <v>610</v>
      </c>
      <c r="B191" s="114">
        <v>-0.2</v>
      </c>
      <c r="C191" s="115"/>
      <c r="D191" s="85"/>
    </row>
    <row r="192" spans="1:4" s="67" customFormat="1" ht="13" x14ac:dyDescent="0.25">
      <c r="A192" s="118" t="s">
        <v>270</v>
      </c>
      <c r="B192" s="1074"/>
      <c r="C192" s="1074"/>
      <c r="D192" s="1074"/>
    </row>
    <row r="193" spans="1:4" s="67" customFormat="1" ht="13" x14ac:dyDescent="0.25">
      <c r="A193" s="83" t="s">
        <v>274</v>
      </c>
      <c r="B193" s="1074"/>
      <c r="C193" s="1074"/>
      <c r="D193" s="1074"/>
    </row>
    <row r="194" spans="1:4" s="67" customFormat="1" x14ac:dyDescent="0.25">
      <c r="A194" s="81"/>
      <c r="B194" s="81"/>
      <c r="C194" s="81"/>
      <c r="D194" s="81"/>
    </row>
    <row r="195" spans="1:4" s="67" customFormat="1" ht="15.5" x14ac:dyDescent="0.35">
      <c r="A195" s="83" t="s">
        <v>594</v>
      </c>
      <c r="B195" s="1072" t="s">
        <v>749</v>
      </c>
      <c r="C195" s="1072"/>
      <c r="D195" s="1072"/>
    </row>
    <row r="196" spans="1:4" s="67" customFormat="1" ht="13" x14ac:dyDescent="0.25">
      <c r="A196" s="83" t="s">
        <v>596</v>
      </c>
      <c r="B196" s="1073" t="s">
        <v>750</v>
      </c>
      <c r="C196" s="1073"/>
      <c r="D196" s="1073"/>
    </row>
    <row r="197" spans="1:4" s="67" customFormat="1" ht="13" x14ac:dyDescent="0.25">
      <c r="A197" s="83" t="s">
        <v>598</v>
      </c>
      <c r="B197" s="1051" t="s">
        <v>599</v>
      </c>
      <c r="C197" s="1051"/>
      <c r="D197" s="1051"/>
    </row>
    <row r="198" spans="1:4" s="67" customFormat="1" ht="13" x14ac:dyDescent="0.25">
      <c r="A198" s="83" t="s">
        <v>600</v>
      </c>
      <c r="B198" s="113" t="s">
        <v>601</v>
      </c>
      <c r="C198" s="119"/>
      <c r="D198" s="119"/>
    </row>
    <row r="199" spans="1:4" s="67" customFormat="1" ht="13" x14ac:dyDescent="0.25">
      <c r="A199" s="83" t="s">
        <v>602</v>
      </c>
      <c r="B199" s="1073" t="s">
        <v>603</v>
      </c>
      <c r="C199" s="1073"/>
      <c r="D199" s="1073"/>
    </row>
    <row r="200" spans="1:4" s="67" customFormat="1" ht="13" x14ac:dyDescent="0.25">
      <c r="A200" s="83" t="s">
        <v>604</v>
      </c>
      <c r="B200" s="85" t="s">
        <v>605</v>
      </c>
      <c r="C200" s="85"/>
      <c r="D200" s="85"/>
    </row>
    <row r="201" spans="1:4" s="67" customFormat="1" ht="13" x14ac:dyDescent="0.25">
      <c r="A201" s="83" t="s">
        <v>608</v>
      </c>
      <c r="B201" s="85" t="s">
        <v>726</v>
      </c>
      <c r="C201" s="85"/>
      <c r="D201" s="85"/>
    </row>
    <row r="202" spans="1:4" s="67" customFormat="1" ht="13" x14ac:dyDescent="0.25">
      <c r="A202" s="83" t="s">
        <v>606</v>
      </c>
      <c r="B202" s="85" t="s">
        <v>607</v>
      </c>
      <c r="C202" s="85"/>
      <c r="D202" s="85"/>
    </row>
    <row r="203" spans="1:4" s="67" customFormat="1" ht="13" x14ac:dyDescent="0.25">
      <c r="A203" s="83" t="s">
        <v>610</v>
      </c>
      <c r="B203" s="114">
        <v>-0.1</v>
      </c>
      <c r="C203" s="115"/>
      <c r="D203" s="85"/>
    </row>
    <row r="204" spans="1:4" s="67" customFormat="1" ht="13" x14ac:dyDescent="0.25">
      <c r="A204" s="118" t="s">
        <v>270</v>
      </c>
      <c r="B204" s="1074"/>
      <c r="C204" s="1074"/>
      <c r="D204" s="1074"/>
    </row>
    <row r="205" spans="1:4" s="67" customFormat="1" ht="13" x14ac:dyDescent="0.25">
      <c r="A205" s="83" t="s">
        <v>274</v>
      </c>
      <c r="B205" s="1074"/>
      <c r="C205" s="1074"/>
      <c r="D205" s="1074"/>
    </row>
    <row r="206" spans="1:4" s="67" customFormat="1" x14ac:dyDescent="0.25">
      <c r="A206" s="81"/>
      <c r="B206" s="81"/>
      <c r="C206" s="81"/>
      <c r="D206" s="81"/>
    </row>
    <row r="207" spans="1:4" s="67" customFormat="1" ht="15.5" x14ac:dyDescent="0.35">
      <c r="A207" s="83" t="s">
        <v>594</v>
      </c>
      <c r="B207" s="1072" t="s">
        <v>751</v>
      </c>
      <c r="C207" s="1072"/>
      <c r="D207" s="1072"/>
    </row>
    <row r="208" spans="1:4" s="67" customFormat="1" ht="13" x14ac:dyDescent="0.25">
      <c r="A208" s="83" t="s">
        <v>596</v>
      </c>
      <c r="B208" s="1073" t="s">
        <v>752</v>
      </c>
      <c r="C208" s="1073"/>
      <c r="D208" s="1073"/>
    </row>
    <row r="209" spans="1:4" s="67" customFormat="1" ht="13" x14ac:dyDescent="0.25">
      <c r="A209" s="83" t="s">
        <v>598</v>
      </c>
      <c r="B209" s="1051" t="s">
        <v>599</v>
      </c>
      <c r="C209" s="1051"/>
      <c r="D209" s="1051"/>
    </row>
    <row r="210" spans="1:4" s="67" customFormat="1" ht="13" x14ac:dyDescent="0.25">
      <c r="A210" s="83" t="s">
        <v>600</v>
      </c>
      <c r="B210" s="113" t="s">
        <v>601</v>
      </c>
      <c r="C210" s="119"/>
      <c r="D210" s="119"/>
    </row>
    <row r="211" spans="1:4" s="67" customFormat="1" ht="13" x14ac:dyDescent="0.25">
      <c r="A211" s="83" t="s">
        <v>602</v>
      </c>
      <c r="B211" s="1073" t="s">
        <v>603</v>
      </c>
      <c r="C211" s="1073"/>
      <c r="D211" s="1073"/>
    </row>
    <row r="212" spans="1:4" s="67" customFormat="1" ht="13" x14ac:dyDescent="0.25">
      <c r="A212" s="83" t="s">
        <v>604</v>
      </c>
      <c r="B212" s="85" t="s">
        <v>605</v>
      </c>
      <c r="C212" s="85"/>
      <c r="D212" s="85"/>
    </row>
    <row r="213" spans="1:4" s="67" customFormat="1" ht="13" x14ac:dyDescent="0.25">
      <c r="A213" s="83" t="s">
        <v>608</v>
      </c>
      <c r="B213" s="85" t="s">
        <v>726</v>
      </c>
      <c r="C213" s="85"/>
      <c r="D213" s="85"/>
    </row>
    <row r="214" spans="1:4" s="67" customFormat="1" ht="13" x14ac:dyDescent="0.25">
      <c r="A214" s="83" t="s">
        <v>606</v>
      </c>
      <c r="B214" s="85" t="s">
        <v>607</v>
      </c>
      <c r="C214" s="85"/>
      <c r="D214" s="85"/>
    </row>
    <row r="215" spans="1:4" s="67" customFormat="1" ht="13" x14ac:dyDescent="0.25">
      <c r="A215" s="83" t="s">
        <v>610</v>
      </c>
      <c r="B215" s="114">
        <v>-0.05</v>
      </c>
      <c r="C215" s="115"/>
      <c r="D215" s="85"/>
    </row>
    <row r="216" spans="1:4" s="67" customFormat="1" ht="13" x14ac:dyDescent="0.25">
      <c r="A216" s="118" t="s">
        <v>270</v>
      </c>
      <c r="B216" s="1074"/>
      <c r="C216" s="1074"/>
      <c r="D216" s="1074"/>
    </row>
    <row r="217" spans="1:4" s="67" customFormat="1" ht="13" x14ac:dyDescent="0.25">
      <c r="A217" s="83" t="s">
        <v>274</v>
      </c>
      <c r="B217" s="1074"/>
      <c r="C217" s="1074"/>
      <c r="D217" s="1074"/>
    </row>
    <row r="218" spans="1:4" s="67" customFormat="1" x14ac:dyDescent="0.25"/>
    <row r="219" spans="1:4" s="67" customFormat="1" ht="15.5" x14ac:dyDescent="0.35">
      <c r="A219" s="83" t="s">
        <v>594</v>
      </c>
      <c r="B219" s="1072" t="s">
        <v>753</v>
      </c>
      <c r="C219" s="1072"/>
      <c r="D219" s="1072"/>
    </row>
    <row r="220" spans="1:4" s="67" customFormat="1" ht="13" x14ac:dyDescent="0.25">
      <c r="A220" s="83" t="s">
        <v>596</v>
      </c>
      <c r="B220" s="1073" t="s">
        <v>754</v>
      </c>
      <c r="C220" s="1073"/>
      <c r="D220" s="1073"/>
    </row>
    <row r="221" spans="1:4" s="67" customFormat="1" ht="13" x14ac:dyDescent="0.25">
      <c r="A221" s="83" t="s">
        <v>598</v>
      </c>
      <c r="B221" s="1051" t="s">
        <v>599</v>
      </c>
      <c r="C221" s="1051"/>
      <c r="D221" s="1051"/>
    </row>
    <row r="222" spans="1:4" s="67" customFormat="1" ht="13" x14ac:dyDescent="0.25">
      <c r="A222" s="83" t="s">
        <v>600</v>
      </c>
      <c r="B222" s="113" t="s">
        <v>601</v>
      </c>
      <c r="C222" s="119"/>
      <c r="D222" s="119"/>
    </row>
    <row r="223" spans="1:4" s="67" customFormat="1" ht="13" x14ac:dyDescent="0.25">
      <c r="A223" s="83" t="s">
        <v>602</v>
      </c>
      <c r="B223" s="1073" t="s">
        <v>603</v>
      </c>
      <c r="C223" s="1073"/>
      <c r="D223" s="1073"/>
    </row>
    <row r="224" spans="1:4" s="67" customFormat="1" ht="13" x14ac:dyDescent="0.25">
      <c r="A224" s="83" t="s">
        <v>604</v>
      </c>
      <c r="B224" s="85" t="s">
        <v>605</v>
      </c>
      <c r="C224" s="85"/>
      <c r="D224" s="85"/>
    </row>
    <row r="225" spans="1:4" s="67" customFormat="1" ht="13" x14ac:dyDescent="0.25">
      <c r="A225" s="83" t="s">
        <v>608</v>
      </c>
      <c r="B225" s="85" t="s">
        <v>726</v>
      </c>
      <c r="C225" s="85"/>
      <c r="D225" s="85"/>
    </row>
    <row r="226" spans="1:4" s="67" customFormat="1" ht="13" x14ac:dyDescent="0.25">
      <c r="A226" s="83" t="s">
        <v>606</v>
      </c>
      <c r="B226" s="85" t="s">
        <v>607</v>
      </c>
      <c r="C226" s="85"/>
      <c r="D226" s="85"/>
    </row>
    <row r="227" spans="1:4" s="67" customFormat="1" ht="13" x14ac:dyDescent="0.25">
      <c r="A227" s="83" t="s">
        <v>610</v>
      </c>
      <c r="B227" s="114">
        <v>-0.1</v>
      </c>
      <c r="C227" s="115"/>
      <c r="D227" s="85"/>
    </row>
    <row r="228" spans="1:4" s="67" customFormat="1" ht="13" x14ac:dyDescent="0.25">
      <c r="A228" s="118" t="s">
        <v>270</v>
      </c>
      <c r="B228" s="1074"/>
      <c r="C228" s="1074"/>
      <c r="D228" s="1074"/>
    </row>
    <row r="229" spans="1:4" s="67" customFormat="1" ht="13" x14ac:dyDescent="0.25">
      <c r="A229" s="83" t="s">
        <v>274</v>
      </c>
      <c r="B229" s="1074" t="s">
        <v>755</v>
      </c>
      <c r="C229" s="1074"/>
      <c r="D229" s="1074"/>
    </row>
    <row r="230" spans="1:4" s="67" customFormat="1" x14ac:dyDescent="0.25">
      <c r="A230" s="81"/>
      <c r="B230" s="81"/>
      <c r="C230" s="81"/>
      <c r="D230" s="81"/>
    </row>
    <row r="231" spans="1:4" s="67" customFormat="1" ht="15.5" x14ac:dyDescent="0.35">
      <c r="A231" s="83" t="s">
        <v>594</v>
      </c>
      <c r="B231" s="1072" t="s">
        <v>756</v>
      </c>
      <c r="C231" s="1072"/>
      <c r="D231" s="1072"/>
    </row>
    <row r="232" spans="1:4" s="67" customFormat="1" ht="13" x14ac:dyDescent="0.25">
      <c r="A232" s="83" t="s">
        <v>596</v>
      </c>
      <c r="B232" s="1073" t="s">
        <v>757</v>
      </c>
      <c r="C232" s="1073"/>
      <c r="D232" s="1073"/>
    </row>
    <row r="233" spans="1:4" s="67" customFormat="1" ht="13" x14ac:dyDescent="0.25">
      <c r="A233" s="83" t="s">
        <v>598</v>
      </c>
      <c r="B233" s="1051" t="s">
        <v>615</v>
      </c>
      <c r="C233" s="1051"/>
      <c r="D233" s="1051"/>
    </row>
    <row r="234" spans="1:4" s="67" customFormat="1" ht="13" x14ac:dyDescent="0.25">
      <c r="A234" s="83" t="s">
        <v>600</v>
      </c>
      <c r="B234" s="113" t="s">
        <v>601</v>
      </c>
      <c r="C234" s="119"/>
      <c r="D234" s="119"/>
    </row>
    <row r="235" spans="1:4" s="67" customFormat="1" ht="13" x14ac:dyDescent="0.25">
      <c r="A235" s="83" t="s">
        <v>602</v>
      </c>
      <c r="B235" s="1073" t="s">
        <v>758</v>
      </c>
      <c r="C235" s="1073"/>
      <c r="D235" s="1073"/>
    </row>
    <row r="236" spans="1:4" s="67" customFormat="1" ht="13" x14ac:dyDescent="0.25">
      <c r="A236" s="83" t="s">
        <v>604</v>
      </c>
      <c r="B236" s="85" t="s">
        <v>605</v>
      </c>
      <c r="C236" s="85"/>
      <c r="D236" s="85"/>
    </row>
    <row r="237" spans="1:4" s="67" customFormat="1" ht="13" x14ac:dyDescent="0.25">
      <c r="A237" s="83" t="s">
        <v>608</v>
      </c>
      <c r="B237" s="85" t="s">
        <v>609</v>
      </c>
      <c r="C237" s="85"/>
      <c r="D237" s="85"/>
    </row>
    <row r="238" spans="1:4" s="67" customFormat="1" ht="13" x14ac:dyDescent="0.25">
      <c r="A238" s="83" t="s">
        <v>606</v>
      </c>
      <c r="B238" s="85" t="s">
        <v>607</v>
      </c>
      <c r="C238" s="85"/>
      <c r="D238" s="85"/>
    </row>
    <row r="239" spans="1:4" s="67" customFormat="1" ht="13" x14ac:dyDescent="0.25">
      <c r="A239" s="83" t="s">
        <v>610</v>
      </c>
      <c r="B239" s="114">
        <v>-0.1</v>
      </c>
      <c r="C239" s="115"/>
      <c r="D239" s="85"/>
    </row>
    <row r="240" spans="1:4" s="67" customFormat="1" ht="13" x14ac:dyDescent="0.25">
      <c r="A240" s="118" t="s">
        <v>270</v>
      </c>
      <c r="B240" s="1074"/>
      <c r="C240" s="1074"/>
      <c r="D240" s="1074"/>
    </row>
    <row r="241" spans="1:4" s="67" customFormat="1" ht="13" x14ac:dyDescent="0.25">
      <c r="A241" s="83" t="s">
        <v>274</v>
      </c>
      <c r="B241" s="1074"/>
      <c r="C241" s="1074"/>
      <c r="D241" s="1074"/>
    </row>
    <row r="242" spans="1:4" s="67" customFormat="1" x14ac:dyDescent="0.25"/>
    <row r="243" spans="1:4" x14ac:dyDescent="0.25">
      <c r="A243" s="67"/>
      <c r="B243" s="67"/>
      <c r="C243" s="67"/>
      <c r="D243" s="67"/>
    </row>
  </sheetData>
  <mergeCells count="121">
    <mergeCell ref="A1:D1"/>
    <mergeCell ref="B4:D4"/>
    <mergeCell ref="B5:D5"/>
    <mergeCell ref="B7:D7"/>
    <mergeCell ref="B12:D12"/>
    <mergeCell ref="B37:D37"/>
    <mergeCell ref="B40:D40"/>
    <mergeCell ref="B25:D25"/>
    <mergeCell ref="B28:D28"/>
    <mergeCell ref="B13:D13"/>
    <mergeCell ref="B16:D16"/>
    <mergeCell ref="B17:D17"/>
    <mergeCell ref="B19:D19"/>
    <mergeCell ref="B24:D24"/>
    <mergeCell ref="B3:D3"/>
    <mergeCell ref="B15:D15"/>
    <mergeCell ref="B27:D27"/>
    <mergeCell ref="B41:D41"/>
    <mergeCell ref="B43:D43"/>
    <mergeCell ref="B48:D48"/>
    <mergeCell ref="B29:D29"/>
    <mergeCell ref="B31:D31"/>
    <mergeCell ref="B36:D36"/>
    <mergeCell ref="B61:D61"/>
    <mergeCell ref="B64:D64"/>
    <mergeCell ref="B39:D39"/>
    <mergeCell ref="B65:D65"/>
    <mergeCell ref="B67:D67"/>
    <mergeCell ref="B72:D72"/>
    <mergeCell ref="B49:D49"/>
    <mergeCell ref="B52:D52"/>
    <mergeCell ref="B53:D53"/>
    <mergeCell ref="B55:D55"/>
    <mergeCell ref="B60:D60"/>
    <mergeCell ref="B51:D51"/>
    <mergeCell ref="B63:D63"/>
    <mergeCell ref="B85:D85"/>
    <mergeCell ref="B88:D88"/>
    <mergeCell ref="B89:D89"/>
    <mergeCell ref="B91:D91"/>
    <mergeCell ref="B96:D96"/>
    <mergeCell ref="B73:D73"/>
    <mergeCell ref="B76:D76"/>
    <mergeCell ref="B77:D77"/>
    <mergeCell ref="B79:D79"/>
    <mergeCell ref="B84:D84"/>
    <mergeCell ref="B75:D75"/>
    <mergeCell ref="B87:D87"/>
    <mergeCell ref="B109:D109"/>
    <mergeCell ref="B112:D112"/>
    <mergeCell ref="B113:D113"/>
    <mergeCell ref="B115:D115"/>
    <mergeCell ref="B120:D120"/>
    <mergeCell ref="B97:D97"/>
    <mergeCell ref="B100:D100"/>
    <mergeCell ref="B101:D101"/>
    <mergeCell ref="B103:D103"/>
    <mergeCell ref="B108:D108"/>
    <mergeCell ref="B99:D99"/>
    <mergeCell ref="B111:D111"/>
    <mergeCell ref="B133:D133"/>
    <mergeCell ref="B136:D136"/>
    <mergeCell ref="B137:D137"/>
    <mergeCell ref="B139:D139"/>
    <mergeCell ref="B144:D144"/>
    <mergeCell ref="B121:D121"/>
    <mergeCell ref="B124:D124"/>
    <mergeCell ref="B125:D125"/>
    <mergeCell ref="B127:D127"/>
    <mergeCell ref="B132:D132"/>
    <mergeCell ref="B123:D123"/>
    <mergeCell ref="B135:D135"/>
    <mergeCell ref="B157:D157"/>
    <mergeCell ref="B160:D160"/>
    <mergeCell ref="B161:D161"/>
    <mergeCell ref="B163:D163"/>
    <mergeCell ref="B168:D168"/>
    <mergeCell ref="B145:D145"/>
    <mergeCell ref="B148:D148"/>
    <mergeCell ref="B149:D149"/>
    <mergeCell ref="B151:D151"/>
    <mergeCell ref="B156:D156"/>
    <mergeCell ref="B147:D147"/>
    <mergeCell ref="B159:D159"/>
    <mergeCell ref="B181:D181"/>
    <mergeCell ref="B184:D184"/>
    <mergeCell ref="B185:D185"/>
    <mergeCell ref="B187:D187"/>
    <mergeCell ref="B192:D192"/>
    <mergeCell ref="B169:D169"/>
    <mergeCell ref="B172:D172"/>
    <mergeCell ref="B173:D173"/>
    <mergeCell ref="B175:D175"/>
    <mergeCell ref="B180:D180"/>
    <mergeCell ref="B171:D171"/>
    <mergeCell ref="B183:D183"/>
    <mergeCell ref="B205:D205"/>
    <mergeCell ref="B208:D208"/>
    <mergeCell ref="B209:D209"/>
    <mergeCell ref="B211:D211"/>
    <mergeCell ref="B216:D216"/>
    <mergeCell ref="B193:D193"/>
    <mergeCell ref="B196:D196"/>
    <mergeCell ref="B197:D197"/>
    <mergeCell ref="B199:D199"/>
    <mergeCell ref="B204:D204"/>
    <mergeCell ref="B195:D195"/>
    <mergeCell ref="B207:D207"/>
    <mergeCell ref="B241:D241"/>
    <mergeCell ref="B229:D229"/>
    <mergeCell ref="B232:D232"/>
    <mergeCell ref="B233:D233"/>
    <mergeCell ref="B235:D235"/>
    <mergeCell ref="B240:D240"/>
    <mergeCell ref="B217:D217"/>
    <mergeCell ref="B220:D220"/>
    <mergeCell ref="B221:D221"/>
    <mergeCell ref="B223:D223"/>
    <mergeCell ref="B228:D228"/>
    <mergeCell ref="B219:D219"/>
    <mergeCell ref="B231:D231"/>
  </mergeCells>
  <pageMargins left="0.7" right="0.7" top="0.75" bottom="0.75" header="0.3" footer="0.3"/>
  <pageSetup scale="73" orientation="portrait" r:id="rId1"/>
  <headerFooter>
    <oddFooter>&amp;F</oddFooter>
  </headerFooter>
  <rowBreaks count="3" manualBreakCount="3">
    <brk id="73" max="16383" man="1"/>
    <brk id="145" max="16383" man="1"/>
    <brk id="217"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D255"/>
  <sheetViews>
    <sheetView topLeftCell="A166" zoomScaleNormal="100" zoomScaleSheetLayoutView="80" workbookViewId="0">
      <selection sqref="A1:D1"/>
    </sheetView>
  </sheetViews>
  <sheetFormatPr defaultColWidth="9.26953125" defaultRowHeight="12.5" x14ac:dyDescent="0.25"/>
  <cols>
    <col min="1" max="1" width="34" style="80" customWidth="1"/>
    <col min="2" max="2" width="48" style="80" customWidth="1"/>
    <col min="3" max="3" width="19.26953125" style="80" customWidth="1"/>
    <col min="4" max="4" width="9.26953125" style="80" hidden="1" customWidth="1"/>
    <col min="5" max="16384" width="9.26953125" style="80"/>
  </cols>
  <sheetData>
    <row r="1" spans="1:4" s="67" customFormat="1" ht="18.5" thickBot="1" x14ac:dyDescent="0.3">
      <c r="A1" s="1089" t="s">
        <v>759</v>
      </c>
      <c r="B1" s="1090"/>
      <c r="C1" s="1090"/>
      <c r="D1" s="1091"/>
    </row>
    <row r="2" spans="1:4" s="67" customFormat="1" x14ac:dyDescent="0.25"/>
    <row r="3" spans="1:4" s="67" customFormat="1" ht="14.5" x14ac:dyDescent="0.25">
      <c r="A3" s="1092" t="s">
        <v>760</v>
      </c>
      <c r="B3" s="1092"/>
      <c r="C3" s="81"/>
      <c r="D3" s="81"/>
    </row>
    <row r="4" spans="1:4" s="67" customFormat="1" x14ac:dyDescent="0.25"/>
    <row r="5" spans="1:4" s="67" customFormat="1" ht="15.5" x14ac:dyDescent="0.35">
      <c r="A5" s="83" t="s">
        <v>594</v>
      </c>
      <c r="B5" s="1072" t="s">
        <v>761</v>
      </c>
      <c r="C5" s="1072"/>
      <c r="D5" s="112"/>
    </row>
    <row r="6" spans="1:4" s="67" customFormat="1" ht="13" x14ac:dyDescent="0.25">
      <c r="A6" s="83" t="s">
        <v>596</v>
      </c>
      <c r="B6" s="1073" t="s">
        <v>762</v>
      </c>
      <c r="C6" s="1073"/>
      <c r="D6" s="1073"/>
    </row>
    <row r="7" spans="1:4" s="67" customFormat="1" ht="13" x14ac:dyDescent="0.25">
      <c r="A7" s="83" t="s">
        <v>598</v>
      </c>
      <c r="B7" s="1071" t="s">
        <v>615</v>
      </c>
      <c r="C7" s="1071"/>
      <c r="D7" s="1071"/>
    </row>
    <row r="8" spans="1:4" s="67" customFormat="1" ht="13" x14ac:dyDescent="0.25">
      <c r="A8" s="83" t="s">
        <v>600</v>
      </c>
      <c r="B8" s="113" t="s">
        <v>673</v>
      </c>
      <c r="C8" s="113"/>
      <c r="D8" s="113"/>
    </row>
    <row r="9" spans="1:4" s="67" customFormat="1" ht="13" x14ac:dyDescent="0.25">
      <c r="A9" s="83" t="s">
        <v>602</v>
      </c>
      <c r="B9" s="1073" t="s">
        <v>617</v>
      </c>
      <c r="C9" s="1073"/>
      <c r="D9" s="1073"/>
    </row>
    <row r="10" spans="1:4" s="67" customFormat="1" ht="13" x14ac:dyDescent="0.25">
      <c r="A10" s="83" t="s">
        <v>604</v>
      </c>
      <c r="B10" s="85" t="s">
        <v>605</v>
      </c>
      <c r="C10" s="85"/>
      <c r="D10" s="85"/>
    </row>
    <row r="11" spans="1:4" s="67" customFormat="1" ht="13" x14ac:dyDescent="0.25">
      <c r="A11" s="83" t="s">
        <v>608</v>
      </c>
      <c r="B11" s="85" t="s">
        <v>609</v>
      </c>
      <c r="C11" s="85"/>
      <c r="D11" s="85"/>
    </row>
    <row r="12" spans="1:4" s="67" customFormat="1" ht="13" x14ac:dyDescent="0.25">
      <c r="A12" s="83" t="s">
        <v>606</v>
      </c>
      <c r="B12" s="85" t="s">
        <v>607</v>
      </c>
      <c r="C12" s="85"/>
      <c r="D12" s="85"/>
    </row>
    <row r="13" spans="1:4" s="67" customFormat="1" ht="13" x14ac:dyDescent="0.25">
      <c r="A13" s="83" t="s">
        <v>610</v>
      </c>
      <c r="B13" s="114">
        <v>0.2</v>
      </c>
      <c r="C13" s="115"/>
      <c r="D13" s="85"/>
    </row>
    <row r="14" spans="1:4" s="67" customFormat="1" ht="13" x14ac:dyDescent="0.25">
      <c r="A14" s="118" t="s">
        <v>270</v>
      </c>
      <c r="B14" s="1074"/>
      <c r="C14" s="1074"/>
      <c r="D14" s="1074"/>
    </row>
    <row r="15" spans="1:4" s="67" customFormat="1" ht="13" x14ac:dyDescent="0.25">
      <c r="A15" s="83" t="s">
        <v>274</v>
      </c>
      <c r="B15" s="1074"/>
      <c r="C15" s="1074"/>
      <c r="D15" s="1074"/>
    </row>
    <row r="16" spans="1:4" s="67" customFormat="1" x14ac:dyDescent="0.25"/>
    <row r="17" spans="1:4" s="67" customFormat="1" ht="15.5" x14ac:dyDescent="0.35">
      <c r="A17" s="83" t="s">
        <v>594</v>
      </c>
      <c r="B17" s="1072" t="s">
        <v>763</v>
      </c>
      <c r="C17" s="1072"/>
      <c r="D17" s="112"/>
    </row>
    <row r="18" spans="1:4" s="67" customFormat="1" ht="13" x14ac:dyDescent="0.25">
      <c r="A18" s="83" t="s">
        <v>596</v>
      </c>
      <c r="B18" s="1073" t="s">
        <v>764</v>
      </c>
      <c r="C18" s="1073"/>
      <c r="D18" s="1073"/>
    </row>
    <row r="19" spans="1:4" s="67" customFormat="1" ht="13" x14ac:dyDescent="0.25">
      <c r="A19" s="83" t="s">
        <v>598</v>
      </c>
      <c r="B19" s="1071" t="s">
        <v>615</v>
      </c>
      <c r="C19" s="1071"/>
      <c r="D19" s="1071"/>
    </row>
    <row r="20" spans="1:4" s="67" customFormat="1" ht="13" x14ac:dyDescent="0.25">
      <c r="A20" s="83" t="s">
        <v>600</v>
      </c>
      <c r="B20" s="113" t="s">
        <v>673</v>
      </c>
      <c r="C20" s="113"/>
      <c r="D20" s="113"/>
    </row>
    <row r="21" spans="1:4" s="67" customFormat="1" ht="13" x14ac:dyDescent="0.25">
      <c r="A21" s="83" t="s">
        <v>602</v>
      </c>
      <c r="B21" s="1073" t="s">
        <v>617</v>
      </c>
      <c r="C21" s="1073"/>
      <c r="D21" s="1073"/>
    </row>
    <row r="22" spans="1:4" s="67" customFormat="1" ht="13" x14ac:dyDescent="0.25">
      <c r="A22" s="83" t="s">
        <v>604</v>
      </c>
      <c r="B22" s="85" t="s">
        <v>605</v>
      </c>
      <c r="C22" s="85"/>
      <c r="D22" s="85"/>
    </row>
    <row r="23" spans="1:4" s="67" customFormat="1" ht="13" x14ac:dyDescent="0.25">
      <c r="A23" s="83" t="s">
        <v>608</v>
      </c>
      <c r="B23" s="85" t="s">
        <v>609</v>
      </c>
      <c r="C23" s="85"/>
      <c r="D23" s="85"/>
    </row>
    <row r="24" spans="1:4" s="67" customFormat="1" ht="13" x14ac:dyDescent="0.25">
      <c r="A24" s="83" t="s">
        <v>606</v>
      </c>
      <c r="B24" s="85" t="s">
        <v>607</v>
      </c>
      <c r="C24" s="85"/>
      <c r="D24" s="85"/>
    </row>
    <row r="25" spans="1:4" s="67" customFormat="1" ht="13" x14ac:dyDescent="0.25">
      <c r="A25" s="83" t="s">
        <v>610</v>
      </c>
      <c r="B25" s="114">
        <v>0.1</v>
      </c>
      <c r="C25" s="115"/>
      <c r="D25" s="85"/>
    </row>
    <row r="26" spans="1:4" s="67" customFormat="1" ht="13" x14ac:dyDescent="0.25">
      <c r="A26" s="118" t="s">
        <v>270</v>
      </c>
      <c r="B26" s="1074"/>
      <c r="C26" s="1074"/>
      <c r="D26" s="1074"/>
    </row>
    <row r="27" spans="1:4" s="67" customFormat="1" ht="13" x14ac:dyDescent="0.25">
      <c r="A27" s="83" t="s">
        <v>274</v>
      </c>
      <c r="B27" s="1074"/>
      <c r="C27" s="1074"/>
      <c r="D27" s="1074"/>
    </row>
    <row r="28" spans="1:4" s="67" customFormat="1" x14ac:dyDescent="0.25"/>
    <row r="29" spans="1:4" s="67" customFormat="1" ht="15.5" x14ac:dyDescent="0.35">
      <c r="A29" s="83" t="s">
        <v>594</v>
      </c>
      <c r="B29" s="1072" t="s">
        <v>765</v>
      </c>
      <c r="C29" s="1072"/>
      <c r="D29" s="112"/>
    </row>
    <row r="30" spans="1:4" s="67" customFormat="1" ht="13" x14ac:dyDescent="0.25">
      <c r="A30" s="83" t="s">
        <v>596</v>
      </c>
      <c r="B30" s="1073" t="s">
        <v>766</v>
      </c>
      <c r="C30" s="1073"/>
      <c r="D30" s="1073"/>
    </row>
    <row r="31" spans="1:4" s="67" customFormat="1" ht="13" x14ac:dyDescent="0.25">
      <c r="A31" s="83" t="s">
        <v>598</v>
      </c>
      <c r="B31" s="1071" t="s">
        <v>615</v>
      </c>
      <c r="C31" s="1071"/>
      <c r="D31" s="1071"/>
    </row>
    <row r="32" spans="1:4" s="67" customFormat="1" ht="13" x14ac:dyDescent="0.25">
      <c r="A32" s="83" t="s">
        <v>600</v>
      </c>
      <c r="B32" s="113" t="s">
        <v>673</v>
      </c>
      <c r="C32" s="113"/>
      <c r="D32" s="113"/>
    </row>
    <row r="33" spans="1:4" s="67" customFormat="1" ht="13" x14ac:dyDescent="0.25">
      <c r="A33" s="83" t="s">
        <v>602</v>
      </c>
      <c r="B33" s="1073" t="s">
        <v>617</v>
      </c>
      <c r="C33" s="1073"/>
      <c r="D33" s="1073"/>
    </row>
    <row r="34" spans="1:4" s="67" customFormat="1" ht="13" x14ac:dyDescent="0.25">
      <c r="A34" s="83" t="s">
        <v>604</v>
      </c>
      <c r="B34" s="85" t="s">
        <v>605</v>
      </c>
      <c r="C34" s="85"/>
      <c r="D34" s="85"/>
    </row>
    <row r="35" spans="1:4" s="67" customFormat="1" ht="13" x14ac:dyDescent="0.25">
      <c r="A35" s="83" t="s">
        <v>608</v>
      </c>
      <c r="B35" s="85" t="s">
        <v>609</v>
      </c>
      <c r="C35" s="85"/>
      <c r="D35" s="85"/>
    </row>
    <row r="36" spans="1:4" s="67" customFormat="1" ht="13" x14ac:dyDescent="0.25">
      <c r="A36" s="83" t="s">
        <v>606</v>
      </c>
      <c r="B36" s="85" t="s">
        <v>607</v>
      </c>
      <c r="C36" s="85"/>
      <c r="D36" s="85"/>
    </row>
    <row r="37" spans="1:4" s="67" customFormat="1" ht="13" x14ac:dyDescent="0.25">
      <c r="A37" s="83" t="s">
        <v>610</v>
      </c>
      <c r="B37" s="114">
        <v>0.05</v>
      </c>
      <c r="C37" s="115"/>
      <c r="D37" s="85"/>
    </row>
    <row r="38" spans="1:4" s="67" customFormat="1" ht="13" x14ac:dyDescent="0.25">
      <c r="A38" s="118" t="s">
        <v>270</v>
      </c>
      <c r="B38" s="1074"/>
      <c r="C38" s="1074"/>
      <c r="D38" s="1074"/>
    </row>
    <row r="39" spans="1:4" s="67" customFormat="1" ht="13" x14ac:dyDescent="0.25">
      <c r="A39" s="83" t="s">
        <v>274</v>
      </c>
      <c r="B39" s="1074"/>
      <c r="C39" s="1074"/>
      <c r="D39" s="1074"/>
    </row>
    <row r="40" spans="1:4" s="67" customFormat="1" x14ac:dyDescent="0.25"/>
    <row r="41" spans="1:4" s="67" customFormat="1" ht="15.5" x14ac:dyDescent="0.35">
      <c r="A41" s="83" t="s">
        <v>594</v>
      </c>
      <c r="B41" s="1072" t="s">
        <v>767</v>
      </c>
      <c r="C41" s="1072"/>
      <c r="D41" s="112"/>
    </row>
    <row r="42" spans="1:4" s="67" customFormat="1" ht="13" x14ac:dyDescent="0.25">
      <c r="A42" s="83" t="s">
        <v>596</v>
      </c>
      <c r="B42" s="1073" t="s">
        <v>768</v>
      </c>
      <c r="C42" s="1073"/>
      <c r="D42" s="1073"/>
    </row>
    <row r="43" spans="1:4" s="67" customFormat="1" ht="13" x14ac:dyDescent="0.25">
      <c r="A43" s="83" t="s">
        <v>598</v>
      </c>
      <c r="B43" s="1071" t="s">
        <v>615</v>
      </c>
      <c r="C43" s="1071"/>
      <c r="D43" s="1071"/>
    </row>
    <row r="44" spans="1:4" s="67" customFormat="1" ht="13" x14ac:dyDescent="0.25">
      <c r="A44" s="83" t="s">
        <v>600</v>
      </c>
      <c r="B44" s="113" t="s">
        <v>673</v>
      </c>
      <c r="C44" s="113"/>
      <c r="D44" s="113"/>
    </row>
    <row r="45" spans="1:4" s="67" customFormat="1" ht="13" x14ac:dyDescent="0.25">
      <c r="A45" s="83" t="s">
        <v>602</v>
      </c>
      <c r="B45" s="1073" t="s">
        <v>617</v>
      </c>
      <c r="C45" s="1073"/>
      <c r="D45" s="1073"/>
    </row>
    <row r="46" spans="1:4" s="67" customFormat="1" ht="13" x14ac:dyDescent="0.25">
      <c r="A46" s="83" t="s">
        <v>604</v>
      </c>
      <c r="B46" s="85" t="s">
        <v>605</v>
      </c>
      <c r="C46" s="85"/>
      <c r="D46" s="85"/>
    </row>
    <row r="47" spans="1:4" s="67" customFormat="1" ht="13" x14ac:dyDescent="0.25">
      <c r="A47" s="83" t="s">
        <v>608</v>
      </c>
      <c r="B47" s="85" t="s">
        <v>609</v>
      </c>
      <c r="C47" s="85"/>
      <c r="D47" s="85"/>
    </row>
    <row r="48" spans="1:4" s="67" customFormat="1" ht="13" x14ac:dyDescent="0.25">
      <c r="A48" s="83" t="s">
        <v>606</v>
      </c>
      <c r="B48" s="85" t="s">
        <v>607</v>
      </c>
      <c r="C48" s="85"/>
      <c r="D48" s="85"/>
    </row>
    <row r="49" spans="1:4" s="67" customFormat="1" ht="13" x14ac:dyDescent="0.25">
      <c r="A49" s="83" t="s">
        <v>610</v>
      </c>
      <c r="B49" s="114">
        <v>0.5</v>
      </c>
      <c r="C49" s="115"/>
      <c r="D49" s="85"/>
    </row>
    <row r="50" spans="1:4" s="67" customFormat="1" ht="13" x14ac:dyDescent="0.25">
      <c r="A50" s="118" t="s">
        <v>270</v>
      </c>
      <c r="B50" s="1074"/>
      <c r="C50" s="1074"/>
      <c r="D50" s="1074"/>
    </row>
    <row r="51" spans="1:4" s="67" customFormat="1" ht="13" x14ac:dyDescent="0.25">
      <c r="A51" s="83" t="s">
        <v>274</v>
      </c>
      <c r="B51" s="1074"/>
      <c r="C51" s="1074"/>
      <c r="D51" s="1074"/>
    </row>
    <row r="52" spans="1:4" s="67" customFormat="1" x14ac:dyDescent="0.25"/>
    <row r="53" spans="1:4" s="67" customFormat="1" ht="15.5" x14ac:dyDescent="0.35">
      <c r="A53" s="83" t="s">
        <v>594</v>
      </c>
      <c r="B53" s="1072" t="s">
        <v>769</v>
      </c>
      <c r="C53" s="1072"/>
      <c r="D53" s="112"/>
    </row>
    <row r="54" spans="1:4" s="67" customFormat="1" ht="13" x14ac:dyDescent="0.25">
      <c r="A54" s="83" t="s">
        <v>596</v>
      </c>
      <c r="B54" s="1073" t="s">
        <v>770</v>
      </c>
      <c r="C54" s="1073"/>
      <c r="D54" s="1073"/>
    </row>
    <row r="55" spans="1:4" s="67" customFormat="1" ht="13" x14ac:dyDescent="0.25">
      <c r="A55" s="83" t="s">
        <v>598</v>
      </c>
      <c r="B55" s="1071" t="s">
        <v>615</v>
      </c>
      <c r="C55" s="1071"/>
      <c r="D55" s="1071"/>
    </row>
    <row r="56" spans="1:4" s="67" customFormat="1" ht="13" x14ac:dyDescent="0.25">
      <c r="A56" s="83" t="s">
        <v>600</v>
      </c>
      <c r="B56" s="113" t="s">
        <v>673</v>
      </c>
      <c r="C56" s="113"/>
      <c r="D56" s="113"/>
    </row>
    <row r="57" spans="1:4" s="67" customFormat="1" ht="13" x14ac:dyDescent="0.25">
      <c r="A57" s="83" t="s">
        <v>602</v>
      </c>
      <c r="B57" s="1073" t="s">
        <v>617</v>
      </c>
      <c r="C57" s="1073"/>
      <c r="D57" s="1073"/>
    </row>
    <row r="58" spans="1:4" s="67" customFormat="1" ht="13" x14ac:dyDescent="0.25">
      <c r="A58" s="83" t="s">
        <v>604</v>
      </c>
      <c r="B58" s="85" t="s">
        <v>605</v>
      </c>
      <c r="C58" s="85"/>
      <c r="D58" s="85"/>
    </row>
    <row r="59" spans="1:4" s="67" customFormat="1" ht="13" x14ac:dyDescent="0.25">
      <c r="A59" s="83" t="s">
        <v>608</v>
      </c>
      <c r="B59" s="85" t="s">
        <v>609</v>
      </c>
      <c r="C59" s="85"/>
      <c r="D59" s="85"/>
    </row>
    <row r="60" spans="1:4" s="67" customFormat="1" ht="13" x14ac:dyDescent="0.25">
      <c r="A60" s="83" t="s">
        <v>606</v>
      </c>
      <c r="B60" s="85" t="s">
        <v>607</v>
      </c>
      <c r="C60" s="85"/>
      <c r="D60" s="85"/>
    </row>
    <row r="61" spans="1:4" s="67" customFormat="1" ht="13" x14ac:dyDescent="0.25">
      <c r="A61" s="83" t="s">
        <v>610</v>
      </c>
      <c r="B61" s="114">
        <v>0.25</v>
      </c>
      <c r="C61" s="115"/>
      <c r="D61" s="85"/>
    </row>
    <row r="62" spans="1:4" s="67" customFormat="1" ht="13" x14ac:dyDescent="0.25">
      <c r="A62" s="118" t="s">
        <v>270</v>
      </c>
      <c r="B62" s="1074"/>
      <c r="C62" s="1074"/>
      <c r="D62" s="1074"/>
    </row>
    <row r="63" spans="1:4" s="67" customFormat="1" ht="13" x14ac:dyDescent="0.25">
      <c r="A63" s="83" t="s">
        <v>274</v>
      </c>
      <c r="B63" s="1074"/>
      <c r="C63" s="1074"/>
      <c r="D63" s="1074"/>
    </row>
    <row r="64" spans="1:4" s="67" customFormat="1" x14ac:dyDescent="0.25"/>
    <row r="65" spans="1:4" s="67" customFormat="1" ht="15.5" x14ac:dyDescent="0.35">
      <c r="A65" s="83" t="s">
        <v>594</v>
      </c>
      <c r="B65" s="1072" t="s">
        <v>771</v>
      </c>
      <c r="C65" s="1072"/>
      <c r="D65" s="112"/>
    </row>
    <row r="66" spans="1:4" s="67" customFormat="1" ht="13" x14ac:dyDescent="0.25">
      <c r="A66" s="83" t="s">
        <v>596</v>
      </c>
      <c r="B66" s="1073" t="s">
        <v>772</v>
      </c>
      <c r="C66" s="1073"/>
      <c r="D66" s="1073"/>
    </row>
    <row r="67" spans="1:4" s="67" customFormat="1" ht="13" x14ac:dyDescent="0.25">
      <c r="A67" s="83" t="s">
        <v>598</v>
      </c>
      <c r="B67" s="1071" t="s">
        <v>615</v>
      </c>
      <c r="C67" s="1071"/>
      <c r="D67" s="1071"/>
    </row>
    <row r="68" spans="1:4" s="67" customFormat="1" ht="13" x14ac:dyDescent="0.25">
      <c r="A68" s="83" t="s">
        <v>600</v>
      </c>
      <c r="B68" s="113" t="s">
        <v>673</v>
      </c>
      <c r="C68" s="113"/>
      <c r="D68" s="113"/>
    </row>
    <row r="69" spans="1:4" s="67" customFormat="1" ht="13" x14ac:dyDescent="0.25">
      <c r="A69" s="83" t="s">
        <v>602</v>
      </c>
      <c r="B69" s="1073" t="s">
        <v>617</v>
      </c>
      <c r="C69" s="1073"/>
      <c r="D69" s="1073"/>
    </row>
    <row r="70" spans="1:4" s="67" customFormat="1" ht="13" x14ac:dyDescent="0.25">
      <c r="A70" s="83" t="s">
        <v>604</v>
      </c>
      <c r="B70" s="85" t="s">
        <v>605</v>
      </c>
      <c r="C70" s="85"/>
      <c r="D70" s="85"/>
    </row>
    <row r="71" spans="1:4" s="67" customFormat="1" ht="13" x14ac:dyDescent="0.25">
      <c r="A71" s="83" t="s">
        <v>608</v>
      </c>
      <c r="B71" s="85" t="s">
        <v>609</v>
      </c>
      <c r="C71" s="85"/>
      <c r="D71" s="85"/>
    </row>
    <row r="72" spans="1:4" s="67" customFormat="1" ht="13" x14ac:dyDescent="0.25">
      <c r="A72" s="83" t="s">
        <v>606</v>
      </c>
      <c r="B72" s="85" t="s">
        <v>607</v>
      </c>
      <c r="C72" s="85"/>
      <c r="D72" s="85"/>
    </row>
    <row r="73" spans="1:4" s="67" customFormat="1" ht="13" x14ac:dyDescent="0.25">
      <c r="A73" s="83" t="s">
        <v>610</v>
      </c>
      <c r="B73" s="114">
        <v>0.1</v>
      </c>
      <c r="C73" s="115"/>
      <c r="D73" s="85"/>
    </row>
    <row r="74" spans="1:4" s="67" customFormat="1" ht="13" x14ac:dyDescent="0.25">
      <c r="A74" s="118" t="s">
        <v>270</v>
      </c>
      <c r="B74" s="1074"/>
      <c r="C74" s="1074"/>
      <c r="D74" s="1074"/>
    </row>
    <row r="75" spans="1:4" s="67" customFormat="1" ht="13" x14ac:dyDescent="0.25">
      <c r="A75" s="83" t="s">
        <v>274</v>
      </c>
      <c r="B75" s="1074"/>
      <c r="C75" s="1074"/>
      <c r="D75" s="1074"/>
    </row>
    <row r="76" spans="1:4" s="67" customFormat="1" x14ac:dyDescent="0.25"/>
    <row r="77" spans="1:4" s="67" customFormat="1" ht="15.5" x14ac:dyDescent="0.35">
      <c r="A77" s="83" t="s">
        <v>594</v>
      </c>
      <c r="B77" s="1085" t="s">
        <v>773</v>
      </c>
      <c r="C77" s="1085"/>
      <c r="D77" s="112"/>
    </row>
    <row r="78" spans="1:4" s="67" customFormat="1" ht="13" x14ac:dyDescent="0.25">
      <c r="A78" s="83" t="s">
        <v>596</v>
      </c>
      <c r="B78" s="1073" t="s">
        <v>774</v>
      </c>
      <c r="C78" s="1073"/>
      <c r="D78" s="1073"/>
    </row>
    <row r="79" spans="1:4" s="67" customFormat="1" ht="13" x14ac:dyDescent="0.25">
      <c r="A79" s="83" t="s">
        <v>598</v>
      </c>
      <c r="B79" s="1051" t="s">
        <v>599</v>
      </c>
      <c r="C79" s="1051"/>
      <c r="D79" s="1051"/>
    </row>
    <row r="80" spans="1:4" s="67" customFormat="1" ht="13" x14ac:dyDescent="0.25">
      <c r="A80" s="83" t="s">
        <v>600</v>
      </c>
      <c r="B80" s="113" t="s">
        <v>673</v>
      </c>
      <c r="C80" s="119"/>
      <c r="D80" s="119"/>
    </row>
    <row r="81" spans="1:4" s="67" customFormat="1" ht="13" x14ac:dyDescent="0.25">
      <c r="A81" s="83" t="s">
        <v>602</v>
      </c>
      <c r="B81" s="1073" t="s">
        <v>603</v>
      </c>
      <c r="C81" s="1073"/>
      <c r="D81" s="1073"/>
    </row>
    <row r="82" spans="1:4" s="67" customFormat="1" ht="13" x14ac:dyDescent="0.25">
      <c r="A82" s="83" t="s">
        <v>604</v>
      </c>
      <c r="B82" s="85" t="s">
        <v>605</v>
      </c>
      <c r="C82" s="85"/>
      <c r="D82" s="85"/>
    </row>
    <row r="83" spans="1:4" s="67" customFormat="1" ht="13" x14ac:dyDescent="0.25">
      <c r="A83" s="83" t="s">
        <v>608</v>
      </c>
      <c r="B83" s="85" t="s">
        <v>726</v>
      </c>
      <c r="C83" s="85"/>
      <c r="D83" s="85"/>
    </row>
    <row r="84" spans="1:4" s="67" customFormat="1" ht="13" x14ac:dyDescent="0.25">
      <c r="A84" s="83" t="s">
        <v>606</v>
      </c>
      <c r="B84" s="85" t="s">
        <v>607</v>
      </c>
      <c r="C84" s="85"/>
      <c r="D84" s="85"/>
    </row>
    <row r="85" spans="1:4" s="67" customFormat="1" ht="13" x14ac:dyDescent="0.25">
      <c r="A85" s="83" t="s">
        <v>610</v>
      </c>
      <c r="B85" s="114">
        <v>0.25</v>
      </c>
      <c r="C85" s="115"/>
      <c r="D85" s="85"/>
    </row>
    <row r="86" spans="1:4" s="67" customFormat="1" ht="13" x14ac:dyDescent="0.25">
      <c r="A86" s="118" t="s">
        <v>270</v>
      </c>
      <c r="B86" s="1074"/>
      <c r="C86" s="1074"/>
      <c r="D86" s="1074"/>
    </row>
    <row r="87" spans="1:4" s="67" customFormat="1" ht="13" x14ac:dyDescent="0.25">
      <c r="A87" s="83" t="s">
        <v>274</v>
      </c>
      <c r="B87" s="1074"/>
      <c r="C87" s="1074"/>
      <c r="D87" s="1074"/>
    </row>
    <row r="88" spans="1:4" s="67" customFormat="1" x14ac:dyDescent="0.25">
      <c r="A88" s="81"/>
      <c r="B88" s="81"/>
      <c r="C88" s="81"/>
      <c r="D88" s="81"/>
    </row>
    <row r="89" spans="1:4" s="67" customFormat="1" ht="15.5" x14ac:dyDescent="0.35">
      <c r="A89" s="83" t="s">
        <v>594</v>
      </c>
      <c r="B89" s="1085" t="s">
        <v>775</v>
      </c>
      <c r="C89" s="1085"/>
      <c r="D89" s="112"/>
    </row>
    <row r="90" spans="1:4" s="67" customFormat="1" ht="13" x14ac:dyDescent="0.25">
      <c r="A90" s="83" t="s">
        <v>596</v>
      </c>
      <c r="B90" s="1073" t="s">
        <v>776</v>
      </c>
      <c r="C90" s="1073"/>
      <c r="D90" s="1073"/>
    </row>
    <row r="91" spans="1:4" s="67" customFormat="1" ht="13" x14ac:dyDescent="0.25">
      <c r="A91" s="83" t="s">
        <v>598</v>
      </c>
      <c r="B91" s="1051" t="s">
        <v>599</v>
      </c>
      <c r="C91" s="1051"/>
      <c r="D91" s="1051"/>
    </row>
    <row r="92" spans="1:4" s="67" customFormat="1" ht="13" x14ac:dyDescent="0.25">
      <c r="A92" s="83" t="s">
        <v>600</v>
      </c>
      <c r="B92" s="113" t="s">
        <v>673</v>
      </c>
      <c r="C92" s="119"/>
      <c r="D92" s="119"/>
    </row>
    <row r="93" spans="1:4" s="67" customFormat="1" ht="13" x14ac:dyDescent="0.25">
      <c r="A93" s="83" t="s">
        <v>602</v>
      </c>
      <c r="B93" s="1073" t="s">
        <v>603</v>
      </c>
      <c r="C93" s="1073"/>
      <c r="D93" s="1073"/>
    </row>
    <row r="94" spans="1:4" s="67" customFormat="1" ht="13" x14ac:dyDescent="0.25">
      <c r="A94" s="83" t="s">
        <v>604</v>
      </c>
      <c r="B94" s="85" t="s">
        <v>605</v>
      </c>
      <c r="C94" s="85"/>
      <c r="D94" s="85"/>
    </row>
    <row r="95" spans="1:4" s="67" customFormat="1" ht="13" x14ac:dyDescent="0.25">
      <c r="A95" s="83" t="s">
        <v>608</v>
      </c>
      <c r="B95" s="85" t="s">
        <v>726</v>
      </c>
      <c r="C95" s="85"/>
      <c r="D95" s="85"/>
    </row>
    <row r="96" spans="1:4" s="67" customFormat="1" ht="13" x14ac:dyDescent="0.25">
      <c r="A96" s="83" t="s">
        <v>606</v>
      </c>
      <c r="B96" s="85" t="s">
        <v>607</v>
      </c>
      <c r="C96" s="85"/>
      <c r="D96" s="85"/>
    </row>
    <row r="97" spans="1:4" s="67" customFormat="1" ht="13" x14ac:dyDescent="0.25">
      <c r="A97" s="83" t="s">
        <v>610</v>
      </c>
      <c r="B97" s="114">
        <v>0.15</v>
      </c>
      <c r="C97" s="115"/>
      <c r="D97" s="85"/>
    </row>
    <row r="98" spans="1:4" s="67" customFormat="1" ht="13" x14ac:dyDescent="0.25">
      <c r="A98" s="118" t="s">
        <v>270</v>
      </c>
      <c r="B98" s="1074"/>
      <c r="C98" s="1074"/>
      <c r="D98" s="1074"/>
    </row>
    <row r="99" spans="1:4" s="67" customFormat="1" ht="13" x14ac:dyDescent="0.25">
      <c r="A99" s="83" t="s">
        <v>274</v>
      </c>
      <c r="B99" s="1074"/>
      <c r="C99" s="1074"/>
      <c r="D99" s="1074"/>
    </row>
    <row r="100" spans="1:4" s="67" customFormat="1" x14ac:dyDescent="0.25">
      <c r="A100" s="81"/>
      <c r="B100" s="81"/>
      <c r="C100" s="81"/>
      <c r="D100" s="81"/>
    </row>
    <row r="101" spans="1:4" s="67" customFormat="1" ht="15.5" x14ac:dyDescent="0.35">
      <c r="A101" s="83" t="s">
        <v>594</v>
      </c>
      <c r="B101" s="1085" t="s">
        <v>777</v>
      </c>
      <c r="C101" s="1085"/>
      <c r="D101" s="112"/>
    </row>
    <row r="102" spans="1:4" s="67" customFormat="1" ht="13" x14ac:dyDescent="0.25">
      <c r="A102" s="83" t="s">
        <v>596</v>
      </c>
      <c r="B102" s="1073" t="s">
        <v>778</v>
      </c>
      <c r="C102" s="1073"/>
      <c r="D102" s="1073"/>
    </row>
    <row r="103" spans="1:4" s="67" customFormat="1" ht="13" x14ac:dyDescent="0.25">
      <c r="A103" s="83" t="s">
        <v>598</v>
      </c>
      <c r="B103" s="1051" t="s">
        <v>599</v>
      </c>
      <c r="C103" s="1051"/>
      <c r="D103" s="1051"/>
    </row>
    <row r="104" spans="1:4" s="67" customFormat="1" ht="13" x14ac:dyDescent="0.25">
      <c r="A104" s="83" t="s">
        <v>600</v>
      </c>
      <c r="B104" s="113" t="s">
        <v>673</v>
      </c>
      <c r="C104" s="119"/>
      <c r="D104" s="119"/>
    </row>
    <row r="105" spans="1:4" s="67" customFormat="1" ht="13" x14ac:dyDescent="0.25">
      <c r="A105" s="83" t="s">
        <v>602</v>
      </c>
      <c r="B105" s="1073" t="s">
        <v>603</v>
      </c>
      <c r="C105" s="1073"/>
      <c r="D105" s="1073"/>
    </row>
    <row r="106" spans="1:4" s="67" customFormat="1" ht="13" x14ac:dyDescent="0.25">
      <c r="A106" s="83" t="s">
        <v>604</v>
      </c>
      <c r="B106" s="85" t="s">
        <v>605</v>
      </c>
      <c r="C106" s="85"/>
      <c r="D106" s="85"/>
    </row>
    <row r="107" spans="1:4" s="67" customFormat="1" ht="13" x14ac:dyDescent="0.25">
      <c r="A107" s="83" t="s">
        <v>608</v>
      </c>
      <c r="B107" s="85" t="s">
        <v>726</v>
      </c>
      <c r="C107" s="85"/>
      <c r="D107" s="85"/>
    </row>
    <row r="108" spans="1:4" s="67" customFormat="1" ht="13" x14ac:dyDescent="0.25">
      <c r="A108" s="83" t="s">
        <v>606</v>
      </c>
      <c r="B108" s="85" t="s">
        <v>607</v>
      </c>
      <c r="C108" s="85"/>
      <c r="D108" s="85"/>
    </row>
    <row r="109" spans="1:4" s="67" customFormat="1" ht="13" x14ac:dyDescent="0.25">
      <c r="A109" s="83" t="s">
        <v>610</v>
      </c>
      <c r="B109" s="114">
        <v>0.05</v>
      </c>
      <c r="C109" s="115"/>
      <c r="D109" s="85"/>
    </row>
    <row r="110" spans="1:4" s="67" customFormat="1" ht="13" x14ac:dyDescent="0.25">
      <c r="A110" s="118" t="s">
        <v>270</v>
      </c>
      <c r="B110" s="1074"/>
      <c r="C110" s="1074"/>
      <c r="D110" s="1074"/>
    </row>
    <row r="111" spans="1:4" s="67" customFormat="1" ht="13" x14ac:dyDescent="0.25">
      <c r="A111" s="83" t="s">
        <v>274</v>
      </c>
      <c r="B111" s="1074"/>
      <c r="C111" s="1074"/>
      <c r="D111" s="1074"/>
    </row>
    <row r="112" spans="1:4" s="67" customFormat="1" ht="13" x14ac:dyDescent="0.25">
      <c r="A112" s="83"/>
      <c r="B112" s="99"/>
      <c r="C112" s="99"/>
      <c r="D112" s="99"/>
    </row>
    <row r="113" spans="1:4" s="67" customFormat="1" ht="15.5" x14ac:dyDescent="0.35">
      <c r="A113" s="83" t="s">
        <v>594</v>
      </c>
      <c r="B113" s="1072" t="s">
        <v>779</v>
      </c>
      <c r="C113" s="1072"/>
      <c r="D113" s="112"/>
    </row>
    <row r="114" spans="1:4" s="67" customFormat="1" ht="13" x14ac:dyDescent="0.25">
      <c r="A114" s="83" t="s">
        <v>596</v>
      </c>
      <c r="B114" s="1073" t="s">
        <v>780</v>
      </c>
      <c r="C114" s="1073"/>
      <c r="D114" s="1073"/>
    </row>
    <row r="115" spans="1:4" s="67" customFormat="1" ht="13" x14ac:dyDescent="0.25">
      <c r="A115" s="83" t="s">
        <v>598</v>
      </c>
      <c r="B115" s="1051" t="s">
        <v>599</v>
      </c>
      <c r="C115" s="1051"/>
      <c r="D115" s="1051"/>
    </row>
    <row r="116" spans="1:4" s="67" customFormat="1" ht="13" x14ac:dyDescent="0.25">
      <c r="A116" s="83" t="s">
        <v>600</v>
      </c>
      <c r="B116" s="113" t="s">
        <v>673</v>
      </c>
      <c r="C116" s="119"/>
      <c r="D116" s="119"/>
    </row>
    <row r="117" spans="1:4" s="67" customFormat="1" ht="13" x14ac:dyDescent="0.25">
      <c r="A117" s="83" t="s">
        <v>602</v>
      </c>
      <c r="B117" s="1073" t="s">
        <v>603</v>
      </c>
      <c r="C117" s="1073"/>
      <c r="D117" s="1073"/>
    </row>
    <row r="118" spans="1:4" s="67" customFormat="1" ht="13" x14ac:dyDescent="0.25">
      <c r="A118" s="83" t="s">
        <v>604</v>
      </c>
      <c r="B118" s="85" t="s">
        <v>605</v>
      </c>
      <c r="C118" s="85"/>
      <c r="D118" s="85"/>
    </row>
    <row r="119" spans="1:4" s="67" customFormat="1" ht="13" x14ac:dyDescent="0.25">
      <c r="A119" s="83" t="s">
        <v>608</v>
      </c>
      <c r="B119" s="85" t="s">
        <v>726</v>
      </c>
      <c r="C119" s="85"/>
      <c r="D119" s="85"/>
    </row>
    <row r="120" spans="1:4" s="67" customFormat="1" ht="13" x14ac:dyDescent="0.25">
      <c r="A120" s="83" t="s">
        <v>606</v>
      </c>
      <c r="B120" s="85" t="s">
        <v>607</v>
      </c>
      <c r="C120" s="85"/>
      <c r="D120" s="85"/>
    </row>
    <row r="121" spans="1:4" s="67" customFormat="1" ht="13" x14ac:dyDescent="0.25">
      <c r="A121" s="83" t="s">
        <v>610</v>
      </c>
      <c r="B121" s="114" t="s">
        <v>781</v>
      </c>
      <c r="C121" s="115"/>
      <c r="D121" s="85"/>
    </row>
    <row r="122" spans="1:4" s="67" customFormat="1" ht="13" x14ac:dyDescent="0.25">
      <c r="A122" s="118" t="s">
        <v>270</v>
      </c>
      <c r="B122" s="1074"/>
      <c r="C122" s="1074"/>
      <c r="D122" s="1074"/>
    </row>
    <row r="123" spans="1:4" s="67" customFormat="1" ht="13" x14ac:dyDescent="0.25">
      <c r="A123" s="83" t="s">
        <v>274</v>
      </c>
      <c r="B123" s="1074" t="s">
        <v>782</v>
      </c>
      <c r="C123" s="1074"/>
      <c r="D123" s="1074"/>
    </row>
    <row r="124" spans="1:4" s="67" customFormat="1" x14ac:dyDescent="0.25">
      <c r="A124" s="81"/>
      <c r="B124" s="81"/>
      <c r="C124" s="81"/>
      <c r="D124" s="81"/>
    </row>
    <row r="125" spans="1:4" s="67" customFormat="1" ht="15.5" x14ac:dyDescent="0.35">
      <c r="A125" s="83" t="s">
        <v>594</v>
      </c>
      <c r="B125" s="1072" t="s">
        <v>783</v>
      </c>
      <c r="C125" s="1072"/>
      <c r="D125" s="112"/>
    </row>
    <row r="126" spans="1:4" s="67" customFormat="1" ht="13" x14ac:dyDescent="0.25">
      <c r="A126" s="83" t="s">
        <v>596</v>
      </c>
      <c r="B126" s="1073" t="s">
        <v>784</v>
      </c>
      <c r="C126" s="1073"/>
      <c r="D126" s="1073"/>
    </row>
    <row r="127" spans="1:4" s="67" customFormat="1" ht="13" x14ac:dyDescent="0.25">
      <c r="A127" s="83" t="s">
        <v>598</v>
      </c>
      <c r="B127" s="1051" t="s">
        <v>599</v>
      </c>
      <c r="C127" s="1051"/>
      <c r="D127" s="1051"/>
    </row>
    <row r="128" spans="1:4" s="67" customFormat="1" ht="13" x14ac:dyDescent="0.25">
      <c r="A128" s="83" t="s">
        <v>600</v>
      </c>
      <c r="B128" s="113" t="s">
        <v>673</v>
      </c>
      <c r="C128" s="119"/>
      <c r="D128" s="119"/>
    </row>
    <row r="129" spans="1:4" s="67" customFormat="1" ht="13" x14ac:dyDescent="0.25">
      <c r="A129" s="83" t="s">
        <v>602</v>
      </c>
      <c r="B129" s="1073" t="s">
        <v>603</v>
      </c>
      <c r="C129" s="1073"/>
      <c r="D129" s="1073"/>
    </row>
    <row r="130" spans="1:4" s="67" customFormat="1" ht="13" x14ac:dyDescent="0.25">
      <c r="A130" s="83" t="s">
        <v>604</v>
      </c>
      <c r="B130" s="85" t="s">
        <v>605</v>
      </c>
      <c r="C130" s="85"/>
      <c r="D130" s="85"/>
    </row>
    <row r="131" spans="1:4" s="67" customFormat="1" ht="13" x14ac:dyDescent="0.25">
      <c r="A131" s="83" t="s">
        <v>608</v>
      </c>
      <c r="B131" s="85" t="s">
        <v>726</v>
      </c>
      <c r="C131" s="85"/>
      <c r="D131" s="85"/>
    </row>
    <row r="132" spans="1:4" s="67" customFormat="1" ht="13" x14ac:dyDescent="0.25">
      <c r="A132" s="83" t="s">
        <v>606</v>
      </c>
      <c r="B132" s="85" t="s">
        <v>607</v>
      </c>
      <c r="C132" s="85"/>
      <c r="D132" s="85"/>
    </row>
    <row r="133" spans="1:4" s="67" customFormat="1" ht="13" x14ac:dyDescent="0.25">
      <c r="A133" s="83" t="s">
        <v>610</v>
      </c>
      <c r="B133" s="114" t="s">
        <v>785</v>
      </c>
      <c r="C133" s="115"/>
      <c r="D133" s="85"/>
    </row>
    <row r="134" spans="1:4" s="67" customFormat="1" ht="13" x14ac:dyDescent="0.25">
      <c r="A134" s="118" t="s">
        <v>270</v>
      </c>
      <c r="B134" s="1074"/>
      <c r="C134" s="1074"/>
      <c r="D134" s="1074"/>
    </row>
    <row r="135" spans="1:4" s="67" customFormat="1" ht="13" x14ac:dyDescent="0.25">
      <c r="A135" s="83" t="s">
        <v>274</v>
      </c>
      <c r="B135" s="1074" t="s">
        <v>782</v>
      </c>
      <c r="C135" s="1074"/>
      <c r="D135" s="1074"/>
    </row>
    <row r="136" spans="1:4" s="67" customFormat="1" x14ac:dyDescent="0.25">
      <c r="A136" s="81"/>
      <c r="B136" s="81"/>
      <c r="C136" s="81"/>
      <c r="D136" s="81"/>
    </row>
    <row r="137" spans="1:4" s="67" customFormat="1" ht="15.5" x14ac:dyDescent="0.35">
      <c r="A137" s="83" t="s">
        <v>594</v>
      </c>
      <c r="B137" s="1072" t="s">
        <v>786</v>
      </c>
      <c r="C137" s="1072"/>
      <c r="D137" s="112"/>
    </row>
    <row r="138" spans="1:4" s="67" customFormat="1" ht="13" x14ac:dyDescent="0.25">
      <c r="A138" s="83" t="s">
        <v>596</v>
      </c>
      <c r="B138" s="1073" t="s">
        <v>787</v>
      </c>
      <c r="C138" s="1073"/>
      <c r="D138" s="1073"/>
    </row>
    <row r="139" spans="1:4" s="67" customFormat="1" ht="13" x14ac:dyDescent="0.25">
      <c r="A139" s="83" t="s">
        <v>598</v>
      </c>
      <c r="B139" s="1051" t="s">
        <v>599</v>
      </c>
      <c r="C139" s="1051"/>
      <c r="D139" s="1051"/>
    </row>
    <row r="140" spans="1:4" s="67" customFormat="1" ht="13" x14ac:dyDescent="0.25">
      <c r="A140" s="83" t="s">
        <v>600</v>
      </c>
      <c r="B140" s="113" t="s">
        <v>673</v>
      </c>
      <c r="C140" s="119"/>
      <c r="D140" s="119"/>
    </row>
    <row r="141" spans="1:4" s="67" customFormat="1" ht="13" x14ac:dyDescent="0.25">
      <c r="A141" s="83" t="s">
        <v>602</v>
      </c>
      <c r="B141" s="1073" t="s">
        <v>603</v>
      </c>
      <c r="C141" s="1073"/>
      <c r="D141" s="1073"/>
    </row>
    <row r="142" spans="1:4" s="67" customFormat="1" ht="13" x14ac:dyDescent="0.25">
      <c r="A142" s="83" t="s">
        <v>604</v>
      </c>
      <c r="B142" s="85" t="s">
        <v>605</v>
      </c>
      <c r="C142" s="85"/>
      <c r="D142" s="85"/>
    </row>
    <row r="143" spans="1:4" s="67" customFormat="1" ht="13" x14ac:dyDescent="0.25">
      <c r="A143" s="83" t="s">
        <v>608</v>
      </c>
      <c r="B143" s="85" t="s">
        <v>726</v>
      </c>
      <c r="C143" s="85"/>
      <c r="D143" s="85"/>
    </row>
    <row r="144" spans="1:4" s="67" customFormat="1" ht="13" x14ac:dyDescent="0.25">
      <c r="A144" s="83" t="s">
        <v>606</v>
      </c>
      <c r="B144" s="85" t="s">
        <v>607</v>
      </c>
      <c r="C144" s="85"/>
      <c r="D144" s="85"/>
    </row>
    <row r="145" spans="1:4" s="67" customFormat="1" ht="13" x14ac:dyDescent="0.25">
      <c r="A145" s="83" t="s">
        <v>610</v>
      </c>
      <c r="B145" s="114" t="s">
        <v>788</v>
      </c>
      <c r="C145" s="115"/>
      <c r="D145" s="85"/>
    </row>
    <row r="146" spans="1:4" s="67" customFormat="1" ht="13" x14ac:dyDescent="0.25">
      <c r="A146" s="118" t="s">
        <v>270</v>
      </c>
      <c r="B146" s="1074"/>
      <c r="C146" s="1074"/>
      <c r="D146" s="1074"/>
    </row>
    <row r="147" spans="1:4" s="67" customFormat="1" ht="13" x14ac:dyDescent="0.25">
      <c r="A147" s="83" t="s">
        <v>274</v>
      </c>
      <c r="B147" s="1074" t="s">
        <v>782</v>
      </c>
      <c r="C147" s="1074"/>
      <c r="D147" s="1074"/>
    </row>
    <row r="148" spans="1:4" s="67" customFormat="1" x14ac:dyDescent="0.25">
      <c r="A148" s="81"/>
      <c r="B148" s="81"/>
      <c r="C148" s="81"/>
      <c r="D148" s="81"/>
    </row>
    <row r="149" spans="1:4" s="67" customFormat="1" ht="15.5" x14ac:dyDescent="0.35">
      <c r="A149" s="83" t="s">
        <v>594</v>
      </c>
      <c r="B149" s="1072" t="s">
        <v>789</v>
      </c>
      <c r="C149" s="1072"/>
      <c r="D149" s="112"/>
    </row>
    <row r="150" spans="1:4" s="67" customFormat="1" ht="13" x14ac:dyDescent="0.25">
      <c r="A150" s="83" t="s">
        <v>596</v>
      </c>
      <c r="B150" s="1073" t="s">
        <v>790</v>
      </c>
      <c r="C150" s="1073"/>
      <c r="D150" s="1073"/>
    </row>
    <row r="151" spans="1:4" s="67" customFormat="1" ht="13" x14ac:dyDescent="0.25">
      <c r="A151" s="83" t="s">
        <v>598</v>
      </c>
      <c r="B151" s="1051" t="s">
        <v>599</v>
      </c>
      <c r="C151" s="1051"/>
      <c r="D151" s="1051"/>
    </row>
    <row r="152" spans="1:4" s="67" customFormat="1" ht="13" x14ac:dyDescent="0.25">
      <c r="A152" s="83" t="s">
        <v>600</v>
      </c>
      <c r="B152" s="113" t="s">
        <v>673</v>
      </c>
      <c r="C152" s="119"/>
      <c r="D152" s="119"/>
    </row>
    <row r="153" spans="1:4" s="67" customFormat="1" ht="13" x14ac:dyDescent="0.25">
      <c r="A153" s="83" t="s">
        <v>602</v>
      </c>
      <c r="B153" s="1073" t="s">
        <v>603</v>
      </c>
      <c r="C153" s="1073"/>
      <c r="D153" s="1073"/>
    </row>
    <row r="154" spans="1:4" s="67" customFormat="1" ht="13" x14ac:dyDescent="0.25">
      <c r="A154" s="83" t="s">
        <v>604</v>
      </c>
      <c r="B154" s="85" t="s">
        <v>605</v>
      </c>
      <c r="C154" s="85"/>
      <c r="D154" s="85"/>
    </row>
    <row r="155" spans="1:4" s="67" customFormat="1" ht="13" x14ac:dyDescent="0.25">
      <c r="A155" s="83" t="s">
        <v>608</v>
      </c>
      <c r="B155" s="85" t="s">
        <v>726</v>
      </c>
      <c r="C155" s="85"/>
      <c r="D155" s="85"/>
    </row>
    <row r="156" spans="1:4" s="67" customFormat="1" ht="13" x14ac:dyDescent="0.25">
      <c r="A156" s="83" t="s">
        <v>606</v>
      </c>
      <c r="B156" s="85" t="s">
        <v>607</v>
      </c>
      <c r="C156" s="85"/>
      <c r="D156" s="85"/>
    </row>
    <row r="157" spans="1:4" s="67" customFormat="1" ht="13" x14ac:dyDescent="0.25">
      <c r="A157" s="83" t="s">
        <v>610</v>
      </c>
      <c r="B157" s="114" t="s">
        <v>781</v>
      </c>
      <c r="C157" s="115"/>
      <c r="D157" s="85"/>
    </row>
    <row r="158" spans="1:4" s="67" customFormat="1" ht="13" x14ac:dyDescent="0.25">
      <c r="A158" s="118" t="s">
        <v>270</v>
      </c>
      <c r="B158" s="1074"/>
      <c r="C158" s="1074"/>
      <c r="D158" s="1074"/>
    </row>
    <row r="159" spans="1:4" s="67" customFormat="1" ht="13" x14ac:dyDescent="0.25">
      <c r="A159" s="83" t="s">
        <v>274</v>
      </c>
      <c r="B159" s="1074" t="s">
        <v>782</v>
      </c>
      <c r="C159" s="1074"/>
      <c r="D159" s="1074"/>
    </row>
    <row r="160" spans="1:4" s="67" customFormat="1" x14ac:dyDescent="0.25">
      <c r="A160" s="81"/>
      <c r="B160" s="81"/>
      <c r="C160" s="81"/>
      <c r="D160" s="81"/>
    </row>
    <row r="161" spans="1:4" s="67" customFormat="1" ht="15.5" x14ac:dyDescent="0.35">
      <c r="A161" s="83" t="s">
        <v>594</v>
      </c>
      <c r="B161" s="1072" t="s">
        <v>791</v>
      </c>
      <c r="C161" s="1072"/>
      <c r="D161" s="112"/>
    </row>
    <row r="162" spans="1:4" s="67" customFormat="1" ht="13" x14ac:dyDescent="0.25">
      <c r="A162" s="83" t="s">
        <v>596</v>
      </c>
      <c r="B162" s="1073" t="s">
        <v>792</v>
      </c>
      <c r="C162" s="1073"/>
      <c r="D162" s="1073"/>
    </row>
    <row r="163" spans="1:4" s="67" customFormat="1" ht="13" x14ac:dyDescent="0.25">
      <c r="A163" s="83" t="s">
        <v>598</v>
      </c>
      <c r="B163" s="1051" t="s">
        <v>599</v>
      </c>
      <c r="C163" s="1051"/>
      <c r="D163" s="1051"/>
    </row>
    <row r="164" spans="1:4" s="67" customFormat="1" ht="13" x14ac:dyDescent="0.25">
      <c r="A164" s="83" t="s">
        <v>600</v>
      </c>
      <c r="B164" s="113" t="s">
        <v>673</v>
      </c>
      <c r="C164" s="119"/>
      <c r="D164" s="119"/>
    </row>
    <row r="165" spans="1:4" s="67" customFormat="1" ht="13" x14ac:dyDescent="0.25">
      <c r="A165" s="83" t="s">
        <v>602</v>
      </c>
      <c r="B165" s="1073" t="s">
        <v>603</v>
      </c>
      <c r="C165" s="1073"/>
      <c r="D165" s="1073"/>
    </row>
    <row r="166" spans="1:4" s="67" customFormat="1" ht="13" x14ac:dyDescent="0.25">
      <c r="A166" s="83" t="s">
        <v>604</v>
      </c>
      <c r="B166" s="85" t="s">
        <v>605</v>
      </c>
      <c r="C166" s="85"/>
      <c r="D166" s="85"/>
    </row>
    <row r="167" spans="1:4" s="67" customFormat="1" ht="13" x14ac:dyDescent="0.25">
      <c r="A167" s="83" t="s">
        <v>608</v>
      </c>
      <c r="B167" s="85" t="s">
        <v>726</v>
      </c>
      <c r="C167" s="85"/>
      <c r="D167" s="85"/>
    </row>
    <row r="168" spans="1:4" s="67" customFormat="1" ht="13" x14ac:dyDescent="0.25">
      <c r="A168" s="83" t="s">
        <v>606</v>
      </c>
      <c r="B168" s="85" t="s">
        <v>607</v>
      </c>
      <c r="C168" s="85"/>
      <c r="D168" s="85"/>
    </row>
    <row r="169" spans="1:4" s="67" customFormat="1" ht="13" x14ac:dyDescent="0.25">
      <c r="A169" s="83" t="s">
        <v>610</v>
      </c>
      <c r="B169" s="114" t="s">
        <v>785</v>
      </c>
      <c r="C169" s="115"/>
      <c r="D169" s="85"/>
    </row>
    <row r="170" spans="1:4" s="67" customFormat="1" ht="13" x14ac:dyDescent="0.25">
      <c r="A170" s="118" t="s">
        <v>270</v>
      </c>
      <c r="B170" s="1074"/>
      <c r="C170" s="1074"/>
      <c r="D170" s="1074"/>
    </row>
    <row r="171" spans="1:4" s="67" customFormat="1" ht="13" x14ac:dyDescent="0.25">
      <c r="A171" s="83" t="s">
        <v>274</v>
      </c>
      <c r="B171" s="1074" t="s">
        <v>782</v>
      </c>
      <c r="C171" s="1074"/>
      <c r="D171" s="1074"/>
    </row>
    <row r="172" spans="1:4" s="67" customFormat="1" x14ac:dyDescent="0.25">
      <c r="A172" s="81"/>
      <c r="B172" s="81"/>
      <c r="C172" s="81"/>
      <c r="D172" s="81"/>
    </row>
    <row r="173" spans="1:4" s="67" customFormat="1" ht="15.5" x14ac:dyDescent="0.35">
      <c r="A173" s="83" t="s">
        <v>594</v>
      </c>
      <c r="B173" s="1072" t="s">
        <v>793</v>
      </c>
      <c r="C173" s="1072"/>
      <c r="D173" s="112"/>
    </row>
    <row r="174" spans="1:4" s="67" customFormat="1" ht="13" x14ac:dyDescent="0.25">
      <c r="A174" s="83" t="s">
        <v>596</v>
      </c>
      <c r="B174" s="1073" t="s">
        <v>794</v>
      </c>
      <c r="C174" s="1073"/>
      <c r="D174" s="1073"/>
    </row>
    <row r="175" spans="1:4" s="67" customFormat="1" ht="13" x14ac:dyDescent="0.25">
      <c r="A175" s="83" t="s">
        <v>598</v>
      </c>
      <c r="B175" s="1051" t="s">
        <v>599</v>
      </c>
      <c r="C175" s="1051"/>
      <c r="D175" s="1051"/>
    </row>
    <row r="176" spans="1:4" s="67" customFormat="1" ht="13" x14ac:dyDescent="0.25">
      <c r="A176" s="83" t="s">
        <v>600</v>
      </c>
      <c r="B176" s="113" t="s">
        <v>673</v>
      </c>
      <c r="C176" s="119"/>
      <c r="D176" s="119"/>
    </row>
    <row r="177" spans="1:4" s="67" customFormat="1" ht="13" x14ac:dyDescent="0.25">
      <c r="A177" s="83" t="s">
        <v>602</v>
      </c>
      <c r="B177" s="1073" t="s">
        <v>603</v>
      </c>
      <c r="C177" s="1073"/>
      <c r="D177" s="1073"/>
    </row>
    <row r="178" spans="1:4" s="67" customFormat="1" ht="13" x14ac:dyDescent="0.25">
      <c r="A178" s="83" t="s">
        <v>604</v>
      </c>
      <c r="B178" s="85" t="s">
        <v>605</v>
      </c>
      <c r="C178" s="85"/>
      <c r="D178" s="85"/>
    </row>
    <row r="179" spans="1:4" s="67" customFormat="1" ht="13" x14ac:dyDescent="0.25">
      <c r="A179" s="83" t="s">
        <v>608</v>
      </c>
      <c r="B179" s="85" t="s">
        <v>726</v>
      </c>
      <c r="C179" s="85"/>
      <c r="D179" s="85"/>
    </row>
    <row r="180" spans="1:4" s="67" customFormat="1" ht="13" x14ac:dyDescent="0.25">
      <c r="A180" s="83" t="s">
        <v>606</v>
      </c>
      <c r="B180" s="85" t="s">
        <v>607</v>
      </c>
      <c r="C180" s="85"/>
      <c r="D180" s="85"/>
    </row>
    <row r="181" spans="1:4" s="67" customFormat="1" ht="13" x14ac:dyDescent="0.25">
      <c r="A181" s="83" t="s">
        <v>610</v>
      </c>
      <c r="B181" s="114" t="s">
        <v>795</v>
      </c>
      <c r="C181" s="115"/>
      <c r="D181" s="85"/>
    </row>
    <row r="182" spans="1:4" s="67" customFormat="1" ht="13" x14ac:dyDescent="0.25">
      <c r="A182" s="118" t="s">
        <v>270</v>
      </c>
      <c r="B182" s="1074"/>
      <c r="C182" s="1074"/>
      <c r="D182" s="1074"/>
    </row>
    <row r="183" spans="1:4" s="67" customFormat="1" ht="13" x14ac:dyDescent="0.25">
      <c r="A183" s="83" t="s">
        <v>274</v>
      </c>
      <c r="B183" s="1074" t="s">
        <v>782</v>
      </c>
      <c r="C183" s="1074"/>
      <c r="D183" s="1074"/>
    </row>
    <row r="184" spans="1:4" s="67" customFormat="1" ht="13" x14ac:dyDescent="0.25">
      <c r="A184" s="83"/>
      <c r="B184" s="99"/>
      <c r="C184" s="99"/>
      <c r="D184" s="99"/>
    </row>
    <row r="185" spans="1:4" s="67" customFormat="1" ht="15.5" x14ac:dyDescent="0.35">
      <c r="A185" s="83" t="s">
        <v>594</v>
      </c>
      <c r="B185" s="1072" t="s">
        <v>796</v>
      </c>
      <c r="C185" s="1072"/>
      <c r="D185" s="112"/>
    </row>
    <row r="186" spans="1:4" s="67" customFormat="1" ht="13" x14ac:dyDescent="0.25">
      <c r="A186" s="83" t="s">
        <v>596</v>
      </c>
      <c r="B186" s="1073" t="s">
        <v>797</v>
      </c>
      <c r="C186" s="1073"/>
      <c r="D186" s="1073"/>
    </row>
    <row r="187" spans="1:4" s="67" customFormat="1" ht="13" x14ac:dyDescent="0.25">
      <c r="A187" s="83" t="s">
        <v>598</v>
      </c>
      <c r="B187" s="1051" t="s">
        <v>599</v>
      </c>
      <c r="C187" s="1051"/>
      <c r="D187" s="1051"/>
    </row>
    <row r="188" spans="1:4" s="67" customFormat="1" ht="13" x14ac:dyDescent="0.25">
      <c r="A188" s="83" t="s">
        <v>600</v>
      </c>
      <c r="B188" s="113" t="s">
        <v>673</v>
      </c>
      <c r="C188" s="119"/>
      <c r="D188" s="119"/>
    </row>
    <row r="189" spans="1:4" s="67" customFormat="1" ht="13" x14ac:dyDescent="0.25">
      <c r="A189" s="83" t="s">
        <v>602</v>
      </c>
      <c r="B189" s="1073" t="s">
        <v>603</v>
      </c>
      <c r="C189" s="1073"/>
      <c r="D189" s="1073"/>
    </row>
    <row r="190" spans="1:4" s="67" customFormat="1" ht="13" x14ac:dyDescent="0.25">
      <c r="A190" s="83" t="s">
        <v>604</v>
      </c>
      <c r="B190" s="85" t="s">
        <v>605</v>
      </c>
      <c r="C190" s="85"/>
      <c r="D190" s="85"/>
    </row>
    <row r="191" spans="1:4" s="67" customFormat="1" ht="13" x14ac:dyDescent="0.25">
      <c r="A191" s="83" t="s">
        <v>608</v>
      </c>
      <c r="B191" s="85" t="s">
        <v>726</v>
      </c>
      <c r="C191" s="85"/>
      <c r="D191" s="85"/>
    </row>
    <row r="192" spans="1:4" s="67" customFormat="1" ht="13" x14ac:dyDescent="0.25">
      <c r="A192" s="83" t="s">
        <v>606</v>
      </c>
      <c r="B192" s="85" t="s">
        <v>607</v>
      </c>
      <c r="C192" s="85"/>
      <c r="D192" s="85"/>
    </row>
    <row r="193" spans="1:4" s="67" customFormat="1" ht="13" x14ac:dyDescent="0.25">
      <c r="A193" s="83" t="s">
        <v>610</v>
      </c>
      <c r="B193" s="114">
        <v>0.5</v>
      </c>
      <c r="C193" s="115"/>
      <c r="D193" s="85"/>
    </row>
    <row r="194" spans="1:4" s="67" customFormat="1" ht="13" x14ac:dyDescent="0.25">
      <c r="A194" s="118" t="s">
        <v>270</v>
      </c>
      <c r="B194" s="1074"/>
      <c r="C194" s="1074"/>
      <c r="D194" s="1074"/>
    </row>
    <row r="195" spans="1:4" s="67" customFormat="1" ht="13" x14ac:dyDescent="0.25">
      <c r="A195" s="83" t="s">
        <v>274</v>
      </c>
      <c r="B195" s="1074"/>
      <c r="C195" s="1074"/>
      <c r="D195" s="1074"/>
    </row>
    <row r="196" spans="1:4" s="67" customFormat="1" x14ac:dyDescent="0.25">
      <c r="A196" s="81"/>
      <c r="B196" s="81"/>
      <c r="C196" s="81"/>
      <c r="D196" s="81"/>
    </row>
    <row r="197" spans="1:4" s="67" customFormat="1" ht="15.5" x14ac:dyDescent="0.35">
      <c r="A197" s="83" t="s">
        <v>594</v>
      </c>
      <c r="B197" s="1072" t="s">
        <v>798</v>
      </c>
      <c r="C197" s="1072"/>
      <c r="D197" s="112"/>
    </row>
    <row r="198" spans="1:4" s="67" customFormat="1" ht="13" x14ac:dyDescent="0.25">
      <c r="A198" s="83" t="s">
        <v>596</v>
      </c>
      <c r="B198" s="1073" t="s">
        <v>799</v>
      </c>
      <c r="C198" s="1073"/>
      <c r="D198" s="1073"/>
    </row>
    <row r="199" spans="1:4" s="67" customFormat="1" ht="13" x14ac:dyDescent="0.25">
      <c r="A199" s="83" t="s">
        <v>598</v>
      </c>
      <c r="B199" s="1051" t="s">
        <v>599</v>
      </c>
      <c r="C199" s="1051"/>
      <c r="D199" s="1051"/>
    </row>
    <row r="200" spans="1:4" s="67" customFormat="1" ht="13" x14ac:dyDescent="0.25">
      <c r="A200" s="83" t="s">
        <v>600</v>
      </c>
      <c r="B200" s="113" t="s">
        <v>673</v>
      </c>
      <c r="C200" s="119"/>
      <c r="D200" s="119"/>
    </row>
    <row r="201" spans="1:4" s="67" customFormat="1" ht="13" x14ac:dyDescent="0.25">
      <c r="A201" s="83" t="s">
        <v>602</v>
      </c>
      <c r="B201" s="1073" t="s">
        <v>603</v>
      </c>
      <c r="C201" s="1073"/>
      <c r="D201" s="1073"/>
    </row>
    <row r="202" spans="1:4" s="67" customFormat="1" ht="13" x14ac:dyDescent="0.25">
      <c r="A202" s="83" t="s">
        <v>604</v>
      </c>
      <c r="B202" s="85" t="s">
        <v>605</v>
      </c>
      <c r="C202" s="85"/>
      <c r="D202" s="85"/>
    </row>
    <row r="203" spans="1:4" s="67" customFormat="1" ht="13" x14ac:dyDescent="0.25">
      <c r="A203" s="83" t="s">
        <v>608</v>
      </c>
      <c r="B203" s="85" t="s">
        <v>726</v>
      </c>
      <c r="C203" s="85"/>
      <c r="D203" s="85"/>
    </row>
    <row r="204" spans="1:4" s="67" customFormat="1" ht="13" x14ac:dyDescent="0.25">
      <c r="A204" s="83" t="s">
        <v>606</v>
      </c>
      <c r="B204" s="85" t="s">
        <v>607</v>
      </c>
      <c r="C204" s="85"/>
      <c r="D204" s="85"/>
    </row>
    <row r="205" spans="1:4" s="67" customFormat="1" ht="13" x14ac:dyDescent="0.25">
      <c r="A205" s="83" t="s">
        <v>610</v>
      </c>
      <c r="B205" s="114">
        <v>0.25</v>
      </c>
      <c r="C205" s="115"/>
      <c r="D205" s="85"/>
    </row>
    <row r="206" spans="1:4" s="67" customFormat="1" ht="13" x14ac:dyDescent="0.25">
      <c r="A206" s="118" t="s">
        <v>270</v>
      </c>
      <c r="B206" s="1074"/>
      <c r="C206" s="1074"/>
      <c r="D206" s="1074"/>
    </row>
    <row r="207" spans="1:4" s="67" customFormat="1" ht="13" x14ac:dyDescent="0.25">
      <c r="A207" s="83" t="s">
        <v>274</v>
      </c>
      <c r="B207" s="1074"/>
      <c r="C207" s="1074"/>
      <c r="D207" s="1074"/>
    </row>
    <row r="208" spans="1:4" s="67" customFormat="1" x14ac:dyDescent="0.25">
      <c r="A208" s="81"/>
      <c r="B208" s="81"/>
      <c r="C208" s="81"/>
      <c r="D208" s="81"/>
    </row>
    <row r="209" spans="1:4" s="67" customFormat="1" ht="15.5" x14ac:dyDescent="0.35">
      <c r="A209" s="83" t="s">
        <v>594</v>
      </c>
      <c r="B209" s="1072" t="s">
        <v>800</v>
      </c>
      <c r="C209" s="1072"/>
      <c r="D209" s="112"/>
    </row>
    <row r="210" spans="1:4" s="67" customFormat="1" ht="13" x14ac:dyDescent="0.25">
      <c r="A210" s="83" t="s">
        <v>596</v>
      </c>
      <c r="B210" s="1073" t="s">
        <v>801</v>
      </c>
      <c r="C210" s="1073"/>
      <c r="D210" s="1073"/>
    </row>
    <row r="211" spans="1:4" s="67" customFormat="1" ht="13" x14ac:dyDescent="0.25">
      <c r="A211" s="83" t="s">
        <v>598</v>
      </c>
      <c r="B211" s="1051" t="s">
        <v>599</v>
      </c>
      <c r="C211" s="1051"/>
      <c r="D211" s="1051"/>
    </row>
    <row r="212" spans="1:4" s="67" customFormat="1" ht="13" x14ac:dyDescent="0.25">
      <c r="A212" s="83" t="s">
        <v>600</v>
      </c>
      <c r="B212" s="113" t="s">
        <v>673</v>
      </c>
      <c r="C212" s="119"/>
      <c r="D212" s="119"/>
    </row>
    <row r="213" spans="1:4" s="67" customFormat="1" ht="13" x14ac:dyDescent="0.25">
      <c r="A213" s="83" t="s">
        <v>602</v>
      </c>
      <c r="B213" s="1073" t="s">
        <v>603</v>
      </c>
      <c r="C213" s="1073"/>
      <c r="D213" s="1073"/>
    </row>
    <row r="214" spans="1:4" s="67" customFormat="1" ht="13" x14ac:dyDescent="0.25">
      <c r="A214" s="83" t="s">
        <v>604</v>
      </c>
      <c r="B214" s="85" t="s">
        <v>605</v>
      </c>
      <c r="C214" s="85"/>
      <c r="D214" s="85"/>
    </row>
    <row r="215" spans="1:4" s="67" customFormat="1" ht="13" x14ac:dyDescent="0.25">
      <c r="A215" s="83" t="s">
        <v>608</v>
      </c>
      <c r="B215" s="85" t="s">
        <v>726</v>
      </c>
      <c r="C215" s="85"/>
      <c r="D215" s="85"/>
    </row>
    <row r="216" spans="1:4" s="67" customFormat="1" ht="13" x14ac:dyDescent="0.25">
      <c r="A216" s="83" t="s">
        <v>606</v>
      </c>
      <c r="B216" s="85" t="s">
        <v>607</v>
      </c>
      <c r="C216" s="85"/>
      <c r="D216" s="85"/>
    </row>
    <row r="217" spans="1:4" s="67" customFormat="1" ht="13" x14ac:dyDescent="0.25">
      <c r="A217" s="83" t="s">
        <v>610</v>
      </c>
      <c r="B217" s="114">
        <v>0.1</v>
      </c>
      <c r="C217" s="115"/>
      <c r="D217" s="85"/>
    </row>
    <row r="218" spans="1:4" s="67" customFormat="1" ht="13" x14ac:dyDescent="0.25">
      <c r="A218" s="118" t="s">
        <v>270</v>
      </c>
      <c r="B218" s="1074"/>
      <c r="C218" s="1074"/>
      <c r="D218" s="1074"/>
    </row>
    <row r="219" spans="1:4" s="67" customFormat="1" ht="13" x14ac:dyDescent="0.25">
      <c r="A219" s="83" t="s">
        <v>274</v>
      </c>
      <c r="B219" s="1074"/>
      <c r="C219" s="1074"/>
      <c r="D219" s="1074"/>
    </row>
    <row r="220" spans="1:4" s="67" customFormat="1" x14ac:dyDescent="0.25"/>
    <row r="221" spans="1:4" s="67" customFormat="1" ht="15.5" x14ac:dyDescent="0.35">
      <c r="A221" s="83" t="s">
        <v>594</v>
      </c>
      <c r="B221" s="1072" t="s">
        <v>802</v>
      </c>
      <c r="C221" s="1072"/>
      <c r="D221" s="112"/>
    </row>
    <row r="222" spans="1:4" s="67" customFormat="1" ht="13" x14ac:dyDescent="0.25">
      <c r="A222" s="83" t="s">
        <v>596</v>
      </c>
      <c r="B222" s="1073" t="s">
        <v>803</v>
      </c>
      <c r="C222" s="1073"/>
      <c r="D222" s="1073"/>
    </row>
    <row r="223" spans="1:4" s="67" customFormat="1" ht="13" x14ac:dyDescent="0.25">
      <c r="A223" s="83" t="s">
        <v>598</v>
      </c>
      <c r="B223" s="1051" t="s">
        <v>599</v>
      </c>
      <c r="C223" s="1051"/>
      <c r="D223" s="1051"/>
    </row>
    <row r="224" spans="1:4" s="67" customFormat="1" ht="13" x14ac:dyDescent="0.25">
      <c r="A224" s="83" t="s">
        <v>600</v>
      </c>
      <c r="B224" s="113" t="s">
        <v>673</v>
      </c>
      <c r="C224" s="119"/>
      <c r="D224" s="119"/>
    </row>
    <row r="225" spans="1:4" s="67" customFormat="1" ht="13" x14ac:dyDescent="0.25">
      <c r="A225" s="83" t="s">
        <v>602</v>
      </c>
      <c r="B225" s="1073" t="s">
        <v>603</v>
      </c>
      <c r="C225" s="1073"/>
      <c r="D225" s="1073"/>
    </row>
    <row r="226" spans="1:4" s="67" customFormat="1" ht="13" x14ac:dyDescent="0.25">
      <c r="A226" s="83" t="s">
        <v>604</v>
      </c>
      <c r="B226" s="85" t="s">
        <v>605</v>
      </c>
      <c r="C226" s="85"/>
      <c r="D226" s="85"/>
    </row>
    <row r="227" spans="1:4" s="67" customFormat="1" ht="13" x14ac:dyDescent="0.25">
      <c r="A227" s="83" t="s">
        <v>608</v>
      </c>
      <c r="B227" s="85" t="s">
        <v>726</v>
      </c>
      <c r="C227" s="85"/>
      <c r="D227" s="85"/>
    </row>
    <row r="228" spans="1:4" s="67" customFormat="1" ht="13" x14ac:dyDescent="0.25">
      <c r="A228" s="83" t="s">
        <v>606</v>
      </c>
      <c r="B228" s="85" t="s">
        <v>607</v>
      </c>
      <c r="C228" s="85"/>
      <c r="D228" s="85"/>
    </row>
    <row r="229" spans="1:4" s="67" customFormat="1" ht="13" x14ac:dyDescent="0.25">
      <c r="A229" s="83" t="s">
        <v>610</v>
      </c>
      <c r="B229" s="114">
        <v>0.5</v>
      </c>
      <c r="C229" s="115"/>
      <c r="D229" s="85"/>
    </row>
    <row r="230" spans="1:4" s="67" customFormat="1" ht="13" x14ac:dyDescent="0.25">
      <c r="A230" s="118" t="s">
        <v>270</v>
      </c>
      <c r="B230" s="1074"/>
      <c r="C230" s="1074"/>
      <c r="D230" s="1074"/>
    </row>
    <row r="231" spans="1:4" s="67" customFormat="1" ht="13" x14ac:dyDescent="0.25">
      <c r="A231" s="83" t="s">
        <v>274</v>
      </c>
      <c r="B231" s="1074" t="s">
        <v>782</v>
      </c>
      <c r="C231" s="1074"/>
      <c r="D231" s="1074"/>
    </row>
    <row r="232" spans="1:4" s="67" customFormat="1" x14ac:dyDescent="0.25">
      <c r="A232" s="81"/>
      <c r="B232" s="81"/>
      <c r="C232" s="81"/>
      <c r="D232" s="81"/>
    </row>
    <row r="233" spans="1:4" s="67" customFormat="1" ht="15.5" x14ac:dyDescent="0.35">
      <c r="A233" s="83" t="s">
        <v>594</v>
      </c>
      <c r="B233" s="1072" t="s">
        <v>804</v>
      </c>
      <c r="C233" s="1072"/>
      <c r="D233" s="112"/>
    </row>
    <row r="234" spans="1:4" s="67" customFormat="1" ht="13" x14ac:dyDescent="0.25">
      <c r="A234" s="83" t="s">
        <v>596</v>
      </c>
      <c r="B234" s="1073" t="s">
        <v>805</v>
      </c>
      <c r="C234" s="1073"/>
      <c r="D234" s="1073"/>
    </row>
    <row r="235" spans="1:4" s="67" customFormat="1" ht="13" x14ac:dyDescent="0.25">
      <c r="A235" s="83" t="s">
        <v>598</v>
      </c>
      <c r="B235" s="1051" t="s">
        <v>599</v>
      </c>
      <c r="C235" s="1051"/>
      <c r="D235" s="1051"/>
    </row>
    <row r="236" spans="1:4" s="67" customFormat="1" ht="13" x14ac:dyDescent="0.25">
      <c r="A236" s="83" t="s">
        <v>600</v>
      </c>
      <c r="B236" s="113" t="s">
        <v>673</v>
      </c>
      <c r="C236" s="119"/>
      <c r="D236" s="119"/>
    </row>
    <row r="237" spans="1:4" s="67" customFormat="1" ht="13" x14ac:dyDescent="0.25">
      <c r="A237" s="83" t="s">
        <v>602</v>
      </c>
      <c r="B237" s="1073" t="s">
        <v>603</v>
      </c>
      <c r="C237" s="1073"/>
      <c r="D237" s="1073"/>
    </row>
    <row r="238" spans="1:4" s="67" customFormat="1" ht="13" x14ac:dyDescent="0.25">
      <c r="A238" s="83" t="s">
        <v>604</v>
      </c>
      <c r="B238" s="85" t="s">
        <v>605</v>
      </c>
      <c r="C238" s="85"/>
      <c r="D238" s="85"/>
    </row>
    <row r="239" spans="1:4" s="67" customFormat="1" ht="13" x14ac:dyDescent="0.25">
      <c r="A239" s="83" t="s">
        <v>608</v>
      </c>
      <c r="B239" s="85" t="s">
        <v>726</v>
      </c>
      <c r="C239" s="85"/>
      <c r="D239" s="85"/>
    </row>
    <row r="240" spans="1:4" s="67" customFormat="1" ht="13" x14ac:dyDescent="0.25">
      <c r="A240" s="83" t="s">
        <v>606</v>
      </c>
      <c r="B240" s="85" t="s">
        <v>607</v>
      </c>
      <c r="C240" s="85"/>
      <c r="D240" s="85"/>
    </row>
    <row r="241" spans="1:4" s="67" customFormat="1" ht="13" x14ac:dyDescent="0.25">
      <c r="A241" s="83" t="s">
        <v>610</v>
      </c>
      <c r="B241" s="114">
        <v>0.25</v>
      </c>
      <c r="C241" s="115"/>
      <c r="D241" s="85"/>
    </row>
    <row r="242" spans="1:4" s="67" customFormat="1" ht="13" x14ac:dyDescent="0.25">
      <c r="A242" s="118" t="s">
        <v>270</v>
      </c>
      <c r="B242" s="1074"/>
      <c r="C242" s="1074"/>
      <c r="D242" s="1074"/>
    </row>
    <row r="243" spans="1:4" s="67" customFormat="1" ht="13" x14ac:dyDescent="0.25">
      <c r="A243" s="83" t="s">
        <v>274</v>
      </c>
      <c r="B243" s="1074" t="s">
        <v>782</v>
      </c>
      <c r="C243" s="1074"/>
      <c r="D243" s="1074"/>
    </row>
    <row r="244" spans="1:4" s="67" customFormat="1" x14ac:dyDescent="0.25">
      <c r="A244" s="81"/>
      <c r="B244" s="81"/>
      <c r="C244" s="81"/>
      <c r="D244" s="81"/>
    </row>
    <row r="245" spans="1:4" s="67" customFormat="1" ht="15.5" x14ac:dyDescent="0.35">
      <c r="A245" s="83" t="s">
        <v>594</v>
      </c>
      <c r="B245" s="1072" t="s">
        <v>806</v>
      </c>
      <c r="C245" s="1072"/>
      <c r="D245" s="112"/>
    </row>
    <row r="246" spans="1:4" s="67" customFormat="1" ht="13" x14ac:dyDescent="0.25">
      <c r="A246" s="83" t="s">
        <v>596</v>
      </c>
      <c r="B246" s="1073" t="s">
        <v>807</v>
      </c>
      <c r="C246" s="1073"/>
      <c r="D246" s="1073"/>
    </row>
    <row r="247" spans="1:4" s="67" customFormat="1" ht="13" x14ac:dyDescent="0.25">
      <c r="A247" s="83" t="s">
        <v>598</v>
      </c>
      <c r="B247" s="1051" t="s">
        <v>599</v>
      </c>
      <c r="C247" s="1051"/>
      <c r="D247" s="1051"/>
    </row>
    <row r="248" spans="1:4" s="67" customFormat="1" ht="13" x14ac:dyDescent="0.25">
      <c r="A248" s="83" t="s">
        <v>600</v>
      </c>
      <c r="B248" s="113" t="s">
        <v>673</v>
      </c>
      <c r="C248" s="119"/>
      <c r="D248" s="119"/>
    </row>
    <row r="249" spans="1:4" s="67" customFormat="1" ht="13" x14ac:dyDescent="0.25">
      <c r="A249" s="83" t="s">
        <v>602</v>
      </c>
      <c r="B249" s="1073" t="s">
        <v>603</v>
      </c>
      <c r="C249" s="1073"/>
      <c r="D249" s="1073"/>
    </row>
    <row r="250" spans="1:4" s="67" customFormat="1" ht="13" x14ac:dyDescent="0.25">
      <c r="A250" s="83" t="s">
        <v>604</v>
      </c>
      <c r="B250" s="85" t="s">
        <v>605</v>
      </c>
      <c r="C250" s="85"/>
      <c r="D250" s="85"/>
    </row>
    <row r="251" spans="1:4" s="67" customFormat="1" ht="13" x14ac:dyDescent="0.25">
      <c r="A251" s="83" t="s">
        <v>608</v>
      </c>
      <c r="B251" s="85" t="s">
        <v>726</v>
      </c>
      <c r="C251" s="85"/>
      <c r="D251" s="85"/>
    </row>
    <row r="252" spans="1:4" s="67" customFormat="1" ht="13" x14ac:dyDescent="0.25">
      <c r="A252" s="83" t="s">
        <v>606</v>
      </c>
      <c r="B252" s="85" t="s">
        <v>607</v>
      </c>
      <c r="C252" s="85"/>
      <c r="D252" s="85"/>
    </row>
    <row r="253" spans="1:4" s="67" customFormat="1" ht="13" x14ac:dyDescent="0.25">
      <c r="A253" s="83" t="s">
        <v>610</v>
      </c>
      <c r="B253" s="114">
        <v>0.1</v>
      </c>
      <c r="C253" s="115"/>
      <c r="D253" s="85"/>
    </row>
    <row r="254" spans="1:4" s="67" customFormat="1" ht="13" x14ac:dyDescent="0.25">
      <c r="A254" s="118" t="s">
        <v>270</v>
      </c>
      <c r="B254" s="1074"/>
      <c r="C254" s="1074"/>
      <c r="D254" s="1074"/>
    </row>
    <row r="255" spans="1:4" s="67" customFormat="1" ht="13" x14ac:dyDescent="0.25">
      <c r="A255" s="83" t="s">
        <v>274</v>
      </c>
      <c r="B255" s="1074" t="s">
        <v>782</v>
      </c>
      <c r="C255" s="1074"/>
      <c r="D255" s="1074"/>
    </row>
  </sheetData>
  <mergeCells count="128">
    <mergeCell ref="A1:D1"/>
    <mergeCell ref="A3:B3"/>
    <mergeCell ref="B5:C5"/>
    <mergeCell ref="B6:D6"/>
    <mergeCell ref="B7:D7"/>
    <mergeCell ref="B9:D9"/>
    <mergeCell ref="B26:D26"/>
    <mergeCell ref="B27:D27"/>
    <mergeCell ref="B29:C29"/>
    <mergeCell ref="B30:D30"/>
    <mergeCell ref="B31:D31"/>
    <mergeCell ref="B33:D33"/>
    <mergeCell ref="B14:D14"/>
    <mergeCell ref="B15:D15"/>
    <mergeCell ref="B17:C17"/>
    <mergeCell ref="B18:D18"/>
    <mergeCell ref="B19:D19"/>
    <mergeCell ref="B21:D21"/>
    <mergeCell ref="B50:D50"/>
    <mergeCell ref="B51:D51"/>
    <mergeCell ref="B53:C53"/>
    <mergeCell ref="B54:D54"/>
    <mergeCell ref="B55:D55"/>
    <mergeCell ref="B57:D57"/>
    <mergeCell ref="B38:D38"/>
    <mergeCell ref="B39:D39"/>
    <mergeCell ref="B41:C41"/>
    <mergeCell ref="B42:D42"/>
    <mergeCell ref="B43:D43"/>
    <mergeCell ref="B45:D45"/>
    <mergeCell ref="B74:D74"/>
    <mergeCell ref="B75:D75"/>
    <mergeCell ref="B77:C77"/>
    <mergeCell ref="B78:D78"/>
    <mergeCell ref="B79:D79"/>
    <mergeCell ref="B81:D81"/>
    <mergeCell ref="B62:D62"/>
    <mergeCell ref="B63:D63"/>
    <mergeCell ref="B65:C65"/>
    <mergeCell ref="B66:D66"/>
    <mergeCell ref="B67:D67"/>
    <mergeCell ref="B69:D69"/>
    <mergeCell ref="B98:D98"/>
    <mergeCell ref="B99:D99"/>
    <mergeCell ref="B101:C101"/>
    <mergeCell ref="B102:D102"/>
    <mergeCell ref="B103:D103"/>
    <mergeCell ref="B105:D105"/>
    <mergeCell ref="B86:D86"/>
    <mergeCell ref="B87:D87"/>
    <mergeCell ref="B89:C89"/>
    <mergeCell ref="B90:D90"/>
    <mergeCell ref="B91:D91"/>
    <mergeCell ref="B93:D93"/>
    <mergeCell ref="B122:D122"/>
    <mergeCell ref="B123:D123"/>
    <mergeCell ref="B125:C125"/>
    <mergeCell ref="B126:D126"/>
    <mergeCell ref="B127:D127"/>
    <mergeCell ref="B129:D129"/>
    <mergeCell ref="B110:D110"/>
    <mergeCell ref="B111:D111"/>
    <mergeCell ref="B113:C113"/>
    <mergeCell ref="B114:D114"/>
    <mergeCell ref="B115:D115"/>
    <mergeCell ref="B117:D117"/>
    <mergeCell ref="B146:D146"/>
    <mergeCell ref="B147:D147"/>
    <mergeCell ref="B149:C149"/>
    <mergeCell ref="B150:D150"/>
    <mergeCell ref="B151:D151"/>
    <mergeCell ref="B153:D153"/>
    <mergeCell ref="B134:D134"/>
    <mergeCell ref="B135:D135"/>
    <mergeCell ref="B137:C137"/>
    <mergeCell ref="B138:D138"/>
    <mergeCell ref="B139:D139"/>
    <mergeCell ref="B141:D141"/>
    <mergeCell ref="B170:D170"/>
    <mergeCell ref="B171:D171"/>
    <mergeCell ref="B173:C173"/>
    <mergeCell ref="B174:D174"/>
    <mergeCell ref="B175:D175"/>
    <mergeCell ref="B177:D177"/>
    <mergeCell ref="B158:D158"/>
    <mergeCell ref="B159:D159"/>
    <mergeCell ref="B161:C161"/>
    <mergeCell ref="B162:D162"/>
    <mergeCell ref="B163:D163"/>
    <mergeCell ref="B165:D165"/>
    <mergeCell ref="B194:D194"/>
    <mergeCell ref="B195:D195"/>
    <mergeCell ref="B197:C197"/>
    <mergeCell ref="B198:D198"/>
    <mergeCell ref="B199:D199"/>
    <mergeCell ref="B201:D201"/>
    <mergeCell ref="B182:D182"/>
    <mergeCell ref="B183:D183"/>
    <mergeCell ref="B185:C185"/>
    <mergeCell ref="B186:D186"/>
    <mergeCell ref="B187:D187"/>
    <mergeCell ref="B189:D189"/>
    <mergeCell ref="B218:D218"/>
    <mergeCell ref="B219:D219"/>
    <mergeCell ref="B221:C221"/>
    <mergeCell ref="B222:D222"/>
    <mergeCell ref="B223:D223"/>
    <mergeCell ref="B225:D225"/>
    <mergeCell ref="B206:D206"/>
    <mergeCell ref="B207:D207"/>
    <mergeCell ref="B209:C209"/>
    <mergeCell ref="B210:D210"/>
    <mergeCell ref="B211:D211"/>
    <mergeCell ref="B213:D213"/>
    <mergeCell ref="B254:D254"/>
    <mergeCell ref="B255:D255"/>
    <mergeCell ref="B242:D242"/>
    <mergeCell ref="B243:D243"/>
    <mergeCell ref="B245:C245"/>
    <mergeCell ref="B246:D246"/>
    <mergeCell ref="B247:D247"/>
    <mergeCell ref="B249:D249"/>
    <mergeCell ref="B230:D230"/>
    <mergeCell ref="B231:D231"/>
    <mergeCell ref="B233:C233"/>
    <mergeCell ref="B234:D234"/>
    <mergeCell ref="B235:D235"/>
    <mergeCell ref="B237:D237"/>
  </mergeCells>
  <pageMargins left="0.7" right="0.7" top="0.75" bottom="0.75" header="0.3" footer="0.3"/>
  <pageSetup scale="71" orientation="portrait" r:id="rId1"/>
  <headerFooter>
    <oddFooter>&amp;F</oddFooter>
  </headerFooter>
  <rowBreaks count="3" manualBreakCount="3">
    <brk id="75" max="16383" man="1"/>
    <brk id="148" max="16383" man="1"/>
    <brk id="219"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FFFF00"/>
  </sheetPr>
  <dimension ref="A1:R531"/>
  <sheetViews>
    <sheetView zoomScaleNormal="100" workbookViewId="0">
      <pane ySplit="1" topLeftCell="A38" activePane="bottomLeft" state="frozen"/>
      <selection sqref="A1:D1"/>
      <selection pane="bottomLeft" activeCell="I38" sqref="I38"/>
    </sheetView>
  </sheetViews>
  <sheetFormatPr defaultColWidth="9.26953125" defaultRowHeight="10.5" x14ac:dyDescent="0.25"/>
  <cols>
    <col min="1" max="1" width="16.54296875" style="399" bestFit="1" customWidth="1"/>
    <col min="2" max="2" width="10.7265625" style="401" bestFit="1" customWidth="1"/>
    <col min="3" max="3" width="5.1796875" style="399" customWidth="1"/>
    <col min="4" max="5" width="5.7265625" style="399" customWidth="1"/>
    <col min="6" max="6" width="5.54296875" style="399" customWidth="1"/>
    <col min="7" max="7" width="19.54296875" style="399" bestFit="1" customWidth="1"/>
    <col min="8" max="8" width="24.453125" style="399" bestFit="1" customWidth="1"/>
    <col min="9" max="9" width="27.54296875" style="399" customWidth="1"/>
    <col min="10" max="10" width="17.453125" style="399" bestFit="1" customWidth="1"/>
    <col min="11" max="11" width="12.54296875" style="399" bestFit="1" customWidth="1"/>
    <col min="12" max="12" width="14.54296875" style="399" bestFit="1" customWidth="1"/>
    <col min="13" max="13" width="13.7265625" style="399" bestFit="1" customWidth="1"/>
    <col min="14" max="14" width="14.1796875" style="399" bestFit="1" customWidth="1"/>
    <col min="15" max="15" width="15.7265625" style="399" bestFit="1" customWidth="1"/>
    <col min="16" max="16" width="19.54296875" style="399" bestFit="1" customWidth="1"/>
    <col min="17" max="17" width="14.1796875" style="399" bestFit="1" customWidth="1"/>
    <col min="18" max="18" width="12.54296875" style="399" bestFit="1" customWidth="1"/>
    <col min="19" max="16384" width="9.26953125" style="399"/>
  </cols>
  <sheetData>
    <row r="1" spans="1:18" s="404" customFormat="1" ht="76.5" customHeight="1" x14ac:dyDescent="0.25">
      <c r="A1" s="402" t="s">
        <v>305</v>
      </c>
      <c r="B1" s="403" t="s">
        <v>230</v>
      </c>
      <c r="C1" s="402" t="s">
        <v>184</v>
      </c>
      <c r="D1" s="402" t="s">
        <v>306</v>
      </c>
      <c r="E1" s="402" t="s">
        <v>307</v>
      </c>
      <c r="F1" s="402" t="s">
        <v>308</v>
      </c>
      <c r="G1" s="402" t="s">
        <v>309</v>
      </c>
      <c r="H1" s="402" t="s">
        <v>310</v>
      </c>
      <c r="I1" s="402" t="s">
        <v>311</v>
      </c>
      <c r="J1" s="402" t="s">
        <v>312</v>
      </c>
      <c r="K1" s="402" t="s">
        <v>313</v>
      </c>
      <c r="L1" s="402" t="s">
        <v>314</v>
      </c>
      <c r="M1" s="402" t="s">
        <v>315</v>
      </c>
      <c r="N1" s="402" t="s">
        <v>316</v>
      </c>
      <c r="O1" s="402" t="s">
        <v>317</v>
      </c>
      <c r="P1" s="402" t="s">
        <v>808</v>
      </c>
      <c r="Q1" s="402" t="s">
        <v>809</v>
      </c>
      <c r="R1" s="402" t="s">
        <v>810</v>
      </c>
    </row>
    <row r="2" spans="1:18" x14ac:dyDescent="0.25">
      <c r="A2" s="186" t="s">
        <v>614</v>
      </c>
      <c r="B2" s="637">
        <v>1</v>
      </c>
      <c r="C2" s="186"/>
      <c r="D2" s="186" t="s">
        <v>319</v>
      </c>
      <c r="E2" s="186" t="s">
        <v>319</v>
      </c>
      <c r="F2" s="186" t="s">
        <v>319</v>
      </c>
      <c r="G2" s="186" t="s">
        <v>614</v>
      </c>
      <c r="H2" s="186" t="s">
        <v>339</v>
      </c>
      <c r="I2" s="186">
        <v>0</v>
      </c>
      <c r="J2" s="186" t="s">
        <v>321</v>
      </c>
      <c r="K2" s="186" t="s">
        <v>340</v>
      </c>
      <c r="L2" s="186" t="s">
        <v>811</v>
      </c>
      <c r="M2" s="186" t="s">
        <v>812</v>
      </c>
      <c r="N2" s="186" t="s">
        <v>325</v>
      </c>
      <c r="O2" s="186" t="s">
        <v>813</v>
      </c>
      <c r="P2" s="186"/>
      <c r="Q2" s="186"/>
      <c r="R2" s="186"/>
    </row>
    <row r="3" spans="1:18" x14ac:dyDescent="0.25">
      <c r="A3" s="186" t="s">
        <v>614</v>
      </c>
      <c r="B3" s="637">
        <v>1</v>
      </c>
      <c r="C3" s="186"/>
      <c r="D3" s="186" t="s">
        <v>319</v>
      </c>
      <c r="E3" s="186" t="s">
        <v>319</v>
      </c>
      <c r="F3" s="186" t="s">
        <v>319</v>
      </c>
      <c r="G3" s="186" t="s">
        <v>614</v>
      </c>
      <c r="H3" s="186" t="s">
        <v>339</v>
      </c>
      <c r="I3" s="186">
        <v>0</v>
      </c>
      <c r="J3" s="186" t="s">
        <v>321</v>
      </c>
      <c r="K3" s="186" t="s">
        <v>340</v>
      </c>
      <c r="L3" s="186" t="s">
        <v>811</v>
      </c>
      <c r="M3" s="186" t="s">
        <v>812</v>
      </c>
      <c r="N3" s="186" t="s">
        <v>325</v>
      </c>
      <c r="O3" s="186" t="s">
        <v>814</v>
      </c>
      <c r="P3" s="186"/>
      <c r="Q3" s="186"/>
      <c r="R3" s="186"/>
    </row>
    <row r="4" spans="1:18" x14ac:dyDescent="0.25">
      <c r="A4" s="186" t="s">
        <v>614</v>
      </c>
      <c r="B4" s="637">
        <v>1</v>
      </c>
      <c r="C4" s="186"/>
      <c r="D4" s="186" t="s">
        <v>319</v>
      </c>
      <c r="E4" s="186" t="s">
        <v>319</v>
      </c>
      <c r="F4" s="186" t="s">
        <v>319</v>
      </c>
      <c r="G4" s="186" t="s">
        <v>614</v>
      </c>
      <c r="H4" s="186" t="s">
        <v>339</v>
      </c>
      <c r="I4" s="186">
        <v>0</v>
      </c>
      <c r="J4" s="186" t="s">
        <v>321</v>
      </c>
      <c r="K4" s="186" t="s">
        <v>340</v>
      </c>
      <c r="L4" s="186" t="s">
        <v>811</v>
      </c>
      <c r="M4" s="186" t="s">
        <v>812</v>
      </c>
      <c r="N4" s="186" t="s">
        <v>325</v>
      </c>
      <c r="O4" s="186" t="s">
        <v>815</v>
      </c>
      <c r="P4" s="186"/>
      <c r="Q4" s="186"/>
      <c r="R4" s="186"/>
    </row>
    <row r="5" spans="1:18" x14ac:dyDescent="0.25">
      <c r="A5" s="186" t="s">
        <v>614</v>
      </c>
      <c r="B5" s="637">
        <v>1</v>
      </c>
      <c r="C5" s="186"/>
      <c r="D5" s="186" t="s">
        <v>319</v>
      </c>
      <c r="E5" s="186" t="s">
        <v>319</v>
      </c>
      <c r="F5" s="186" t="s">
        <v>319</v>
      </c>
      <c r="G5" s="186" t="s">
        <v>614</v>
      </c>
      <c r="H5" s="186" t="s">
        <v>339</v>
      </c>
      <c r="I5" s="186">
        <v>0</v>
      </c>
      <c r="J5" s="186" t="s">
        <v>321</v>
      </c>
      <c r="K5" s="186" t="s">
        <v>340</v>
      </c>
      <c r="L5" s="186" t="s">
        <v>811</v>
      </c>
      <c r="M5" s="186" t="s">
        <v>812</v>
      </c>
      <c r="N5" s="186" t="s">
        <v>325</v>
      </c>
      <c r="O5" s="186" t="s">
        <v>816</v>
      </c>
      <c r="P5" s="186"/>
      <c r="Q5" s="186"/>
      <c r="R5" s="186"/>
    </row>
    <row r="6" spans="1:18" x14ac:dyDescent="0.25">
      <c r="A6" s="186" t="s">
        <v>614</v>
      </c>
      <c r="B6" s="637">
        <v>1</v>
      </c>
      <c r="C6" s="186"/>
      <c r="D6" s="186" t="s">
        <v>319</v>
      </c>
      <c r="E6" s="186" t="s">
        <v>319</v>
      </c>
      <c r="F6" s="186" t="s">
        <v>319</v>
      </c>
      <c r="G6" s="186" t="s">
        <v>614</v>
      </c>
      <c r="H6" s="186" t="s">
        <v>339</v>
      </c>
      <c r="I6" s="186">
        <v>0</v>
      </c>
      <c r="J6" s="186" t="s">
        <v>321</v>
      </c>
      <c r="K6" s="186" t="s">
        <v>340</v>
      </c>
      <c r="L6" s="186" t="s">
        <v>811</v>
      </c>
      <c r="M6" s="186" t="s">
        <v>812</v>
      </c>
      <c r="N6" s="186" t="s">
        <v>325</v>
      </c>
      <c r="O6" s="186" t="s">
        <v>817</v>
      </c>
      <c r="P6" s="186"/>
      <c r="Q6" s="186"/>
      <c r="R6" s="186"/>
    </row>
    <row r="7" spans="1:18" x14ac:dyDescent="0.25">
      <c r="A7" s="186" t="s">
        <v>614</v>
      </c>
      <c r="B7" s="637">
        <v>1</v>
      </c>
      <c r="C7" s="186"/>
      <c r="D7" s="186" t="s">
        <v>319</v>
      </c>
      <c r="E7" s="186" t="s">
        <v>319</v>
      </c>
      <c r="F7" s="186" t="s">
        <v>319</v>
      </c>
      <c r="G7" s="186" t="s">
        <v>614</v>
      </c>
      <c r="H7" s="186" t="s">
        <v>339</v>
      </c>
      <c r="I7" s="186">
        <v>0</v>
      </c>
      <c r="J7" s="186" t="s">
        <v>321</v>
      </c>
      <c r="K7" s="186" t="s">
        <v>340</v>
      </c>
      <c r="L7" s="186" t="s">
        <v>811</v>
      </c>
      <c r="M7" s="186" t="s">
        <v>812</v>
      </c>
      <c r="N7" s="186" t="s">
        <v>325</v>
      </c>
      <c r="O7" s="186" t="s">
        <v>818</v>
      </c>
      <c r="P7" s="186"/>
      <c r="Q7" s="186"/>
      <c r="R7" s="186"/>
    </row>
    <row r="8" spans="1:18" x14ac:dyDescent="0.25">
      <c r="A8" s="186" t="s">
        <v>614</v>
      </c>
      <c r="B8" s="637">
        <v>1</v>
      </c>
      <c r="C8" s="186"/>
      <c r="D8" s="186" t="s">
        <v>319</v>
      </c>
      <c r="E8" s="186" t="s">
        <v>319</v>
      </c>
      <c r="F8" s="186" t="s">
        <v>319</v>
      </c>
      <c r="G8" s="186" t="s">
        <v>614</v>
      </c>
      <c r="H8" s="186" t="s">
        <v>339</v>
      </c>
      <c r="I8" s="186">
        <v>0</v>
      </c>
      <c r="J8" s="186" t="s">
        <v>321</v>
      </c>
      <c r="K8" s="186" t="s">
        <v>340</v>
      </c>
      <c r="L8" s="186" t="s">
        <v>811</v>
      </c>
      <c r="M8" s="186" t="s">
        <v>812</v>
      </c>
      <c r="N8" s="186" t="s">
        <v>325</v>
      </c>
      <c r="O8" s="186" t="s">
        <v>819</v>
      </c>
      <c r="P8" s="186"/>
      <c r="Q8" s="186"/>
      <c r="R8" s="186"/>
    </row>
    <row r="9" spans="1:18" x14ac:dyDescent="0.25">
      <c r="A9" s="186" t="s">
        <v>614</v>
      </c>
      <c r="B9" s="637">
        <v>1</v>
      </c>
      <c r="C9" s="186"/>
      <c r="D9" s="186" t="s">
        <v>319</v>
      </c>
      <c r="E9" s="186" t="s">
        <v>319</v>
      </c>
      <c r="F9" s="186" t="s">
        <v>319</v>
      </c>
      <c r="G9" s="186" t="s">
        <v>614</v>
      </c>
      <c r="H9" s="186" t="s">
        <v>339</v>
      </c>
      <c r="I9" s="186">
        <v>0</v>
      </c>
      <c r="J9" s="186" t="s">
        <v>321</v>
      </c>
      <c r="K9" s="186" t="s">
        <v>340</v>
      </c>
      <c r="L9" s="186" t="s">
        <v>811</v>
      </c>
      <c r="M9" s="186" t="s">
        <v>812</v>
      </c>
      <c r="N9" s="186" t="s">
        <v>325</v>
      </c>
      <c r="O9" s="186" t="s">
        <v>820</v>
      </c>
      <c r="P9" s="186"/>
      <c r="Q9" s="186"/>
      <c r="R9" s="186"/>
    </row>
    <row r="10" spans="1:18" x14ac:dyDescent="0.25">
      <c r="A10" s="186" t="s">
        <v>614</v>
      </c>
      <c r="B10" s="637">
        <v>1</v>
      </c>
      <c r="C10" s="186"/>
      <c r="D10" s="186" t="s">
        <v>319</v>
      </c>
      <c r="E10" s="186" t="s">
        <v>319</v>
      </c>
      <c r="F10" s="186" t="s">
        <v>319</v>
      </c>
      <c r="G10" s="186" t="s">
        <v>614</v>
      </c>
      <c r="H10" s="186" t="s">
        <v>339</v>
      </c>
      <c r="I10" s="186">
        <v>0</v>
      </c>
      <c r="J10" s="186" t="s">
        <v>321</v>
      </c>
      <c r="K10" s="186" t="s">
        <v>340</v>
      </c>
      <c r="L10" s="186" t="s">
        <v>811</v>
      </c>
      <c r="M10" s="186" t="s">
        <v>812</v>
      </c>
      <c r="N10" s="186" t="s">
        <v>325</v>
      </c>
      <c r="O10" s="186" t="s">
        <v>821</v>
      </c>
      <c r="P10" s="186"/>
      <c r="Q10" s="186"/>
      <c r="R10" s="186"/>
    </row>
    <row r="11" spans="1:18" x14ac:dyDescent="0.25">
      <c r="A11" s="186" t="s">
        <v>614</v>
      </c>
      <c r="B11" s="637">
        <v>0.96750000000000003</v>
      </c>
      <c r="C11" s="186"/>
      <c r="D11" s="186" t="s">
        <v>319</v>
      </c>
      <c r="E11" s="186" t="s">
        <v>319</v>
      </c>
      <c r="F11" s="186" t="s">
        <v>319</v>
      </c>
      <c r="G11" s="186" t="s">
        <v>614</v>
      </c>
      <c r="H11" s="186" t="s">
        <v>339</v>
      </c>
      <c r="I11" s="186">
        <v>100</v>
      </c>
      <c r="J11" s="186" t="s">
        <v>321</v>
      </c>
      <c r="K11" s="186" t="s">
        <v>340</v>
      </c>
      <c r="L11" s="186" t="s">
        <v>811</v>
      </c>
      <c r="M11" s="186" t="s">
        <v>812</v>
      </c>
      <c r="N11" s="186" t="s">
        <v>325</v>
      </c>
      <c r="O11" s="186" t="s">
        <v>813</v>
      </c>
      <c r="P11" s="186"/>
      <c r="Q11" s="186"/>
      <c r="R11" s="186"/>
    </row>
    <row r="12" spans="1:18" x14ac:dyDescent="0.25">
      <c r="A12" s="186" t="s">
        <v>614</v>
      </c>
      <c r="B12" s="637">
        <v>0.97660000000000002</v>
      </c>
      <c r="C12" s="186"/>
      <c r="D12" s="186" t="s">
        <v>319</v>
      </c>
      <c r="E12" s="186" t="s">
        <v>319</v>
      </c>
      <c r="F12" s="186" t="s">
        <v>319</v>
      </c>
      <c r="G12" s="186" t="s">
        <v>614</v>
      </c>
      <c r="H12" s="186" t="s">
        <v>339</v>
      </c>
      <c r="I12" s="186">
        <v>100</v>
      </c>
      <c r="J12" s="186" t="s">
        <v>321</v>
      </c>
      <c r="K12" s="186" t="s">
        <v>340</v>
      </c>
      <c r="L12" s="186" t="s">
        <v>811</v>
      </c>
      <c r="M12" s="186" t="s">
        <v>812</v>
      </c>
      <c r="N12" s="186" t="s">
        <v>325</v>
      </c>
      <c r="O12" s="186" t="s">
        <v>814</v>
      </c>
      <c r="P12" s="186"/>
      <c r="Q12" s="186"/>
      <c r="R12" s="186"/>
    </row>
    <row r="13" spans="1:18" x14ac:dyDescent="0.25">
      <c r="A13" s="186" t="s">
        <v>614</v>
      </c>
      <c r="B13" s="637">
        <v>0.98240000000000005</v>
      </c>
      <c r="C13" s="186"/>
      <c r="D13" s="186" t="s">
        <v>319</v>
      </c>
      <c r="E13" s="186" t="s">
        <v>319</v>
      </c>
      <c r="F13" s="186" t="s">
        <v>319</v>
      </c>
      <c r="G13" s="186" t="s">
        <v>614</v>
      </c>
      <c r="H13" s="186" t="s">
        <v>339</v>
      </c>
      <c r="I13" s="186">
        <v>100</v>
      </c>
      <c r="J13" s="186" t="s">
        <v>321</v>
      </c>
      <c r="K13" s="186" t="s">
        <v>340</v>
      </c>
      <c r="L13" s="186" t="s">
        <v>811</v>
      </c>
      <c r="M13" s="186" t="s">
        <v>812</v>
      </c>
      <c r="N13" s="186" t="s">
        <v>325</v>
      </c>
      <c r="O13" s="186" t="s">
        <v>815</v>
      </c>
      <c r="P13" s="186"/>
      <c r="Q13" s="186"/>
      <c r="R13" s="186"/>
    </row>
    <row r="14" spans="1:18" x14ac:dyDescent="0.25">
      <c r="A14" s="186" t="s">
        <v>614</v>
      </c>
      <c r="B14" s="637">
        <v>0.98509999999999998</v>
      </c>
      <c r="C14" s="186"/>
      <c r="D14" s="186" t="s">
        <v>319</v>
      </c>
      <c r="E14" s="186" t="s">
        <v>319</v>
      </c>
      <c r="F14" s="186" t="s">
        <v>319</v>
      </c>
      <c r="G14" s="186" t="s">
        <v>614</v>
      </c>
      <c r="H14" s="186" t="s">
        <v>339</v>
      </c>
      <c r="I14" s="186">
        <v>100</v>
      </c>
      <c r="J14" s="186" t="s">
        <v>321</v>
      </c>
      <c r="K14" s="186" t="s">
        <v>340</v>
      </c>
      <c r="L14" s="186" t="s">
        <v>811</v>
      </c>
      <c r="M14" s="186" t="s">
        <v>812</v>
      </c>
      <c r="N14" s="186" t="s">
        <v>325</v>
      </c>
      <c r="O14" s="186" t="s">
        <v>816</v>
      </c>
      <c r="P14" s="186"/>
      <c r="Q14" s="186"/>
      <c r="R14" s="186"/>
    </row>
    <row r="15" spans="1:18" x14ac:dyDescent="0.25">
      <c r="A15" s="186" t="s">
        <v>614</v>
      </c>
      <c r="B15" s="637">
        <v>0.98760000000000003</v>
      </c>
      <c r="C15" s="186"/>
      <c r="D15" s="186" t="s">
        <v>319</v>
      </c>
      <c r="E15" s="186" t="s">
        <v>319</v>
      </c>
      <c r="F15" s="186" t="s">
        <v>319</v>
      </c>
      <c r="G15" s="186" t="s">
        <v>614</v>
      </c>
      <c r="H15" s="186" t="s">
        <v>339</v>
      </c>
      <c r="I15" s="186">
        <v>100</v>
      </c>
      <c r="J15" s="186" t="s">
        <v>321</v>
      </c>
      <c r="K15" s="186" t="s">
        <v>340</v>
      </c>
      <c r="L15" s="186" t="s">
        <v>811</v>
      </c>
      <c r="M15" s="186" t="s">
        <v>812</v>
      </c>
      <c r="N15" s="186" t="s">
        <v>325</v>
      </c>
      <c r="O15" s="186" t="s">
        <v>817</v>
      </c>
      <c r="P15" s="186"/>
      <c r="Q15" s="186"/>
      <c r="R15" s="186"/>
    </row>
    <row r="16" spans="1:18" x14ac:dyDescent="0.25">
      <c r="A16" s="186" t="s">
        <v>614</v>
      </c>
      <c r="B16" s="637">
        <v>0.99080000000000001</v>
      </c>
      <c r="C16" s="186"/>
      <c r="D16" s="186" t="s">
        <v>319</v>
      </c>
      <c r="E16" s="186" t="s">
        <v>319</v>
      </c>
      <c r="F16" s="186" t="s">
        <v>319</v>
      </c>
      <c r="G16" s="186" t="s">
        <v>614</v>
      </c>
      <c r="H16" s="186" t="s">
        <v>339</v>
      </c>
      <c r="I16" s="186">
        <v>100</v>
      </c>
      <c r="J16" s="186" t="s">
        <v>321</v>
      </c>
      <c r="K16" s="186" t="s">
        <v>340</v>
      </c>
      <c r="L16" s="186" t="s">
        <v>811</v>
      </c>
      <c r="M16" s="186" t="s">
        <v>812</v>
      </c>
      <c r="N16" s="186" t="s">
        <v>325</v>
      </c>
      <c r="O16" s="186" t="s">
        <v>818</v>
      </c>
      <c r="P16" s="186"/>
      <c r="Q16" s="186"/>
      <c r="R16" s="186"/>
    </row>
    <row r="17" spans="1:18" x14ac:dyDescent="0.25">
      <c r="A17" s="186" t="s">
        <v>614</v>
      </c>
      <c r="B17" s="637">
        <v>0.99429999999999996</v>
      </c>
      <c r="C17" s="186"/>
      <c r="D17" s="186" t="s">
        <v>319</v>
      </c>
      <c r="E17" s="186" t="s">
        <v>319</v>
      </c>
      <c r="F17" s="186" t="s">
        <v>319</v>
      </c>
      <c r="G17" s="186" t="s">
        <v>614</v>
      </c>
      <c r="H17" s="186" t="s">
        <v>339</v>
      </c>
      <c r="I17" s="186">
        <v>100</v>
      </c>
      <c r="J17" s="186" t="s">
        <v>321</v>
      </c>
      <c r="K17" s="186" t="s">
        <v>340</v>
      </c>
      <c r="L17" s="186" t="s">
        <v>811</v>
      </c>
      <c r="M17" s="186" t="s">
        <v>812</v>
      </c>
      <c r="N17" s="186" t="s">
        <v>325</v>
      </c>
      <c r="O17" s="186" t="s">
        <v>819</v>
      </c>
      <c r="P17" s="186"/>
      <c r="Q17" s="186"/>
      <c r="R17" s="186"/>
    </row>
    <row r="18" spans="1:18" x14ac:dyDescent="0.25">
      <c r="A18" s="186" t="s">
        <v>614</v>
      </c>
      <c r="B18" s="637">
        <v>0.99560000000000004</v>
      </c>
      <c r="C18" s="186"/>
      <c r="D18" s="186" t="s">
        <v>319</v>
      </c>
      <c r="E18" s="186" t="s">
        <v>319</v>
      </c>
      <c r="F18" s="186" t="s">
        <v>319</v>
      </c>
      <c r="G18" s="186" t="s">
        <v>614</v>
      </c>
      <c r="H18" s="186" t="s">
        <v>339</v>
      </c>
      <c r="I18" s="186">
        <v>100</v>
      </c>
      <c r="J18" s="186" t="s">
        <v>321</v>
      </c>
      <c r="K18" s="186" t="s">
        <v>340</v>
      </c>
      <c r="L18" s="186" t="s">
        <v>811</v>
      </c>
      <c r="M18" s="186" t="s">
        <v>812</v>
      </c>
      <c r="N18" s="186" t="s">
        <v>325</v>
      </c>
      <c r="O18" s="186" t="s">
        <v>820</v>
      </c>
      <c r="P18" s="186"/>
      <c r="Q18" s="186"/>
      <c r="R18" s="186"/>
    </row>
    <row r="19" spans="1:18" x14ac:dyDescent="0.25">
      <c r="A19" s="186" t="s">
        <v>614</v>
      </c>
      <c r="B19" s="637">
        <v>0.99560000000000004</v>
      </c>
      <c r="C19" s="186"/>
      <c r="D19" s="186" t="s">
        <v>319</v>
      </c>
      <c r="E19" s="186" t="s">
        <v>319</v>
      </c>
      <c r="F19" s="186" t="s">
        <v>319</v>
      </c>
      <c r="G19" s="186" t="s">
        <v>614</v>
      </c>
      <c r="H19" s="186" t="s">
        <v>339</v>
      </c>
      <c r="I19" s="186">
        <v>100</v>
      </c>
      <c r="J19" s="186" t="s">
        <v>321</v>
      </c>
      <c r="K19" s="186" t="s">
        <v>340</v>
      </c>
      <c r="L19" s="186" t="s">
        <v>811</v>
      </c>
      <c r="M19" s="186" t="s">
        <v>812</v>
      </c>
      <c r="N19" s="186" t="s">
        <v>325</v>
      </c>
      <c r="O19" s="186" t="s">
        <v>821</v>
      </c>
      <c r="P19" s="186"/>
      <c r="Q19" s="186"/>
      <c r="R19" s="186"/>
    </row>
    <row r="20" spans="1:18" x14ac:dyDescent="0.25">
      <c r="A20" s="186" t="s">
        <v>614</v>
      </c>
      <c r="B20" s="637">
        <v>0.92210000000000003</v>
      </c>
      <c r="C20" s="186"/>
      <c r="D20" s="186" t="s">
        <v>319</v>
      </c>
      <c r="E20" s="186" t="s">
        <v>319</v>
      </c>
      <c r="F20" s="186" t="s">
        <v>319</v>
      </c>
      <c r="G20" s="186" t="s">
        <v>614</v>
      </c>
      <c r="H20" s="186" t="s">
        <v>339</v>
      </c>
      <c r="I20" s="186">
        <v>250</v>
      </c>
      <c r="J20" s="186" t="s">
        <v>321</v>
      </c>
      <c r="K20" s="186" t="s">
        <v>340</v>
      </c>
      <c r="L20" s="186" t="s">
        <v>811</v>
      </c>
      <c r="M20" s="186" t="s">
        <v>812</v>
      </c>
      <c r="N20" s="186" t="s">
        <v>325</v>
      </c>
      <c r="O20" s="186" t="s">
        <v>813</v>
      </c>
      <c r="P20" s="186"/>
      <c r="Q20" s="186"/>
      <c r="R20" s="186"/>
    </row>
    <row r="21" spans="1:18" x14ac:dyDescent="0.25">
      <c r="A21" s="186" t="s">
        <v>614</v>
      </c>
      <c r="B21" s="637">
        <v>0.94359999999999999</v>
      </c>
      <c r="C21" s="186"/>
      <c r="D21" s="186" t="s">
        <v>319</v>
      </c>
      <c r="E21" s="186" t="s">
        <v>319</v>
      </c>
      <c r="F21" s="186" t="s">
        <v>319</v>
      </c>
      <c r="G21" s="186" t="s">
        <v>614</v>
      </c>
      <c r="H21" s="186" t="s">
        <v>339</v>
      </c>
      <c r="I21" s="186">
        <v>250</v>
      </c>
      <c r="J21" s="186" t="s">
        <v>321</v>
      </c>
      <c r="K21" s="186" t="s">
        <v>340</v>
      </c>
      <c r="L21" s="186" t="s">
        <v>811</v>
      </c>
      <c r="M21" s="186" t="s">
        <v>812</v>
      </c>
      <c r="N21" s="186" t="s">
        <v>325</v>
      </c>
      <c r="O21" s="186" t="s">
        <v>814</v>
      </c>
      <c r="P21" s="186"/>
      <c r="Q21" s="186"/>
      <c r="R21" s="186"/>
    </row>
    <row r="22" spans="1:18" x14ac:dyDescent="0.25">
      <c r="A22" s="186" t="s">
        <v>614</v>
      </c>
      <c r="B22" s="637">
        <v>0.95709999999999995</v>
      </c>
      <c r="C22" s="186"/>
      <c r="D22" s="186" t="s">
        <v>319</v>
      </c>
      <c r="E22" s="186" t="s">
        <v>319</v>
      </c>
      <c r="F22" s="186" t="s">
        <v>319</v>
      </c>
      <c r="G22" s="186" t="s">
        <v>614</v>
      </c>
      <c r="H22" s="186" t="s">
        <v>339</v>
      </c>
      <c r="I22" s="186">
        <v>250</v>
      </c>
      <c r="J22" s="186" t="s">
        <v>321</v>
      </c>
      <c r="K22" s="186" t="s">
        <v>340</v>
      </c>
      <c r="L22" s="186" t="s">
        <v>811</v>
      </c>
      <c r="M22" s="186" t="s">
        <v>812</v>
      </c>
      <c r="N22" s="186" t="s">
        <v>325</v>
      </c>
      <c r="O22" s="186" t="s">
        <v>815</v>
      </c>
      <c r="P22" s="186"/>
      <c r="Q22" s="186"/>
      <c r="R22" s="186"/>
    </row>
    <row r="23" spans="1:18" x14ac:dyDescent="0.25">
      <c r="A23" s="186" t="s">
        <v>614</v>
      </c>
      <c r="B23" s="637">
        <v>0.96340000000000003</v>
      </c>
      <c r="C23" s="186"/>
      <c r="D23" s="186" t="s">
        <v>319</v>
      </c>
      <c r="E23" s="186" t="s">
        <v>319</v>
      </c>
      <c r="F23" s="186" t="s">
        <v>319</v>
      </c>
      <c r="G23" s="186" t="s">
        <v>614</v>
      </c>
      <c r="H23" s="186" t="s">
        <v>339</v>
      </c>
      <c r="I23" s="186">
        <v>250</v>
      </c>
      <c r="J23" s="186" t="s">
        <v>321</v>
      </c>
      <c r="K23" s="186" t="s">
        <v>340</v>
      </c>
      <c r="L23" s="186" t="s">
        <v>811</v>
      </c>
      <c r="M23" s="186" t="s">
        <v>812</v>
      </c>
      <c r="N23" s="186" t="s">
        <v>325</v>
      </c>
      <c r="O23" s="186" t="s">
        <v>816</v>
      </c>
      <c r="P23" s="186"/>
      <c r="Q23" s="186"/>
      <c r="R23" s="186"/>
    </row>
    <row r="24" spans="1:18" x14ac:dyDescent="0.25">
      <c r="A24" s="186" t="s">
        <v>614</v>
      </c>
      <c r="B24" s="637">
        <v>0.97</v>
      </c>
      <c r="C24" s="186"/>
      <c r="D24" s="186" t="s">
        <v>319</v>
      </c>
      <c r="E24" s="186" t="s">
        <v>319</v>
      </c>
      <c r="F24" s="186" t="s">
        <v>319</v>
      </c>
      <c r="G24" s="186" t="s">
        <v>614</v>
      </c>
      <c r="H24" s="186" t="s">
        <v>339</v>
      </c>
      <c r="I24" s="186">
        <v>250</v>
      </c>
      <c r="J24" s="186" t="s">
        <v>321</v>
      </c>
      <c r="K24" s="186" t="s">
        <v>340</v>
      </c>
      <c r="L24" s="186" t="s">
        <v>811</v>
      </c>
      <c r="M24" s="186" t="s">
        <v>812</v>
      </c>
      <c r="N24" s="186" t="s">
        <v>325</v>
      </c>
      <c r="O24" s="186" t="s">
        <v>817</v>
      </c>
      <c r="P24" s="186"/>
      <c r="Q24" s="186"/>
      <c r="R24" s="186"/>
    </row>
    <row r="25" spans="1:18" x14ac:dyDescent="0.25">
      <c r="A25" s="186" t="s">
        <v>614</v>
      </c>
      <c r="B25" s="637">
        <v>0.97760000000000002</v>
      </c>
      <c r="C25" s="186"/>
      <c r="D25" s="186" t="s">
        <v>319</v>
      </c>
      <c r="E25" s="186" t="s">
        <v>319</v>
      </c>
      <c r="F25" s="186" t="s">
        <v>319</v>
      </c>
      <c r="G25" s="186" t="s">
        <v>614</v>
      </c>
      <c r="H25" s="186" t="s">
        <v>339</v>
      </c>
      <c r="I25" s="186">
        <v>250</v>
      </c>
      <c r="J25" s="186" t="s">
        <v>321</v>
      </c>
      <c r="K25" s="186" t="s">
        <v>340</v>
      </c>
      <c r="L25" s="186" t="s">
        <v>811</v>
      </c>
      <c r="M25" s="186" t="s">
        <v>812</v>
      </c>
      <c r="N25" s="186" t="s">
        <v>325</v>
      </c>
      <c r="O25" s="186" t="s">
        <v>818</v>
      </c>
      <c r="P25" s="186"/>
      <c r="Q25" s="186"/>
      <c r="R25" s="186"/>
    </row>
    <row r="26" spans="1:18" x14ac:dyDescent="0.25">
      <c r="A26" s="186" t="s">
        <v>614</v>
      </c>
      <c r="B26" s="637">
        <v>0.98609999999999998</v>
      </c>
      <c r="C26" s="186"/>
      <c r="D26" s="186" t="s">
        <v>319</v>
      </c>
      <c r="E26" s="186" t="s">
        <v>319</v>
      </c>
      <c r="F26" s="186" t="s">
        <v>319</v>
      </c>
      <c r="G26" s="186" t="s">
        <v>614</v>
      </c>
      <c r="H26" s="186" t="s">
        <v>339</v>
      </c>
      <c r="I26" s="186">
        <v>250</v>
      </c>
      <c r="J26" s="186" t="s">
        <v>321</v>
      </c>
      <c r="K26" s="186" t="s">
        <v>340</v>
      </c>
      <c r="L26" s="186" t="s">
        <v>811</v>
      </c>
      <c r="M26" s="186" t="s">
        <v>812</v>
      </c>
      <c r="N26" s="186" t="s">
        <v>325</v>
      </c>
      <c r="O26" s="186" t="s">
        <v>819</v>
      </c>
      <c r="P26" s="186"/>
      <c r="Q26" s="186"/>
      <c r="R26" s="186"/>
    </row>
    <row r="27" spans="1:18" x14ac:dyDescent="0.25">
      <c r="A27" s="186" t="s">
        <v>614</v>
      </c>
      <c r="B27" s="637">
        <v>0.98899999999999999</v>
      </c>
      <c r="C27" s="186"/>
      <c r="D27" s="186" t="s">
        <v>319</v>
      </c>
      <c r="E27" s="186" t="s">
        <v>319</v>
      </c>
      <c r="F27" s="186" t="s">
        <v>319</v>
      </c>
      <c r="G27" s="186" t="s">
        <v>614</v>
      </c>
      <c r="H27" s="186" t="s">
        <v>339</v>
      </c>
      <c r="I27" s="186">
        <v>250</v>
      </c>
      <c r="J27" s="186" t="s">
        <v>321</v>
      </c>
      <c r="K27" s="186" t="s">
        <v>340</v>
      </c>
      <c r="L27" s="186" t="s">
        <v>811</v>
      </c>
      <c r="M27" s="186" t="s">
        <v>812</v>
      </c>
      <c r="N27" s="186" t="s">
        <v>325</v>
      </c>
      <c r="O27" s="186" t="s">
        <v>820</v>
      </c>
      <c r="P27" s="186"/>
      <c r="Q27" s="186"/>
      <c r="R27" s="186"/>
    </row>
    <row r="28" spans="1:18" x14ac:dyDescent="0.25">
      <c r="A28" s="186" t="s">
        <v>614</v>
      </c>
      <c r="B28" s="637">
        <v>0.98899999999999999</v>
      </c>
      <c r="C28" s="186"/>
      <c r="D28" s="186" t="s">
        <v>319</v>
      </c>
      <c r="E28" s="186" t="s">
        <v>319</v>
      </c>
      <c r="F28" s="186" t="s">
        <v>319</v>
      </c>
      <c r="G28" s="186" t="s">
        <v>614</v>
      </c>
      <c r="H28" s="186" t="s">
        <v>339</v>
      </c>
      <c r="I28" s="186">
        <v>250</v>
      </c>
      <c r="J28" s="186" t="s">
        <v>321</v>
      </c>
      <c r="K28" s="186" t="s">
        <v>340</v>
      </c>
      <c r="L28" s="186" t="s">
        <v>811</v>
      </c>
      <c r="M28" s="186" t="s">
        <v>812</v>
      </c>
      <c r="N28" s="186" t="s">
        <v>325</v>
      </c>
      <c r="O28" s="186" t="s">
        <v>821</v>
      </c>
      <c r="P28" s="186"/>
      <c r="Q28" s="186"/>
      <c r="R28" s="186"/>
    </row>
    <row r="29" spans="1:18" x14ac:dyDescent="0.25">
      <c r="A29" s="186" t="s">
        <v>614</v>
      </c>
      <c r="B29" s="637">
        <v>0.84799999999999998</v>
      </c>
      <c r="C29" s="186"/>
      <c r="D29" s="186" t="s">
        <v>319</v>
      </c>
      <c r="E29" s="186" t="s">
        <v>319</v>
      </c>
      <c r="F29" s="186" t="s">
        <v>319</v>
      </c>
      <c r="G29" s="186" t="s">
        <v>614</v>
      </c>
      <c r="H29" s="186" t="s">
        <v>339</v>
      </c>
      <c r="I29" s="186">
        <v>500</v>
      </c>
      <c r="J29" s="186" t="s">
        <v>321</v>
      </c>
      <c r="K29" s="186" t="s">
        <v>340</v>
      </c>
      <c r="L29" s="186" t="s">
        <v>811</v>
      </c>
      <c r="M29" s="186" t="s">
        <v>812</v>
      </c>
      <c r="N29" s="186" t="s">
        <v>325</v>
      </c>
      <c r="O29" s="186" t="s">
        <v>813</v>
      </c>
      <c r="P29" s="186"/>
      <c r="Q29" s="186"/>
      <c r="R29" s="186"/>
    </row>
    <row r="30" spans="1:18" x14ac:dyDescent="0.25">
      <c r="A30" s="186" t="s">
        <v>614</v>
      </c>
      <c r="B30" s="637">
        <v>0.88939999999999997</v>
      </c>
      <c r="C30" s="186"/>
      <c r="D30" s="186" t="s">
        <v>319</v>
      </c>
      <c r="E30" s="186" t="s">
        <v>319</v>
      </c>
      <c r="F30" s="186" t="s">
        <v>319</v>
      </c>
      <c r="G30" s="186" t="s">
        <v>614</v>
      </c>
      <c r="H30" s="186" t="s">
        <v>339</v>
      </c>
      <c r="I30" s="186">
        <v>500</v>
      </c>
      <c r="J30" s="186" t="s">
        <v>321</v>
      </c>
      <c r="K30" s="186" t="s">
        <v>340</v>
      </c>
      <c r="L30" s="186" t="s">
        <v>811</v>
      </c>
      <c r="M30" s="186" t="s">
        <v>812</v>
      </c>
      <c r="N30" s="186" t="s">
        <v>325</v>
      </c>
      <c r="O30" s="186" t="s">
        <v>814</v>
      </c>
      <c r="P30" s="186"/>
      <c r="Q30" s="186"/>
      <c r="R30" s="186"/>
    </row>
    <row r="31" spans="1:18" x14ac:dyDescent="0.25">
      <c r="A31" s="186" t="s">
        <v>614</v>
      </c>
      <c r="B31" s="637">
        <v>0.91579999999999995</v>
      </c>
      <c r="C31" s="186"/>
      <c r="D31" s="186" t="s">
        <v>319</v>
      </c>
      <c r="E31" s="186" t="s">
        <v>319</v>
      </c>
      <c r="F31" s="186" t="s">
        <v>319</v>
      </c>
      <c r="G31" s="186" t="s">
        <v>614</v>
      </c>
      <c r="H31" s="186" t="s">
        <v>339</v>
      </c>
      <c r="I31" s="186">
        <v>500</v>
      </c>
      <c r="J31" s="186" t="s">
        <v>321</v>
      </c>
      <c r="K31" s="186" t="s">
        <v>340</v>
      </c>
      <c r="L31" s="186" t="s">
        <v>811</v>
      </c>
      <c r="M31" s="186" t="s">
        <v>812</v>
      </c>
      <c r="N31" s="186" t="s">
        <v>325</v>
      </c>
      <c r="O31" s="186" t="s">
        <v>815</v>
      </c>
      <c r="P31" s="186"/>
      <c r="Q31" s="186"/>
      <c r="R31" s="186"/>
    </row>
    <row r="32" spans="1:18" x14ac:dyDescent="0.25">
      <c r="A32" s="186" t="s">
        <v>614</v>
      </c>
      <c r="B32" s="637">
        <v>0.92810000000000004</v>
      </c>
      <c r="C32" s="186"/>
      <c r="D32" s="186" t="s">
        <v>319</v>
      </c>
      <c r="E32" s="186" t="s">
        <v>319</v>
      </c>
      <c r="F32" s="186" t="s">
        <v>319</v>
      </c>
      <c r="G32" s="186" t="s">
        <v>614</v>
      </c>
      <c r="H32" s="186" t="s">
        <v>339</v>
      </c>
      <c r="I32" s="186">
        <v>500</v>
      </c>
      <c r="J32" s="186" t="s">
        <v>321</v>
      </c>
      <c r="K32" s="186" t="s">
        <v>340</v>
      </c>
      <c r="L32" s="186" t="s">
        <v>811</v>
      </c>
      <c r="M32" s="186" t="s">
        <v>812</v>
      </c>
      <c r="N32" s="186" t="s">
        <v>325</v>
      </c>
      <c r="O32" s="186" t="s">
        <v>816</v>
      </c>
      <c r="P32" s="186"/>
      <c r="Q32" s="186"/>
      <c r="R32" s="186"/>
    </row>
    <row r="33" spans="1:18" x14ac:dyDescent="0.25">
      <c r="A33" s="186" t="s">
        <v>614</v>
      </c>
      <c r="B33" s="637">
        <v>0.94079999999999997</v>
      </c>
      <c r="C33" s="186"/>
      <c r="D33" s="186" t="s">
        <v>319</v>
      </c>
      <c r="E33" s="186" t="s">
        <v>319</v>
      </c>
      <c r="F33" s="186" t="s">
        <v>319</v>
      </c>
      <c r="G33" s="186" t="s">
        <v>614</v>
      </c>
      <c r="H33" s="186" t="s">
        <v>339</v>
      </c>
      <c r="I33" s="186">
        <v>500</v>
      </c>
      <c r="J33" s="186" t="s">
        <v>321</v>
      </c>
      <c r="K33" s="186" t="s">
        <v>340</v>
      </c>
      <c r="L33" s="186" t="s">
        <v>811</v>
      </c>
      <c r="M33" s="186" t="s">
        <v>812</v>
      </c>
      <c r="N33" s="186" t="s">
        <v>325</v>
      </c>
      <c r="O33" s="186" t="s">
        <v>817</v>
      </c>
      <c r="P33" s="186"/>
      <c r="Q33" s="186"/>
      <c r="R33" s="186"/>
    </row>
    <row r="34" spans="1:18" x14ac:dyDescent="0.25">
      <c r="A34" s="186" t="s">
        <v>614</v>
      </c>
      <c r="B34" s="637">
        <v>0.95569999999999999</v>
      </c>
      <c r="C34" s="186"/>
      <c r="D34" s="186" t="s">
        <v>319</v>
      </c>
      <c r="E34" s="186" t="s">
        <v>319</v>
      </c>
      <c r="F34" s="186" t="s">
        <v>319</v>
      </c>
      <c r="G34" s="186" t="s">
        <v>614</v>
      </c>
      <c r="H34" s="186" t="s">
        <v>339</v>
      </c>
      <c r="I34" s="186">
        <v>500</v>
      </c>
      <c r="J34" s="186" t="s">
        <v>321</v>
      </c>
      <c r="K34" s="186" t="s">
        <v>340</v>
      </c>
      <c r="L34" s="186" t="s">
        <v>811</v>
      </c>
      <c r="M34" s="186" t="s">
        <v>812</v>
      </c>
      <c r="N34" s="186" t="s">
        <v>325</v>
      </c>
      <c r="O34" s="186" t="s">
        <v>818</v>
      </c>
      <c r="P34" s="186"/>
      <c r="Q34" s="186"/>
      <c r="R34" s="186"/>
    </row>
    <row r="35" spans="1:18" x14ac:dyDescent="0.25">
      <c r="A35" s="186" t="s">
        <v>614</v>
      </c>
      <c r="B35" s="637">
        <v>0.97250000000000003</v>
      </c>
      <c r="C35" s="186"/>
      <c r="D35" s="186" t="s">
        <v>319</v>
      </c>
      <c r="E35" s="186" t="s">
        <v>319</v>
      </c>
      <c r="F35" s="186" t="s">
        <v>319</v>
      </c>
      <c r="G35" s="186" t="s">
        <v>614</v>
      </c>
      <c r="H35" s="186" t="s">
        <v>339</v>
      </c>
      <c r="I35" s="186">
        <v>500</v>
      </c>
      <c r="J35" s="186" t="s">
        <v>321</v>
      </c>
      <c r="K35" s="186" t="s">
        <v>340</v>
      </c>
      <c r="L35" s="186" t="s">
        <v>811</v>
      </c>
      <c r="M35" s="186" t="s">
        <v>812</v>
      </c>
      <c r="N35" s="186" t="s">
        <v>325</v>
      </c>
      <c r="O35" s="186" t="s">
        <v>819</v>
      </c>
      <c r="P35" s="186"/>
      <c r="Q35" s="186"/>
      <c r="R35" s="186"/>
    </row>
    <row r="36" spans="1:18" x14ac:dyDescent="0.25">
      <c r="A36" s="186" t="s">
        <v>614</v>
      </c>
      <c r="B36" s="637">
        <v>0.97809999999999997</v>
      </c>
      <c r="C36" s="186"/>
      <c r="D36" s="186" t="s">
        <v>319</v>
      </c>
      <c r="E36" s="186" t="s">
        <v>319</v>
      </c>
      <c r="F36" s="186" t="s">
        <v>319</v>
      </c>
      <c r="G36" s="186" t="s">
        <v>614</v>
      </c>
      <c r="H36" s="186" t="s">
        <v>339</v>
      </c>
      <c r="I36" s="186">
        <v>500</v>
      </c>
      <c r="J36" s="186" t="s">
        <v>321</v>
      </c>
      <c r="K36" s="186" t="s">
        <v>340</v>
      </c>
      <c r="L36" s="186" t="s">
        <v>811</v>
      </c>
      <c r="M36" s="186" t="s">
        <v>812</v>
      </c>
      <c r="N36" s="186" t="s">
        <v>325</v>
      </c>
      <c r="O36" s="186" t="s">
        <v>820</v>
      </c>
      <c r="P36" s="186"/>
      <c r="Q36" s="186"/>
      <c r="R36" s="186"/>
    </row>
    <row r="37" spans="1:18" x14ac:dyDescent="0.25">
      <c r="A37" s="186" t="s">
        <v>614</v>
      </c>
      <c r="B37" s="637">
        <v>0.97840000000000005</v>
      </c>
      <c r="C37" s="186"/>
      <c r="D37" s="186" t="s">
        <v>319</v>
      </c>
      <c r="E37" s="186" t="s">
        <v>319</v>
      </c>
      <c r="F37" s="186" t="s">
        <v>319</v>
      </c>
      <c r="G37" s="186" t="s">
        <v>614</v>
      </c>
      <c r="H37" s="186" t="s">
        <v>339</v>
      </c>
      <c r="I37" s="186">
        <v>500</v>
      </c>
      <c r="J37" s="186" t="s">
        <v>321</v>
      </c>
      <c r="K37" s="186" t="s">
        <v>340</v>
      </c>
      <c r="L37" s="186" t="s">
        <v>811</v>
      </c>
      <c r="M37" s="186" t="s">
        <v>812</v>
      </c>
      <c r="N37" s="186" t="s">
        <v>325</v>
      </c>
      <c r="O37" s="186" t="s">
        <v>821</v>
      </c>
      <c r="P37" s="186"/>
      <c r="Q37" s="186"/>
      <c r="R37" s="186"/>
    </row>
    <row r="38" spans="1:18" x14ac:dyDescent="0.25">
      <c r="A38" s="186" t="s">
        <v>614</v>
      </c>
      <c r="B38" s="637">
        <v>0.77839999999999998</v>
      </c>
      <c r="C38" s="186"/>
      <c r="D38" s="186" t="s">
        <v>319</v>
      </c>
      <c r="E38" s="186" t="s">
        <v>319</v>
      </c>
      <c r="F38" s="186" t="s">
        <v>319</v>
      </c>
      <c r="G38" s="186" t="s">
        <v>614</v>
      </c>
      <c r="H38" s="186" t="s">
        <v>339</v>
      </c>
      <c r="I38" s="186">
        <v>750</v>
      </c>
      <c r="J38" s="186" t="s">
        <v>321</v>
      </c>
      <c r="K38" s="186" t="s">
        <v>340</v>
      </c>
      <c r="L38" s="186" t="s">
        <v>811</v>
      </c>
      <c r="M38" s="186" t="s">
        <v>812</v>
      </c>
      <c r="N38" s="186" t="s">
        <v>325</v>
      </c>
      <c r="O38" s="186" t="s">
        <v>813</v>
      </c>
      <c r="P38" s="186"/>
      <c r="Q38" s="186"/>
      <c r="R38" s="186"/>
    </row>
    <row r="39" spans="1:18" x14ac:dyDescent="0.25">
      <c r="A39" s="186" t="s">
        <v>614</v>
      </c>
      <c r="B39" s="637">
        <v>0.84160000000000001</v>
      </c>
      <c r="C39" s="186"/>
      <c r="D39" s="186" t="s">
        <v>319</v>
      </c>
      <c r="E39" s="186" t="s">
        <v>319</v>
      </c>
      <c r="F39" s="186" t="s">
        <v>319</v>
      </c>
      <c r="G39" s="186" t="s">
        <v>614</v>
      </c>
      <c r="H39" s="186" t="s">
        <v>339</v>
      </c>
      <c r="I39" s="186">
        <v>750</v>
      </c>
      <c r="J39" s="186" t="s">
        <v>321</v>
      </c>
      <c r="K39" s="186" t="s">
        <v>340</v>
      </c>
      <c r="L39" s="186" t="s">
        <v>811</v>
      </c>
      <c r="M39" s="186" t="s">
        <v>812</v>
      </c>
      <c r="N39" s="186" t="s">
        <v>325</v>
      </c>
      <c r="O39" s="186" t="s">
        <v>814</v>
      </c>
      <c r="P39" s="186"/>
      <c r="Q39" s="186"/>
      <c r="R39" s="186"/>
    </row>
    <row r="40" spans="1:18" x14ac:dyDescent="0.25">
      <c r="A40" s="186" t="s">
        <v>614</v>
      </c>
      <c r="B40" s="637">
        <v>0.87880000000000003</v>
      </c>
      <c r="C40" s="186"/>
      <c r="D40" s="186" t="s">
        <v>319</v>
      </c>
      <c r="E40" s="186" t="s">
        <v>319</v>
      </c>
      <c r="F40" s="186" t="s">
        <v>319</v>
      </c>
      <c r="G40" s="186" t="s">
        <v>614</v>
      </c>
      <c r="H40" s="186" t="s">
        <v>339</v>
      </c>
      <c r="I40" s="186">
        <v>750</v>
      </c>
      <c r="J40" s="186" t="s">
        <v>321</v>
      </c>
      <c r="K40" s="186" t="s">
        <v>340</v>
      </c>
      <c r="L40" s="186" t="s">
        <v>811</v>
      </c>
      <c r="M40" s="186" t="s">
        <v>812</v>
      </c>
      <c r="N40" s="186" t="s">
        <v>325</v>
      </c>
      <c r="O40" s="186" t="s">
        <v>815</v>
      </c>
      <c r="P40" s="186"/>
      <c r="Q40" s="186"/>
      <c r="R40" s="186"/>
    </row>
    <row r="41" spans="1:18" x14ac:dyDescent="0.25">
      <c r="A41" s="186" t="s">
        <v>614</v>
      </c>
      <c r="B41" s="637">
        <v>0.89639999999999997</v>
      </c>
      <c r="C41" s="186"/>
      <c r="D41" s="186" t="s">
        <v>319</v>
      </c>
      <c r="E41" s="186" t="s">
        <v>319</v>
      </c>
      <c r="F41" s="186" t="s">
        <v>319</v>
      </c>
      <c r="G41" s="186" t="s">
        <v>614</v>
      </c>
      <c r="H41" s="186" t="s">
        <v>339</v>
      </c>
      <c r="I41" s="186">
        <v>750</v>
      </c>
      <c r="J41" s="186" t="s">
        <v>321</v>
      </c>
      <c r="K41" s="186" t="s">
        <v>340</v>
      </c>
      <c r="L41" s="186" t="s">
        <v>811</v>
      </c>
      <c r="M41" s="186" t="s">
        <v>812</v>
      </c>
      <c r="N41" s="186" t="s">
        <v>325</v>
      </c>
      <c r="O41" s="186" t="s">
        <v>816</v>
      </c>
      <c r="P41" s="186"/>
      <c r="Q41" s="186"/>
      <c r="R41" s="186"/>
    </row>
    <row r="42" spans="1:18" x14ac:dyDescent="0.25">
      <c r="A42" s="186" t="s">
        <v>614</v>
      </c>
      <c r="B42" s="637">
        <v>0.91310000000000002</v>
      </c>
      <c r="C42" s="186"/>
      <c r="D42" s="186" t="s">
        <v>319</v>
      </c>
      <c r="E42" s="186" t="s">
        <v>319</v>
      </c>
      <c r="F42" s="186" t="s">
        <v>319</v>
      </c>
      <c r="G42" s="186" t="s">
        <v>614</v>
      </c>
      <c r="H42" s="186" t="s">
        <v>339</v>
      </c>
      <c r="I42" s="186">
        <v>750</v>
      </c>
      <c r="J42" s="186" t="s">
        <v>321</v>
      </c>
      <c r="K42" s="186" t="s">
        <v>340</v>
      </c>
      <c r="L42" s="186" t="s">
        <v>811</v>
      </c>
      <c r="M42" s="186" t="s">
        <v>812</v>
      </c>
      <c r="N42" s="186" t="s">
        <v>325</v>
      </c>
      <c r="O42" s="186" t="s">
        <v>817</v>
      </c>
      <c r="P42" s="186"/>
      <c r="Q42" s="186"/>
      <c r="R42" s="186"/>
    </row>
    <row r="43" spans="1:18" x14ac:dyDescent="0.25">
      <c r="A43" s="186" t="s">
        <v>614</v>
      </c>
      <c r="B43" s="637">
        <v>0.93489999999999995</v>
      </c>
      <c r="C43" s="186"/>
      <c r="D43" s="186" t="s">
        <v>319</v>
      </c>
      <c r="E43" s="186" t="s">
        <v>319</v>
      </c>
      <c r="F43" s="186" t="s">
        <v>319</v>
      </c>
      <c r="G43" s="186" t="s">
        <v>614</v>
      </c>
      <c r="H43" s="186" t="s">
        <v>339</v>
      </c>
      <c r="I43" s="186">
        <v>750</v>
      </c>
      <c r="J43" s="186" t="s">
        <v>321</v>
      </c>
      <c r="K43" s="186" t="s">
        <v>340</v>
      </c>
      <c r="L43" s="186" t="s">
        <v>811</v>
      </c>
      <c r="M43" s="186" t="s">
        <v>812</v>
      </c>
      <c r="N43" s="186" t="s">
        <v>325</v>
      </c>
      <c r="O43" s="186" t="s">
        <v>818</v>
      </c>
      <c r="P43" s="186"/>
      <c r="Q43" s="186"/>
      <c r="R43" s="186"/>
    </row>
    <row r="44" spans="1:18" x14ac:dyDescent="0.25">
      <c r="A44" s="186" t="s">
        <v>614</v>
      </c>
      <c r="B44" s="637">
        <v>0.95960000000000001</v>
      </c>
      <c r="C44" s="186"/>
      <c r="D44" s="186" t="s">
        <v>319</v>
      </c>
      <c r="E44" s="186" t="s">
        <v>319</v>
      </c>
      <c r="F44" s="186" t="s">
        <v>319</v>
      </c>
      <c r="G44" s="186" t="s">
        <v>614</v>
      </c>
      <c r="H44" s="186" t="s">
        <v>339</v>
      </c>
      <c r="I44" s="186">
        <v>750</v>
      </c>
      <c r="J44" s="186" t="s">
        <v>321</v>
      </c>
      <c r="K44" s="186" t="s">
        <v>340</v>
      </c>
      <c r="L44" s="186" t="s">
        <v>811</v>
      </c>
      <c r="M44" s="186" t="s">
        <v>812</v>
      </c>
      <c r="N44" s="186" t="s">
        <v>325</v>
      </c>
      <c r="O44" s="186" t="s">
        <v>819</v>
      </c>
      <c r="P44" s="186"/>
      <c r="Q44" s="186"/>
      <c r="R44" s="186"/>
    </row>
    <row r="45" spans="1:18" x14ac:dyDescent="0.25">
      <c r="A45" s="186" t="s">
        <v>614</v>
      </c>
      <c r="B45" s="637">
        <v>0.96740000000000004</v>
      </c>
      <c r="C45" s="186"/>
      <c r="D45" s="186" t="s">
        <v>319</v>
      </c>
      <c r="E45" s="186" t="s">
        <v>319</v>
      </c>
      <c r="F45" s="186" t="s">
        <v>319</v>
      </c>
      <c r="G45" s="186" t="s">
        <v>614</v>
      </c>
      <c r="H45" s="186" t="s">
        <v>339</v>
      </c>
      <c r="I45" s="186">
        <v>750</v>
      </c>
      <c r="J45" s="186" t="s">
        <v>321</v>
      </c>
      <c r="K45" s="186" t="s">
        <v>340</v>
      </c>
      <c r="L45" s="186" t="s">
        <v>811</v>
      </c>
      <c r="M45" s="186" t="s">
        <v>812</v>
      </c>
      <c r="N45" s="186" t="s">
        <v>325</v>
      </c>
      <c r="O45" s="186" t="s">
        <v>820</v>
      </c>
      <c r="P45" s="186"/>
      <c r="Q45" s="186"/>
      <c r="R45" s="186"/>
    </row>
    <row r="46" spans="1:18" x14ac:dyDescent="0.25">
      <c r="A46" s="186" t="s">
        <v>614</v>
      </c>
      <c r="B46" s="637">
        <v>0.96740000000000004</v>
      </c>
      <c r="C46" s="186"/>
      <c r="D46" s="186" t="s">
        <v>319</v>
      </c>
      <c r="E46" s="186" t="s">
        <v>319</v>
      </c>
      <c r="F46" s="186" t="s">
        <v>319</v>
      </c>
      <c r="G46" s="186" t="s">
        <v>614</v>
      </c>
      <c r="H46" s="186" t="s">
        <v>339</v>
      </c>
      <c r="I46" s="186">
        <v>750</v>
      </c>
      <c r="J46" s="186" t="s">
        <v>321</v>
      </c>
      <c r="K46" s="186" t="s">
        <v>340</v>
      </c>
      <c r="L46" s="186" t="s">
        <v>811</v>
      </c>
      <c r="M46" s="186" t="s">
        <v>812</v>
      </c>
      <c r="N46" s="186" t="s">
        <v>325</v>
      </c>
      <c r="O46" s="186" t="s">
        <v>821</v>
      </c>
      <c r="P46" s="186"/>
      <c r="Q46" s="186"/>
      <c r="R46" s="186"/>
    </row>
    <row r="47" spans="1:18" x14ac:dyDescent="0.25">
      <c r="A47" s="186" t="s">
        <v>614</v>
      </c>
      <c r="B47" s="637">
        <v>0.71279999999999999</v>
      </c>
      <c r="C47" s="186"/>
      <c r="D47" s="186" t="s">
        <v>319</v>
      </c>
      <c r="E47" s="186" t="s">
        <v>319</v>
      </c>
      <c r="F47" s="186" t="s">
        <v>319</v>
      </c>
      <c r="G47" s="186" t="s">
        <v>614</v>
      </c>
      <c r="H47" s="186" t="s">
        <v>339</v>
      </c>
      <c r="I47" s="186">
        <v>1000</v>
      </c>
      <c r="J47" s="186" t="s">
        <v>321</v>
      </c>
      <c r="K47" s="186" t="s">
        <v>340</v>
      </c>
      <c r="L47" s="186" t="s">
        <v>811</v>
      </c>
      <c r="M47" s="186" t="s">
        <v>812</v>
      </c>
      <c r="N47" s="186" t="s">
        <v>325</v>
      </c>
      <c r="O47" s="186" t="s">
        <v>813</v>
      </c>
      <c r="P47" s="186"/>
      <c r="Q47" s="186"/>
      <c r="R47" s="186"/>
    </row>
    <row r="48" spans="1:18" x14ac:dyDescent="0.25">
      <c r="A48" s="186" t="s">
        <v>614</v>
      </c>
      <c r="B48" s="637">
        <v>0.79400000000000004</v>
      </c>
      <c r="C48" s="186"/>
      <c r="D48" s="186" t="s">
        <v>319</v>
      </c>
      <c r="E48" s="186" t="s">
        <v>319</v>
      </c>
      <c r="F48" s="186" t="s">
        <v>319</v>
      </c>
      <c r="G48" s="186" t="s">
        <v>614</v>
      </c>
      <c r="H48" s="186" t="s">
        <v>339</v>
      </c>
      <c r="I48" s="186">
        <v>1000</v>
      </c>
      <c r="J48" s="186" t="s">
        <v>321</v>
      </c>
      <c r="K48" s="186" t="s">
        <v>340</v>
      </c>
      <c r="L48" s="186" t="s">
        <v>811</v>
      </c>
      <c r="M48" s="186" t="s">
        <v>812</v>
      </c>
      <c r="N48" s="186" t="s">
        <v>325</v>
      </c>
      <c r="O48" s="186" t="s">
        <v>814</v>
      </c>
      <c r="P48" s="186"/>
      <c r="Q48" s="186"/>
      <c r="R48" s="186"/>
    </row>
    <row r="49" spans="1:18" x14ac:dyDescent="0.25">
      <c r="A49" s="186" t="s">
        <v>614</v>
      </c>
      <c r="B49" s="637">
        <v>0.84219999999999995</v>
      </c>
      <c r="C49" s="186"/>
      <c r="D49" s="186" t="s">
        <v>319</v>
      </c>
      <c r="E49" s="186" t="s">
        <v>319</v>
      </c>
      <c r="F49" s="186" t="s">
        <v>319</v>
      </c>
      <c r="G49" s="186" t="s">
        <v>614</v>
      </c>
      <c r="H49" s="186" t="s">
        <v>339</v>
      </c>
      <c r="I49" s="186">
        <v>1000</v>
      </c>
      <c r="J49" s="186" t="s">
        <v>321</v>
      </c>
      <c r="K49" s="186" t="s">
        <v>340</v>
      </c>
      <c r="L49" s="186" t="s">
        <v>811</v>
      </c>
      <c r="M49" s="186" t="s">
        <v>812</v>
      </c>
      <c r="N49" s="186" t="s">
        <v>325</v>
      </c>
      <c r="O49" s="186" t="s">
        <v>815</v>
      </c>
      <c r="P49" s="186"/>
      <c r="Q49" s="186"/>
      <c r="R49" s="186"/>
    </row>
    <row r="50" spans="1:18" x14ac:dyDescent="0.25">
      <c r="A50" s="186" t="s">
        <v>614</v>
      </c>
      <c r="B50" s="637">
        <v>0.86460000000000004</v>
      </c>
      <c r="C50" s="186"/>
      <c r="D50" s="186" t="s">
        <v>319</v>
      </c>
      <c r="E50" s="186" t="s">
        <v>319</v>
      </c>
      <c r="F50" s="186" t="s">
        <v>319</v>
      </c>
      <c r="G50" s="186" t="s">
        <v>614</v>
      </c>
      <c r="H50" s="186" t="s">
        <v>339</v>
      </c>
      <c r="I50" s="186">
        <v>1000</v>
      </c>
      <c r="J50" s="186" t="s">
        <v>321</v>
      </c>
      <c r="K50" s="186" t="s">
        <v>340</v>
      </c>
      <c r="L50" s="186" t="s">
        <v>811</v>
      </c>
      <c r="M50" s="186" t="s">
        <v>812</v>
      </c>
      <c r="N50" s="186" t="s">
        <v>325</v>
      </c>
      <c r="O50" s="186" t="s">
        <v>816</v>
      </c>
      <c r="P50" s="186"/>
      <c r="Q50" s="186"/>
      <c r="R50" s="186"/>
    </row>
    <row r="51" spans="1:18" x14ac:dyDescent="0.25">
      <c r="A51" s="186" t="s">
        <v>614</v>
      </c>
      <c r="B51" s="637">
        <v>0.88600000000000001</v>
      </c>
      <c r="C51" s="186"/>
      <c r="D51" s="186" t="s">
        <v>319</v>
      </c>
      <c r="E51" s="186" t="s">
        <v>319</v>
      </c>
      <c r="F51" s="186" t="s">
        <v>319</v>
      </c>
      <c r="G51" s="186" t="s">
        <v>614</v>
      </c>
      <c r="H51" s="186" t="s">
        <v>339</v>
      </c>
      <c r="I51" s="186">
        <v>1000</v>
      </c>
      <c r="J51" s="186" t="s">
        <v>321</v>
      </c>
      <c r="K51" s="186" t="s">
        <v>340</v>
      </c>
      <c r="L51" s="186" t="s">
        <v>811</v>
      </c>
      <c r="M51" s="186" t="s">
        <v>812</v>
      </c>
      <c r="N51" s="186" t="s">
        <v>325</v>
      </c>
      <c r="O51" s="186" t="s">
        <v>817</v>
      </c>
      <c r="P51" s="186"/>
      <c r="Q51" s="186"/>
      <c r="R51" s="186"/>
    </row>
    <row r="52" spans="1:18" x14ac:dyDescent="0.25">
      <c r="A52" s="186" t="s">
        <v>614</v>
      </c>
      <c r="B52" s="637">
        <v>0.91449999999999998</v>
      </c>
      <c r="C52" s="186"/>
      <c r="D52" s="186" t="s">
        <v>319</v>
      </c>
      <c r="E52" s="186" t="s">
        <v>319</v>
      </c>
      <c r="F52" s="186" t="s">
        <v>319</v>
      </c>
      <c r="G52" s="186" t="s">
        <v>614</v>
      </c>
      <c r="H52" s="186" t="s">
        <v>339</v>
      </c>
      <c r="I52" s="186">
        <v>1000</v>
      </c>
      <c r="J52" s="186" t="s">
        <v>321</v>
      </c>
      <c r="K52" s="186" t="s">
        <v>340</v>
      </c>
      <c r="L52" s="186" t="s">
        <v>811</v>
      </c>
      <c r="M52" s="186" t="s">
        <v>812</v>
      </c>
      <c r="N52" s="186" t="s">
        <v>325</v>
      </c>
      <c r="O52" s="186" t="s">
        <v>818</v>
      </c>
      <c r="P52" s="186"/>
      <c r="Q52" s="186"/>
      <c r="R52" s="186"/>
    </row>
    <row r="53" spans="1:18" x14ac:dyDescent="0.25">
      <c r="A53" s="186" t="s">
        <v>614</v>
      </c>
      <c r="B53" s="637">
        <v>0.94630000000000003</v>
      </c>
      <c r="C53" s="186"/>
      <c r="D53" s="186" t="s">
        <v>319</v>
      </c>
      <c r="E53" s="186" t="s">
        <v>319</v>
      </c>
      <c r="F53" s="186" t="s">
        <v>319</v>
      </c>
      <c r="G53" s="186" t="s">
        <v>614</v>
      </c>
      <c r="H53" s="186" t="s">
        <v>339</v>
      </c>
      <c r="I53" s="186">
        <v>1000</v>
      </c>
      <c r="J53" s="186" t="s">
        <v>321</v>
      </c>
      <c r="K53" s="186" t="s">
        <v>340</v>
      </c>
      <c r="L53" s="186" t="s">
        <v>811</v>
      </c>
      <c r="M53" s="186" t="s">
        <v>812</v>
      </c>
      <c r="N53" s="186" t="s">
        <v>325</v>
      </c>
      <c r="O53" s="186" t="s">
        <v>819</v>
      </c>
      <c r="P53" s="186"/>
      <c r="Q53" s="186"/>
      <c r="R53" s="186"/>
    </row>
    <row r="54" spans="1:18" x14ac:dyDescent="0.25">
      <c r="A54" s="186" t="s">
        <v>614</v>
      </c>
      <c r="B54" s="637">
        <v>0.95730000000000004</v>
      </c>
      <c r="C54" s="186"/>
      <c r="D54" s="186" t="s">
        <v>319</v>
      </c>
      <c r="E54" s="186" t="s">
        <v>319</v>
      </c>
      <c r="F54" s="186" t="s">
        <v>319</v>
      </c>
      <c r="G54" s="186" t="s">
        <v>614</v>
      </c>
      <c r="H54" s="186" t="s">
        <v>339</v>
      </c>
      <c r="I54" s="186">
        <v>1000</v>
      </c>
      <c r="J54" s="186" t="s">
        <v>321</v>
      </c>
      <c r="K54" s="186" t="s">
        <v>340</v>
      </c>
      <c r="L54" s="186" t="s">
        <v>811</v>
      </c>
      <c r="M54" s="186" t="s">
        <v>812</v>
      </c>
      <c r="N54" s="186" t="s">
        <v>325</v>
      </c>
      <c r="O54" s="186" t="s">
        <v>820</v>
      </c>
      <c r="P54" s="186"/>
      <c r="Q54" s="186"/>
      <c r="R54" s="186"/>
    </row>
    <row r="55" spans="1:18" x14ac:dyDescent="0.25">
      <c r="A55" s="186" t="s">
        <v>614</v>
      </c>
      <c r="B55" s="637">
        <v>0.95730000000000004</v>
      </c>
      <c r="C55" s="186"/>
      <c r="D55" s="186" t="s">
        <v>319</v>
      </c>
      <c r="E55" s="186" t="s">
        <v>319</v>
      </c>
      <c r="F55" s="186" t="s">
        <v>319</v>
      </c>
      <c r="G55" s="186" t="s">
        <v>614</v>
      </c>
      <c r="H55" s="186" t="s">
        <v>339</v>
      </c>
      <c r="I55" s="186">
        <v>1000</v>
      </c>
      <c r="J55" s="186" t="s">
        <v>321</v>
      </c>
      <c r="K55" s="186" t="s">
        <v>340</v>
      </c>
      <c r="L55" s="186" t="s">
        <v>811</v>
      </c>
      <c r="M55" s="186" t="s">
        <v>812</v>
      </c>
      <c r="N55" s="186" t="s">
        <v>325</v>
      </c>
      <c r="O55" s="186" t="s">
        <v>821</v>
      </c>
      <c r="P55" s="186"/>
      <c r="Q55" s="186"/>
      <c r="R55" s="186"/>
    </row>
    <row r="56" spans="1:18" x14ac:dyDescent="0.25">
      <c r="A56" s="186" t="s">
        <v>614</v>
      </c>
      <c r="B56" s="637">
        <v>0.63900000000000001</v>
      </c>
      <c r="C56" s="186"/>
      <c r="D56" s="186" t="s">
        <v>319</v>
      </c>
      <c r="E56" s="186" t="s">
        <v>319</v>
      </c>
      <c r="F56" s="186" t="s">
        <v>319</v>
      </c>
      <c r="G56" s="186" t="s">
        <v>614</v>
      </c>
      <c r="H56" s="186" t="s">
        <v>339</v>
      </c>
      <c r="I56" s="186">
        <v>1500</v>
      </c>
      <c r="J56" s="186" t="s">
        <v>321</v>
      </c>
      <c r="K56" s="186" t="s">
        <v>340</v>
      </c>
      <c r="L56" s="186" t="s">
        <v>811</v>
      </c>
      <c r="M56" s="186" t="s">
        <v>812</v>
      </c>
      <c r="N56" s="186" t="s">
        <v>325</v>
      </c>
      <c r="O56" s="186" t="s">
        <v>813</v>
      </c>
      <c r="P56" s="186"/>
      <c r="Q56" s="186"/>
      <c r="R56" s="186"/>
    </row>
    <row r="57" spans="1:18" x14ac:dyDescent="0.25">
      <c r="A57" s="186" t="s">
        <v>614</v>
      </c>
      <c r="B57" s="637">
        <v>0.70930000000000004</v>
      </c>
      <c r="C57" s="186"/>
      <c r="D57" s="186" t="s">
        <v>319</v>
      </c>
      <c r="E57" s="186" t="s">
        <v>319</v>
      </c>
      <c r="F57" s="186" t="s">
        <v>319</v>
      </c>
      <c r="G57" s="186" t="s">
        <v>614</v>
      </c>
      <c r="H57" s="186" t="s">
        <v>339</v>
      </c>
      <c r="I57" s="186">
        <v>1500</v>
      </c>
      <c r="J57" s="186" t="s">
        <v>321</v>
      </c>
      <c r="K57" s="186" t="s">
        <v>340</v>
      </c>
      <c r="L57" s="186" t="s">
        <v>811</v>
      </c>
      <c r="M57" s="186" t="s">
        <v>812</v>
      </c>
      <c r="N57" s="186" t="s">
        <v>325</v>
      </c>
      <c r="O57" s="186" t="s">
        <v>814</v>
      </c>
      <c r="P57" s="186"/>
      <c r="Q57" s="186"/>
      <c r="R57" s="186"/>
    </row>
    <row r="58" spans="1:18" x14ac:dyDescent="0.25">
      <c r="A58" s="186" t="s">
        <v>614</v>
      </c>
      <c r="B58" s="637">
        <v>0.77810000000000001</v>
      </c>
      <c r="C58" s="186"/>
      <c r="D58" s="186" t="s">
        <v>319</v>
      </c>
      <c r="E58" s="186" t="s">
        <v>319</v>
      </c>
      <c r="F58" s="186" t="s">
        <v>319</v>
      </c>
      <c r="G58" s="186" t="s">
        <v>614</v>
      </c>
      <c r="H58" s="186" t="s">
        <v>339</v>
      </c>
      <c r="I58" s="186">
        <v>1500</v>
      </c>
      <c r="J58" s="186" t="s">
        <v>321</v>
      </c>
      <c r="K58" s="186" t="s">
        <v>340</v>
      </c>
      <c r="L58" s="186" t="s">
        <v>811</v>
      </c>
      <c r="M58" s="186" t="s">
        <v>812</v>
      </c>
      <c r="N58" s="186" t="s">
        <v>325</v>
      </c>
      <c r="O58" s="186" t="s">
        <v>815</v>
      </c>
      <c r="P58" s="186"/>
      <c r="Q58" s="186"/>
      <c r="R58" s="186"/>
    </row>
    <row r="59" spans="1:18" x14ac:dyDescent="0.25">
      <c r="A59" s="186" t="s">
        <v>614</v>
      </c>
      <c r="B59" s="637">
        <v>0.81110000000000004</v>
      </c>
      <c r="C59" s="186"/>
      <c r="D59" s="186" t="s">
        <v>319</v>
      </c>
      <c r="E59" s="186" t="s">
        <v>319</v>
      </c>
      <c r="F59" s="186" t="s">
        <v>319</v>
      </c>
      <c r="G59" s="186" t="s">
        <v>614</v>
      </c>
      <c r="H59" s="186" t="s">
        <v>339</v>
      </c>
      <c r="I59" s="186">
        <v>1500</v>
      </c>
      <c r="J59" s="186" t="s">
        <v>321</v>
      </c>
      <c r="K59" s="186" t="s">
        <v>340</v>
      </c>
      <c r="L59" s="186" t="s">
        <v>811</v>
      </c>
      <c r="M59" s="186" t="s">
        <v>812</v>
      </c>
      <c r="N59" s="186" t="s">
        <v>325</v>
      </c>
      <c r="O59" s="186" t="s">
        <v>816</v>
      </c>
      <c r="P59" s="186"/>
      <c r="Q59" s="186"/>
      <c r="R59" s="186"/>
    </row>
    <row r="60" spans="1:18" x14ac:dyDescent="0.25">
      <c r="A60" s="186" t="s">
        <v>614</v>
      </c>
      <c r="B60" s="637">
        <v>0.83850000000000002</v>
      </c>
      <c r="C60" s="186"/>
      <c r="D60" s="186" t="s">
        <v>319</v>
      </c>
      <c r="E60" s="186" t="s">
        <v>319</v>
      </c>
      <c r="F60" s="186" t="s">
        <v>319</v>
      </c>
      <c r="G60" s="186" t="s">
        <v>614</v>
      </c>
      <c r="H60" s="186" t="s">
        <v>339</v>
      </c>
      <c r="I60" s="186">
        <v>1500</v>
      </c>
      <c r="J60" s="186" t="s">
        <v>321</v>
      </c>
      <c r="K60" s="186" t="s">
        <v>340</v>
      </c>
      <c r="L60" s="186" t="s">
        <v>811</v>
      </c>
      <c r="M60" s="186" t="s">
        <v>812</v>
      </c>
      <c r="N60" s="186" t="s">
        <v>325</v>
      </c>
      <c r="O60" s="186" t="s">
        <v>817</v>
      </c>
      <c r="P60" s="186"/>
      <c r="Q60" s="186"/>
      <c r="R60" s="186"/>
    </row>
    <row r="61" spans="1:18" x14ac:dyDescent="0.25">
      <c r="A61" s="186" t="s">
        <v>614</v>
      </c>
      <c r="B61" s="637">
        <v>0.88400000000000001</v>
      </c>
      <c r="C61" s="186"/>
      <c r="D61" s="186" t="s">
        <v>319</v>
      </c>
      <c r="E61" s="186" t="s">
        <v>319</v>
      </c>
      <c r="F61" s="186" t="s">
        <v>319</v>
      </c>
      <c r="G61" s="186" t="s">
        <v>614</v>
      </c>
      <c r="H61" s="186" t="s">
        <v>339</v>
      </c>
      <c r="I61" s="186">
        <v>1500</v>
      </c>
      <c r="J61" s="186" t="s">
        <v>321</v>
      </c>
      <c r="K61" s="186" t="s">
        <v>340</v>
      </c>
      <c r="L61" s="186" t="s">
        <v>811</v>
      </c>
      <c r="M61" s="186" t="s">
        <v>812</v>
      </c>
      <c r="N61" s="186" t="s">
        <v>325</v>
      </c>
      <c r="O61" s="186" t="s">
        <v>818</v>
      </c>
      <c r="P61" s="186"/>
      <c r="Q61" s="186"/>
      <c r="R61" s="186"/>
    </row>
    <row r="62" spans="1:18" x14ac:dyDescent="0.25">
      <c r="A62" s="186" t="s">
        <v>614</v>
      </c>
      <c r="B62" s="637">
        <v>0.92490000000000006</v>
      </c>
      <c r="C62" s="186"/>
      <c r="D62" s="186" t="s">
        <v>319</v>
      </c>
      <c r="E62" s="186" t="s">
        <v>319</v>
      </c>
      <c r="F62" s="186" t="s">
        <v>319</v>
      </c>
      <c r="G62" s="186" t="s">
        <v>614</v>
      </c>
      <c r="H62" s="186" t="s">
        <v>339</v>
      </c>
      <c r="I62" s="186">
        <v>1500</v>
      </c>
      <c r="J62" s="186" t="s">
        <v>321</v>
      </c>
      <c r="K62" s="186" t="s">
        <v>340</v>
      </c>
      <c r="L62" s="186" t="s">
        <v>811</v>
      </c>
      <c r="M62" s="186" t="s">
        <v>812</v>
      </c>
      <c r="N62" s="186" t="s">
        <v>325</v>
      </c>
      <c r="O62" s="186" t="s">
        <v>819</v>
      </c>
      <c r="P62" s="186"/>
      <c r="Q62" s="186"/>
      <c r="R62" s="186"/>
    </row>
    <row r="63" spans="1:18" x14ac:dyDescent="0.25">
      <c r="A63" s="186" t="s">
        <v>614</v>
      </c>
      <c r="B63" s="637">
        <v>0.94189999999999996</v>
      </c>
      <c r="C63" s="186"/>
      <c r="D63" s="186" t="s">
        <v>319</v>
      </c>
      <c r="E63" s="186" t="s">
        <v>319</v>
      </c>
      <c r="F63" s="186" t="s">
        <v>319</v>
      </c>
      <c r="G63" s="186" t="s">
        <v>614</v>
      </c>
      <c r="H63" s="186" t="s">
        <v>339</v>
      </c>
      <c r="I63" s="186">
        <v>1500</v>
      </c>
      <c r="J63" s="186" t="s">
        <v>321</v>
      </c>
      <c r="K63" s="186" t="s">
        <v>340</v>
      </c>
      <c r="L63" s="186" t="s">
        <v>811</v>
      </c>
      <c r="M63" s="186" t="s">
        <v>812</v>
      </c>
      <c r="N63" s="186" t="s">
        <v>325</v>
      </c>
      <c r="O63" s="186" t="s">
        <v>820</v>
      </c>
      <c r="P63" s="186"/>
      <c r="Q63" s="186"/>
      <c r="R63" s="186"/>
    </row>
    <row r="64" spans="1:18" x14ac:dyDescent="0.25">
      <c r="A64" s="186" t="s">
        <v>614</v>
      </c>
      <c r="B64" s="637">
        <v>0.95309999999999995</v>
      </c>
      <c r="C64" s="186"/>
      <c r="D64" s="186" t="s">
        <v>319</v>
      </c>
      <c r="E64" s="186" t="s">
        <v>319</v>
      </c>
      <c r="F64" s="186" t="s">
        <v>319</v>
      </c>
      <c r="G64" s="186" t="s">
        <v>614</v>
      </c>
      <c r="H64" s="186" t="s">
        <v>339</v>
      </c>
      <c r="I64" s="186">
        <v>1500</v>
      </c>
      <c r="J64" s="186" t="s">
        <v>321</v>
      </c>
      <c r="K64" s="186" t="s">
        <v>340</v>
      </c>
      <c r="L64" s="186" t="s">
        <v>811</v>
      </c>
      <c r="M64" s="186" t="s">
        <v>812</v>
      </c>
      <c r="N64" s="186" t="s">
        <v>325</v>
      </c>
      <c r="O64" s="186" t="s">
        <v>821</v>
      </c>
      <c r="P64" s="186"/>
      <c r="Q64" s="186"/>
      <c r="R64" s="186"/>
    </row>
    <row r="65" spans="1:18" x14ac:dyDescent="0.25">
      <c r="A65" s="186" t="s">
        <v>614</v>
      </c>
      <c r="B65" s="637">
        <v>0.59799999999999998</v>
      </c>
      <c r="C65" s="186"/>
      <c r="D65" s="186" t="s">
        <v>319</v>
      </c>
      <c r="E65" s="186" t="s">
        <v>319</v>
      </c>
      <c r="F65" s="186" t="s">
        <v>319</v>
      </c>
      <c r="G65" s="186" t="s">
        <v>614</v>
      </c>
      <c r="H65" s="186" t="s">
        <v>339</v>
      </c>
      <c r="I65" s="186">
        <v>2500</v>
      </c>
      <c r="J65" s="186" t="s">
        <v>321</v>
      </c>
      <c r="K65" s="186" t="s">
        <v>340</v>
      </c>
      <c r="L65" s="186" t="s">
        <v>811</v>
      </c>
      <c r="M65" s="186" t="s">
        <v>812</v>
      </c>
      <c r="N65" s="186" t="s">
        <v>325</v>
      </c>
      <c r="O65" s="186" t="s">
        <v>813</v>
      </c>
      <c r="P65" s="186"/>
      <c r="Q65" s="186"/>
      <c r="R65" s="186"/>
    </row>
    <row r="66" spans="1:18" x14ac:dyDescent="0.25">
      <c r="A66" s="186" t="s">
        <v>614</v>
      </c>
      <c r="B66" s="637">
        <v>0.59799999999999998</v>
      </c>
      <c r="C66" s="186"/>
      <c r="D66" s="186" t="s">
        <v>319</v>
      </c>
      <c r="E66" s="186" t="s">
        <v>319</v>
      </c>
      <c r="F66" s="186" t="s">
        <v>319</v>
      </c>
      <c r="G66" s="186" t="s">
        <v>614</v>
      </c>
      <c r="H66" s="186" t="s">
        <v>339</v>
      </c>
      <c r="I66" s="186">
        <v>2500</v>
      </c>
      <c r="J66" s="186" t="s">
        <v>321</v>
      </c>
      <c r="K66" s="186" t="s">
        <v>340</v>
      </c>
      <c r="L66" s="186" t="s">
        <v>811</v>
      </c>
      <c r="M66" s="186" t="s">
        <v>812</v>
      </c>
      <c r="N66" s="186" t="s">
        <v>325</v>
      </c>
      <c r="O66" s="186" t="s">
        <v>814</v>
      </c>
      <c r="P66" s="186"/>
      <c r="Q66" s="186"/>
      <c r="R66" s="186"/>
    </row>
    <row r="67" spans="1:18" x14ac:dyDescent="0.25">
      <c r="A67" s="186" t="s">
        <v>614</v>
      </c>
      <c r="B67" s="637">
        <v>0.66559999999999997</v>
      </c>
      <c r="C67" s="186"/>
      <c r="D67" s="186" t="s">
        <v>319</v>
      </c>
      <c r="E67" s="186" t="s">
        <v>319</v>
      </c>
      <c r="F67" s="186" t="s">
        <v>319</v>
      </c>
      <c r="G67" s="186" t="s">
        <v>614</v>
      </c>
      <c r="H67" s="186" t="s">
        <v>339</v>
      </c>
      <c r="I67" s="186">
        <v>2500</v>
      </c>
      <c r="J67" s="186" t="s">
        <v>321</v>
      </c>
      <c r="K67" s="186" t="s">
        <v>340</v>
      </c>
      <c r="L67" s="186" t="s">
        <v>811</v>
      </c>
      <c r="M67" s="186" t="s">
        <v>812</v>
      </c>
      <c r="N67" s="186" t="s">
        <v>325</v>
      </c>
      <c r="O67" s="186" t="s">
        <v>815</v>
      </c>
      <c r="P67" s="186"/>
      <c r="Q67" s="186"/>
      <c r="R67" s="186"/>
    </row>
    <row r="68" spans="1:18" x14ac:dyDescent="0.25">
      <c r="A68" s="186" t="s">
        <v>614</v>
      </c>
      <c r="B68" s="637">
        <v>0.71419999999999995</v>
      </c>
      <c r="C68" s="186"/>
      <c r="D68" s="186" t="s">
        <v>319</v>
      </c>
      <c r="E68" s="186" t="s">
        <v>319</v>
      </c>
      <c r="F68" s="186" t="s">
        <v>319</v>
      </c>
      <c r="G68" s="186" t="s">
        <v>614</v>
      </c>
      <c r="H68" s="186" t="s">
        <v>339</v>
      </c>
      <c r="I68" s="186">
        <v>2500</v>
      </c>
      <c r="J68" s="186" t="s">
        <v>321</v>
      </c>
      <c r="K68" s="186" t="s">
        <v>340</v>
      </c>
      <c r="L68" s="186" t="s">
        <v>811</v>
      </c>
      <c r="M68" s="186" t="s">
        <v>812</v>
      </c>
      <c r="N68" s="186" t="s">
        <v>325</v>
      </c>
      <c r="O68" s="186" t="s">
        <v>816</v>
      </c>
      <c r="P68" s="186"/>
      <c r="Q68" s="186"/>
      <c r="R68" s="186"/>
    </row>
    <row r="69" spans="1:18" x14ac:dyDescent="0.25">
      <c r="A69" s="186" t="s">
        <v>614</v>
      </c>
      <c r="B69" s="637">
        <v>0.75160000000000005</v>
      </c>
      <c r="C69" s="186"/>
      <c r="D69" s="186" t="s">
        <v>319</v>
      </c>
      <c r="E69" s="186" t="s">
        <v>319</v>
      </c>
      <c r="F69" s="186" t="s">
        <v>319</v>
      </c>
      <c r="G69" s="186" t="s">
        <v>614</v>
      </c>
      <c r="H69" s="186" t="s">
        <v>339</v>
      </c>
      <c r="I69" s="186">
        <v>2500</v>
      </c>
      <c r="J69" s="186" t="s">
        <v>321</v>
      </c>
      <c r="K69" s="186" t="s">
        <v>340</v>
      </c>
      <c r="L69" s="186" t="s">
        <v>811</v>
      </c>
      <c r="M69" s="186" t="s">
        <v>812</v>
      </c>
      <c r="N69" s="186" t="s">
        <v>325</v>
      </c>
      <c r="O69" s="186" t="s">
        <v>817</v>
      </c>
      <c r="P69" s="186"/>
      <c r="Q69" s="186"/>
      <c r="R69" s="186"/>
    </row>
    <row r="70" spans="1:18" x14ac:dyDescent="0.25">
      <c r="A70" s="186" t="s">
        <v>614</v>
      </c>
      <c r="B70" s="637">
        <v>0.81879999999999997</v>
      </c>
      <c r="C70" s="186"/>
      <c r="D70" s="186" t="s">
        <v>319</v>
      </c>
      <c r="E70" s="186" t="s">
        <v>319</v>
      </c>
      <c r="F70" s="186" t="s">
        <v>319</v>
      </c>
      <c r="G70" s="186" t="s">
        <v>614</v>
      </c>
      <c r="H70" s="186" t="s">
        <v>339</v>
      </c>
      <c r="I70" s="186">
        <v>2500</v>
      </c>
      <c r="J70" s="186" t="s">
        <v>321</v>
      </c>
      <c r="K70" s="186" t="s">
        <v>340</v>
      </c>
      <c r="L70" s="186" t="s">
        <v>811</v>
      </c>
      <c r="M70" s="186" t="s">
        <v>812</v>
      </c>
      <c r="N70" s="186" t="s">
        <v>325</v>
      </c>
      <c r="O70" s="186" t="s">
        <v>818</v>
      </c>
      <c r="P70" s="186"/>
      <c r="Q70" s="186"/>
      <c r="R70" s="186"/>
    </row>
    <row r="71" spans="1:18" x14ac:dyDescent="0.25">
      <c r="A71" s="186" t="s">
        <v>614</v>
      </c>
      <c r="B71" s="637">
        <v>0.88029999999999997</v>
      </c>
      <c r="C71" s="186"/>
      <c r="D71" s="186" t="s">
        <v>319</v>
      </c>
      <c r="E71" s="186" t="s">
        <v>319</v>
      </c>
      <c r="F71" s="186" t="s">
        <v>319</v>
      </c>
      <c r="G71" s="186" t="s">
        <v>614</v>
      </c>
      <c r="H71" s="186" t="s">
        <v>339</v>
      </c>
      <c r="I71" s="186">
        <v>2500</v>
      </c>
      <c r="J71" s="186" t="s">
        <v>321</v>
      </c>
      <c r="K71" s="186" t="s">
        <v>340</v>
      </c>
      <c r="L71" s="186" t="s">
        <v>811</v>
      </c>
      <c r="M71" s="186" t="s">
        <v>812</v>
      </c>
      <c r="N71" s="186" t="s">
        <v>325</v>
      </c>
      <c r="O71" s="186" t="s">
        <v>819</v>
      </c>
      <c r="P71" s="186"/>
      <c r="Q71" s="186"/>
      <c r="R71" s="186"/>
    </row>
    <row r="72" spans="1:18" x14ac:dyDescent="0.25">
      <c r="A72" s="186" t="s">
        <v>614</v>
      </c>
      <c r="B72" s="637">
        <v>0.91</v>
      </c>
      <c r="C72" s="186"/>
      <c r="D72" s="186" t="s">
        <v>319</v>
      </c>
      <c r="E72" s="186" t="s">
        <v>319</v>
      </c>
      <c r="F72" s="186" t="s">
        <v>319</v>
      </c>
      <c r="G72" s="186" t="s">
        <v>614</v>
      </c>
      <c r="H72" s="186" t="s">
        <v>339</v>
      </c>
      <c r="I72" s="186">
        <v>2500</v>
      </c>
      <c r="J72" s="186" t="s">
        <v>321</v>
      </c>
      <c r="K72" s="186" t="s">
        <v>340</v>
      </c>
      <c r="L72" s="186" t="s">
        <v>811</v>
      </c>
      <c r="M72" s="186" t="s">
        <v>812</v>
      </c>
      <c r="N72" s="186" t="s">
        <v>325</v>
      </c>
      <c r="O72" s="186" t="s">
        <v>820</v>
      </c>
      <c r="P72" s="186"/>
      <c r="Q72" s="186"/>
      <c r="R72" s="186"/>
    </row>
    <row r="73" spans="1:18" x14ac:dyDescent="0.25">
      <c r="A73" s="186" t="s">
        <v>614</v>
      </c>
      <c r="B73" s="637">
        <v>0.92320000000000002</v>
      </c>
      <c r="C73" s="186"/>
      <c r="D73" s="186" t="s">
        <v>319</v>
      </c>
      <c r="E73" s="186" t="s">
        <v>319</v>
      </c>
      <c r="F73" s="186" t="s">
        <v>319</v>
      </c>
      <c r="G73" s="186" t="s">
        <v>614</v>
      </c>
      <c r="H73" s="186" t="s">
        <v>339</v>
      </c>
      <c r="I73" s="186">
        <v>2500</v>
      </c>
      <c r="J73" s="186" t="s">
        <v>321</v>
      </c>
      <c r="K73" s="186" t="s">
        <v>340</v>
      </c>
      <c r="L73" s="186" t="s">
        <v>811</v>
      </c>
      <c r="M73" s="186" t="s">
        <v>812</v>
      </c>
      <c r="N73" s="186" t="s">
        <v>325</v>
      </c>
      <c r="O73" s="186" t="s">
        <v>821</v>
      </c>
      <c r="P73" s="186"/>
      <c r="Q73" s="186"/>
      <c r="R73" s="186"/>
    </row>
    <row r="74" spans="1:18" x14ac:dyDescent="0.25">
      <c r="A74" s="186" t="s">
        <v>614</v>
      </c>
      <c r="B74" s="637">
        <v>0.55930000000000002</v>
      </c>
      <c r="C74" s="186"/>
      <c r="D74" s="186" t="s">
        <v>319</v>
      </c>
      <c r="E74" s="186" t="s">
        <v>319</v>
      </c>
      <c r="F74" s="186" t="s">
        <v>319</v>
      </c>
      <c r="G74" s="186" t="s">
        <v>614</v>
      </c>
      <c r="H74" s="186" t="s">
        <v>339</v>
      </c>
      <c r="I74" s="186">
        <v>5000</v>
      </c>
      <c r="J74" s="186" t="s">
        <v>321</v>
      </c>
      <c r="K74" s="186" t="s">
        <v>340</v>
      </c>
      <c r="L74" s="186" t="s">
        <v>811</v>
      </c>
      <c r="M74" s="186" t="s">
        <v>812</v>
      </c>
      <c r="N74" s="186" t="s">
        <v>325</v>
      </c>
      <c r="O74" s="186" t="s">
        <v>813</v>
      </c>
      <c r="P74" s="186"/>
      <c r="Q74" s="186"/>
      <c r="R74" s="186"/>
    </row>
    <row r="75" spans="1:18" x14ac:dyDescent="0.25">
      <c r="A75" s="186" t="s">
        <v>614</v>
      </c>
      <c r="B75" s="637">
        <v>0.55930000000000002</v>
      </c>
      <c r="C75" s="186"/>
      <c r="D75" s="186" t="s">
        <v>319</v>
      </c>
      <c r="E75" s="186" t="s">
        <v>319</v>
      </c>
      <c r="F75" s="186" t="s">
        <v>319</v>
      </c>
      <c r="G75" s="186" t="s">
        <v>614</v>
      </c>
      <c r="H75" s="186" t="s">
        <v>339</v>
      </c>
      <c r="I75" s="186">
        <v>5000</v>
      </c>
      <c r="J75" s="186" t="s">
        <v>321</v>
      </c>
      <c r="K75" s="186" t="s">
        <v>340</v>
      </c>
      <c r="L75" s="186" t="s">
        <v>811</v>
      </c>
      <c r="M75" s="186" t="s">
        <v>812</v>
      </c>
      <c r="N75" s="186" t="s">
        <v>325</v>
      </c>
      <c r="O75" s="186" t="s">
        <v>814</v>
      </c>
      <c r="P75" s="186"/>
      <c r="Q75" s="186"/>
      <c r="R75" s="186"/>
    </row>
    <row r="76" spans="1:18" x14ac:dyDescent="0.25">
      <c r="A76" s="186" t="s">
        <v>614</v>
      </c>
      <c r="B76" s="637">
        <v>0.55930000000000002</v>
      </c>
      <c r="C76" s="186"/>
      <c r="D76" s="186" t="s">
        <v>319</v>
      </c>
      <c r="E76" s="186" t="s">
        <v>319</v>
      </c>
      <c r="F76" s="186" t="s">
        <v>319</v>
      </c>
      <c r="G76" s="186" t="s">
        <v>614</v>
      </c>
      <c r="H76" s="186" t="s">
        <v>339</v>
      </c>
      <c r="I76" s="186">
        <v>5000</v>
      </c>
      <c r="J76" s="186" t="s">
        <v>321</v>
      </c>
      <c r="K76" s="186" t="s">
        <v>340</v>
      </c>
      <c r="L76" s="186" t="s">
        <v>811</v>
      </c>
      <c r="M76" s="186" t="s">
        <v>812</v>
      </c>
      <c r="N76" s="186" t="s">
        <v>325</v>
      </c>
      <c r="O76" s="186" t="s">
        <v>815</v>
      </c>
      <c r="P76" s="186"/>
      <c r="Q76" s="186"/>
      <c r="R76" s="186"/>
    </row>
    <row r="77" spans="1:18" x14ac:dyDescent="0.25">
      <c r="A77" s="186" t="s">
        <v>614</v>
      </c>
      <c r="B77" s="637">
        <v>0.57740000000000002</v>
      </c>
      <c r="C77" s="186"/>
      <c r="D77" s="186" t="s">
        <v>319</v>
      </c>
      <c r="E77" s="186" t="s">
        <v>319</v>
      </c>
      <c r="F77" s="186" t="s">
        <v>319</v>
      </c>
      <c r="G77" s="186" t="s">
        <v>614</v>
      </c>
      <c r="H77" s="186" t="s">
        <v>339</v>
      </c>
      <c r="I77" s="186">
        <v>5000</v>
      </c>
      <c r="J77" s="186" t="s">
        <v>321</v>
      </c>
      <c r="K77" s="186" t="s">
        <v>340</v>
      </c>
      <c r="L77" s="186" t="s">
        <v>811</v>
      </c>
      <c r="M77" s="186" t="s">
        <v>812</v>
      </c>
      <c r="N77" s="186" t="s">
        <v>325</v>
      </c>
      <c r="O77" s="186" t="s">
        <v>816</v>
      </c>
      <c r="P77" s="186"/>
      <c r="Q77" s="186"/>
      <c r="R77" s="186"/>
    </row>
    <row r="78" spans="1:18" x14ac:dyDescent="0.25">
      <c r="A78" s="186" t="s">
        <v>614</v>
      </c>
      <c r="B78" s="637">
        <v>0.58909999999999996</v>
      </c>
      <c r="C78" s="186"/>
      <c r="D78" s="186" t="s">
        <v>319</v>
      </c>
      <c r="E78" s="186" t="s">
        <v>319</v>
      </c>
      <c r="F78" s="186" t="s">
        <v>319</v>
      </c>
      <c r="G78" s="186" t="s">
        <v>614</v>
      </c>
      <c r="H78" s="186" t="s">
        <v>339</v>
      </c>
      <c r="I78" s="186">
        <v>5000</v>
      </c>
      <c r="J78" s="186" t="s">
        <v>321</v>
      </c>
      <c r="K78" s="186" t="s">
        <v>340</v>
      </c>
      <c r="L78" s="186" t="s">
        <v>811</v>
      </c>
      <c r="M78" s="186" t="s">
        <v>812</v>
      </c>
      <c r="N78" s="186" t="s">
        <v>325</v>
      </c>
      <c r="O78" s="186" t="s">
        <v>817</v>
      </c>
      <c r="P78" s="186"/>
      <c r="Q78" s="186"/>
      <c r="R78" s="186"/>
    </row>
    <row r="79" spans="1:18" x14ac:dyDescent="0.25">
      <c r="A79" s="186" t="s">
        <v>614</v>
      </c>
      <c r="B79" s="637">
        <v>0.69340000000000002</v>
      </c>
      <c r="C79" s="186"/>
      <c r="D79" s="186" t="s">
        <v>319</v>
      </c>
      <c r="E79" s="186" t="s">
        <v>319</v>
      </c>
      <c r="F79" s="186" t="s">
        <v>319</v>
      </c>
      <c r="G79" s="186" t="s">
        <v>614</v>
      </c>
      <c r="H79" s="186" t="s">
        <v>339</v>
      </c>
      <c r="I79" s="186">
        <v>5000</v>
      </c>
      <c r="J79" s="186" t="s">
        <v>321</v>
      </c>
      <c r="K79" s="186" t="s">
        <v>340</v>
      </c>
      <c r="L79" s="186" t="s">
        <v>811</v>
      </c>
      <c r="M79" s="186" t="s">
        <v>812</v>
      </c>
      <c r="N79" s="186" t="s">
        <v>325</v>
      </c>
      <c r="O79" s="186" t="s">
        <v>818</v>
      </c>
      <c r="P79" s="186"/>
      <c r="Q79" s="186"/>
      <c r="R79" s="186"/>
    </row>
    <row r="80" spans="1:18" x14ac:dyDescent="0.25">
      <c r="A80" s="186" t="s">
        <v>614</v>
      </c>
      <c r="B80" s="637">
        <v>0.77969999999999995</v>
      </c>
      <c r="C80" s="186"/>
      <c r="D80" s="186" t="s">
        <v>319</v>
      </c>
      <c r="E80" s="186" t="s">
        <v>319</v>
      </c>
      <c r="F80" s="186" t="s">
        <v>319</v>
      </c>
      <c r="G80" s="186" t="s">
        <v>614</v>
      </c>
      <c r="H80" s="186" t="s">
        <v>339</v>
      </c>
      <c r="I80" s="186">
        <v>5000</v>
      </c>
      <c r="J80" s="186" t="s">
        <v>321</v>
      </c>
      <c r="K80" s="186" t="s">
        <v>340</v>
      </c>
      <c r="L80" s="186" t="s">
        <v>811</v>
      </c>
      <c r="M80" s="186" t="s">
        <v>812</v>
      </c>
      <c r="N80" s="186" t="s">
        <v>325</v>
      </c>
      <c r="O80" s="186" t="s">
        <v>819</v>
      </c>
      <c r="P80" s="186"/>
      <c r="Q80" s="186"/>
      <c r="R80" s="186"/>
    </row>
    <row r="81" spans="1:18" x14ac:dyDescent="0.25">
      <c r="A81" s="186" t="s">
        <v>614</v>
      </c>
      <c r="B81" s="637">
        <v>0.84019999999999995</v>
      </c>
      <c r="C81" s="186"/>
      <c r="D81" s="186" t="s">
        <v>319</v>
      </c>
      <c r="E81" s="186" t="s">
        <v>319</v>
      </c>
      <c r="F81" s="186" t="s">
        <v>319</v>
      </c>
      <c r="G81" s="186" t="s">
        <v>614</v>
      </c>
      <c r="H81" s="186" t="s">
        <v>339</v>
      </c>
      <c r="I81" s="186">
        <v>5000</v>
      </c>
      <c r="J81" s="186" t="s">
        <v>321</v>
      </c>
      <c r="K81" s="186" t="s">
        <v>340</v>
      </c>
      <c r="L81" s="186" t="s">
        <v>811</v>
      </c>
      <c r="M81" s="186" t="s">
        <v>812</v>
      </c>
      <c r="N81" s="186" t="s">
        <v>325</v>
      </c>
      <c r="O81" s="186" t="s">
        <v>820</v>
      </c>
      <c r="P81" s="186"/>
      <c r="Q81" s="186"/>
      <c r="R81" s="186"/>
    </row>
    <row r="82" spans="1:18" x14ac:dyDescent="0.25">
      <c r="A82" s="186" t="s">
        <v>614</v>
      </c>
      <c r="B82" s="637">
        <v>0.87250000000000005</v>
      </c>
      <c r="C82" s="186"/>
      <c r="D82" s="186" t="s">
        <v>319</v>
      </c>
      <c r="E82" s="186" t="s">
        <v>319</v>
      </c>
      <c r="F82" s="186" t="s">
        <v>319</v>
      </c>
      <c r="G82" s="186" t="s">
        <v>614</v>
      </c>
      <c r="H82" s="186" t="s">
        <v>339</v>
      </c>
      <c r="I82" s="186">
        <v>5000</v>
      </c>
      <c r="J82" s="186" t="s">
        <v>321</v>
      </c>
      <c r="K82" s="186" t="s">
        <v>340</v>
      </c>
      <c r="L82" s="186" t="s">
        <v>811</v>
      </c>
      <c r="M82" s="186" t="s">
        <v>812</v>
      </c>
      <c r="N82" s="186" t="s">
        <v>325</v>
      </c>
      <c r="O82" s="186" t="s">
        <v>821</v>
      </c>
      <c r="P82" s="186"/>
      <c r="Q82" s="186"/>
      <c r="R82" s="186"/>
    </row>
    <row r="83" spans="1:18" x14ac:dyDescent="0.25">
      <c r="A83" s="186" t="s">
        <v>614</v>
      </c>
      <c r="B83" s="637">
        <v>0.52049999999999996</v>
      </c>
      <c r="C83" s="186"/>
      <c r="D83" s="186" t="s">
        <v>319</v>
      </c>
      <c r="E83" s="186" t="s">
        <v>319</v>
      </c>
      <c r="F83" s="186" t="s">
        <v>319</v>
      </c>
      <c r="G83" s="186" t="s">
        <v>614</v>
      </c>
      <c r="H83" s="186" t="s">
        <v>339</v>
      </c>
      <c r="I83" s="186">
        <v>10000</v>
      </c>
      <c r="J83" s="186" t="s">
        <v>321</v>
      </c>
      <c r="K83" s="186" t="s">
        <v>340</v>
      </c>
      <c r="L83" s="186" t="s">
        <v>811</v>
      </c>
      <c r="M83" s="186" t="s">
        <v>812</v>
      </c>
      <c r="N83" s="186" t="s">
        <v>325</v>
      </c>
      <c r="O83" s="186" t="s">
        <v>814</v>
      </c>
      <c r="P83" s="186"/>
      <c r="Q83" s="186"/>
      <c r="R83" s="186"/>
    </row>
    <row r="84" spans="1:18" x14ac:dyDescent="0.25">
      <c r="A84" s="186" t="s">
        <v>614</v>
      </c>
      <c r="B84" s="637">
        <v>0.52049999999999996</v>
      </c>
      <c r="C84" s="186"/>
      <c r="D84" s="186" t="s">
        <v>319</v>
      </c>
      <c r="E84" s="186" t="s">
        <v>319</v>
      </c>
      <c r="F84" s="186" t="s">
        <v>319</v>
      </c>
      <c r="G84" s="186" t="s">
        <v>614</v>
      </c>
      <c r="H84" s="186" t="s">
        <v>339</v>
      </c>
      <c r="I84" s="186">
        <v>10000</v>
      </c>
      <c r="J84" s="186" t="s">
        <v>321</v>
      </c>
      <c r="K84" s="186" t="s">
        <v>340</v>
      </c>
      <c r="L84" s="186" t="s">
        <v>811</v>
      </c>
      <c r="M84" s="186" t="s">
        <v>812</v>
      </c>
      <c r="N84" s="186" t="s">
        <v>325</v>
      </c>
      <c r="O84" s="186" t="s">
        <v>815</v>
      </c>
      <c r="P84" s="186"/>
      <c r="Q84" s="186"/>
      <c r="R84" s="186"/>
    </row>
    <row r="85" spans="1:18" x14ac:dyDescent="0.25">
      <c r="A85" s="186" t="s">
        <v>614</v>
      </c>
      <c r="B85" s="637">
        <v>0.52049999999999996</v>
      </c>
      <c r="C85" s="186"/>
      <c r="D85" s="186" t="s">
        <v>319</v>
      </c>
      <c r="E85" s="186" t="s">
        <v>319</v>
      </c>
      <c r="F85" s="186" t="s">
        <v>319</v>
      </c>
      <c r="G85" s="186" t="s">
        <v>614</v>
      </c>
      <c r="H85" s="186" t="s">
        <v>339</v>
      </c>
      <c r="I85" s="186">
        <v>10000</v>
      </c>
      <c r="J85" s="186" t="s">
        <v>321</v>
      </c>
      <c r="K85" s="186" t="s">
        <v>340</v>
      </c>
      <c r="L85" s="186" t="s">
        <v>811</v>
      </c>
      <c r="M85" s="186" t="s">
        <v>812</v>
      </c>
      <c r="N85" s="186" t="s">
        <v>325</v>
      </c>
      <c r="O85" s="186" t="s">
        <v>816</v>
      </c>
      <c r="P85" s="186"/>
      <c r="Q85" s="186"/>
      <c r="R85" s="186"/>
    </row>
    <row r="86" spans="1:18" x14ac:dyDescent="0.25">
      <c r="A86" s="186" t="s">
        <v>614</v>
      </c>
      <c r="B86" s="637">
        <v>0.52049999999999996</v>
      </c>
      <c r="C86" s="186"/>
      <c r="D86" s="186" t="s">
        <v>319</v>
      </c>
      <c r="E86" s="186" t="s">
        <v>319</v>
      </c>
      <c r="F86" s="186" t="s">
        <v>319</v>
      </c>
      <c r="G86" s="186" t="s">
        <v>614</v>
      </c>
      <c r="H86" s="186" t="s">
        <v>339</v>
      </c>
      <c r="I86" s="186">
        <v>10000</v>
      </c>
      <c r="J86" s="186" t="s">
        <v>321</v>
      </c>
      <c r="K86" s="186" t="s">
        <v>340</v>
      </c>
      <c r="L86" s="186" t="s">
        <v>811</v>
      </c>
      <c r="M86" s="186" t="s">
        <v>812</v>
      </c>
      <c r="N86" s="186" t="s">
        <v>325</v>
      </c>
      <c r="O86" s="186" t="s">
        <v>817</v>
      </c>
      <c r="P86" s="186"/>
      <c r="Q86" s="186"/>
      <c r="R86" s="186"/>
    </row>
    <row r="87" spans="1:18" x14ac:dyDescent="0.25">
      <c r="A87" s="186" t="s">
        <v>614</v>
      </c>
      <c r="B87" s="637">
        <v>0.55979999999999996</v>
      </c>
      <c r="C87" s="186"/>
      <c r="D87" s="186" t="s">
        <v>319</v>
      </c>
      <c r="E87" s="186" t="s">
        <v>319</v>
      </c>
      <c r="F87" s="186" t="s">
        <v>319</v>
      </c>
      <c r="G87" s="186" t="s">
        <v>614</v>
      </c>
      <c r="H87" s="186" t="s">
        <v>339</v>
      </c>
      <c r="I87" s="186">
        <v>10000</v>
      </c>
      <c r="J87" s="186" t="s">
        <v>321</v>
      </c>
      <c r="K87" s="186" t="s">
        <v>340</v>
      </c>
      <c r="L87" s="186" t="s">
        <v>811</v>
      </c>
      <c r="M87" s="186" t="s">
        <v>812</v>
      </c>
      <c r="N87" s="186" t="s">
        <v>325</v>
      </c>
      <c r="O87" s="186" t="s">
        <v>818</v>
      </c>
      <c r="P87" s="186"/>
      <c r="Q87" s="186"/>
      <c r="R87" s="186"/>
    </row>
    <row r="88" spans="1:18" x14ac:dyDescent="0.25">
      <c r="A88" s="186" t="s">
        <v>614</v>
      </c>
      <c r="B88" s="637">
        <v>0.65259999999999996</v>
      </c>
      <c r="C88" s="186"/>
      <c r="D88" s="186" t="s">
        <v>319</v>
      </c>
      <c r="E88" s="186" t="s">
        <v>319</v>
      </c>
      <c r="F88" s="186" t="s">
        <v>319</v>
      </c>
      <c r="G88" s="186" t="s">
        <v>614</v>
      </c>
      <c r="H88" s="186" t="s">
        <v>339</v>
      </c>
      <c r="I88" s="186">
        <v>10000</v>
      </c>
      <c r="J88" s="186" t="s">
        <v>321</v>
      </c>
      <c r="K88" s="186" t="s">
        <v>340</v>
      </c>
      <c r="L88" s="186" t="s">
        <v>811</v>
      </c>
      <c r="M88" s="186" t="s">
        <v>812</v>
      </c>
      <c r="N88" s="186" t="s">
        <v>325</v>
      </c>
      <c r="O88" s="186" t="s">
        <v>819</v>
      </c>
      <c r="P88" s="186"/>
      <c r="Q88" s="186"/>
      <c r="R88" s="186"/>
    </row>
    <row r="89" spans="1:18" x14ac:dyDescent="0.25">
      <c r="A89" s="186" t="s">
        <v>614</v>
      </c>
      <c r="B89" s="637">
        <v>0.72640000000000005</v>
      </c>
      <c r="C89" s="186"/>
      <c r="D89" s="186" t="s">
        <v>319</v>
      </c>
      <c r="E89" s="186" t="s">
        <v>319</v>
      </c>
      <c r="F89" s="186" t="s">
        <v>319</v>
      </c>
      <c r="G89" s="186" t="s">
        <v>614</v>
      </c>
      <c r="H89" s="186" t="s">
        <v>339</v>
      </c>
      <c r="I89" s="186">
        <v>10000</v>
      </c>
      <c r="J89" s="186" t="s">
        <v>321</v>
      </c>
      <c r="K89" s="186" t="s">
        <v>340</v>
      </c>
      <c r="L89" s="186" t="s">
        <v>811</v>
      </c>
      <c r="M89" s="186" t="s">
        <v>812</v>
      </c>
      <c r="N89" s="186" t="s">
        <v>325</v>
      </c>
      <c r="O89" s="186" t="s">
        <v>820</v>
      </c>
      <c r="P89" s="186"/>
      <c r="Q89" s="186"/>
      <c r="R89" s="186"/>
    </row>
    <row r="90" spans="1:18" x14ac:dyDescent="0.25">
      <c r="A90" s="186" t="s">
        <v>614</v>
      </c>
      <c r="B90" s="637">
        <v>0.79</v>
      </c>
      <c r="C90" s="186"/>
      <c r="D90" s="186" t="s">
        <v>319</v>
      </c>
      <c r="E90" s="186" t="s">
        <v>319</v>
      </c>
      <c r="F90" s="186" t="s">
        <v>319</v>
      </c>
      <c r="G90" s="186" t="s">
        <v>614</v>
      </c>
      <c r="H90" s="186" t="s">
        <v>339</v>
      </c>
      <c r="I90" s="186">
        <v>10000</v>
      </c>
      <c r="J90" s="186" t="s">
        <v>321</v>
      </c>
      <c r="K90" s="186" t="s">
        <v>340</v>
      </c>
      <c r="L90" s="186" t="s">
        <v>811</v>
      </c>
      <c r="M90" s="186" t="s">
        <v>812</v>
      </c>
      <c r="N90" s="186" t="s">
        <v>325</v>
      </c>
      <c r="O90" s="186" t="s">
        <v>821</v>
      </c>
      <c r="P90" s="186"/>
      <c r="Q90" s="186"/>
      <c r="R90" s="186"/>
    </row>
    <row r="91" spans="1:18" x14ac:dyDescent="0.25">
      <c r="A91" s="186" t="s">
        <v>614</v>
      </c>
      <c r="B91" s="637">
        <v>0.4773</v>
      </c>
      <c r="C91" s="186"/>
      <c r="D91" s="186" t="s">
        <v>319</v>
      </c>
      <c r="E91" s="186" t="s">
        <v>319</v>
      </c>
      <c r="F91" s="186" t="s">
        <v>319</v>
      </c>
      <c r="G91" s="186" t="s">
        <v>614</v>
      </c>
      <c r="H91" s="186" t="s">
        <v>339</v>
      </c>
      <c r="I91" s="186">
        <v>20000</v>
      </c>
      <c r="J91" s="186" t="s">
        <v>321</v>
      </c>
      <c r="K91" s="186" t="s">
        <v>340</v>
      </c>
      <c r="L91" s="186" t="s">
        <v>811</v>
      </c>
      <c r="M91" s="186" t="s">
        <v>812</v>
      </c>
      <c r="N91" s="186" t="s">
        <v>325</v>
      </c>
      <c r="O91" s="186" t="s">
        <v>815</v>
      </c>
      <c r="P91" s="186"/>
      <c r="Q91" s="186"/>
      <c r="R91" s="186"/>
    </row>
    <row r="92" spans="1:18" x14ac:dyDescent="0.25">
      <c r="A92" s="186" t="s">
        <v>614</v>
      </c>
      <c r="B92" s="637">
        <v>0.4773</v>
      </c>
      <c r="C92" s="186"/>
      <c r="D92" s="186" t="s">
        <v>319</v>
      </c>
      <c r="E92" s="186" t="s">
        <v>319</v>
      </c>
      <c r="F92" s="186" t="s">
        <v>319</v>
      </c>
      <c r="G92" s="186" t="s">
        <v>614</v>
      </c>
      <c r="H92" s="186" t="s">
        <v>339</v>
      </c>
      <c r="I92" s="186">
        <v>20000</v>
      </c>
      <c r="J92" s="186" t="s">
        <v>321</v>
      </c>
      <c r="K92" s="186" t="s">
        <v>340</v>
      </c>
      <c r="L92" s="186" t="s">
        <v>811</v>
      </c>
      <c r="M92" s="186" t="s">
        <v>812</v>
      </c>
      <c r="N92" s="186" t="s">
        <v>325</v>
      </c>
      <c r="O92" s="186" t="s">
        <v>816</v>
      </c>
      <c r="P92" s="186"/>
      <c r="Q92" s="186"/>
      <c r="R92" s="186"/>
    </row>
    <row r="93" spans="1:18" x14ac:dyDescent="0.25">
      <c r="A93" s="186" t="s">
        <v>614</v>
      </c>
      <c r="B93" s="637">
        <v>0.4773</v>
      </c>
      <c r="C93" s="186"/>
      <c r="D93" s="186" t="s">
        <v>319</v>
      </c>
      <c r="E93" s="186" t="s">
        <v>319</v>
      </c>
      <c r="F93" s="186" t="s">
        <v>319</v>
      </c>
      <c r="G93" s="186" t="s">
        <v>614</v>
      </c>
      <c r="H93" s="186" t="s">
        <v>339</v>
      </c>
      <c r="I93" s="186">
        <v>20000</v>
      </c>
      <c r="J93" s="186" t="s">
        <v>321</v>
      </c>
      <c r="K93" s="186" t="s">
        <v>340</v>
      </c>
      <c r="L93" s="186" t="s">
        <v>811</v>
      </c>
      <c r="M93" s="186" t="s">
        <v>812</v>
      </c>
      <c r="N93" s="186" t="s">
        <v>325</v>
      </c>
      <c r="O93" s="186" t="s">
        <v>817</v>
      </c>
      <c r="P93" s="186"/>
      <c r="Q93" s="186"/>
      <c r="R93" s="186"/>
    </row>
    <row r="94" spans="1:18" x14ac:dyDescent="0.25">
      <c r="A94" s="186" t="s">
        <v>614</v>
      </c>
      <c r="B94" s="637">
        <v>0.51</v>
      </c>
      <c r="C94" s="186"/>
      <c r="D94" s="186" t="s">
        <v>319</v>
      </c>
      <c r="E94" s="186" t="s">
        <v>319</v>
      </c>
      <c r="F94" s="186" t="s">
        <v>319</v>
      </c>
      <c r="G94" s="186" t="s">
        <v>614</v>
      </c>
      <c r="H94" s="186" t="s">
        <v>339</v>
      </c>
      <c r="I94" s="186">
        <v>20000</v>
      </c>
      <c r="J94" s="186" t="s">
        <v>321</v>
      </c>
      <c r="K94" s="186" t="s">
        <v>340</v>
      </c>
      <c r="L94" s="186" t="s">
        <v>811</v>
      </c>
      <c r="M94" s="186" t="s">
        <v>812</v>
      </c>
      <c r="N94" s="186" t="s">
        <v>325</v>
      </c>
      <c r="O94" s="186" t="s">
        <v>818</v>
      </c>
      <c r="P94" s="186"/>
      <c r="Q94" s="186"/>
      <c r="R94" s="186"/>
    </row>
    <row r="95" spans="1:18" x14ac:dyDescent="0.25">
      <c r="A95" s="186" t="s">
        <v>614</v>
      </c>
      <c r="B95" s="637">
        <v>0.52910000000000001</v>
      </c>
      <c r="C95" s="186"/>
      <c r="D95" s="186" t="s">
        <v>319</v>
      </c>
      <c r="E95" s="186" t="s">
        <v>319</v>
      </c>
      <c r="F95" s="186" t="s">
        <v>319</v>
      </c>
      <c r="G95" s="186" t="s">
        <v>614</v>
      </c>
      <c r="H95" s="186" t="s">
        <v>339</v>
      </c>
      <c r="I95" s="186">
        <v>20000</v>
      </c>
      <c r="J95" s="186" t="s">
        <v>321</v>
      </c>
      <c r="K95" s="186" t="s">
        <v>340</v>
      </c>
      <c r="L95" s="186" t="s">
        <v>811</v>
      </c>
      <c r="M95" s="186" t="s">
        <v>812</v>
      </c>
      <c r="N95" s="186" t="s">
        <v>325</v>
      </c>
      <c r="O95" s="186" t="s">
        <v>819</v>
      </c>
      <c r="P95" s="186"/>
      <c r="Q95" s="186"/>
      <c r="R95" s="186"/>
    </row>
    <row r="96" spans="1:18" x14ac:dyDescent="0.25">
      <c r="A96" s="186" t="s">
        <v>614</v>
      </c>
      <c r="B96" s="637">
        <v>0.58440000000000003</v>
      </c>
      <c r="C96" s="186"/>
      <c r="D96" s="186" t="s">
        <v>319</v>
      </c>
      <c r="E96" s="186" t="s">
        <v>319</v>
      </c>
      <c r="F96" s="186" t="s">
        <v>319</v>
      </c>
      <c r="G96" s="186" t="s">
        <v>614</v>
      </c>
      <c r="H96" s="186" t="s">
        <v>339</v>
      </c>
      <c r="I96" s="186">
        <v>20000</v>
      </c>
      <c r="J96" s="186" t="s">
        <v>321</v>
      </c>
      <c r="K96" s="186" t="s">
        <v>340</v>
      </c>
      <c r="L96" s="186" t="s">
        <v>811</v>
      </c>
      <c r="M96" s="186" t="s">
        <v>812</v>
      </c>
      <c r="N96" s="186" t="s">
        <v>325</v>
      </c>
      <c r="O96" s="186" t="s">
        <v>820</v>
      </c>
      <c r="P96" s="186"/>
      <c r="Q96" s="186"/>
      <c r="R96" s="186"/>
    </row>
    <row r="97" spans="1:18" x14ac:dyDescent="0.25">
      <c r="A97" s="186" t="s">
        <v>614</v>
      </c>
      <c r="B97" s="637">
        <v>0.64690000000000003</v>
      </c>
      <c r="C97" s="186"/>
      <c r="D97" s="186" t="s">
        <v>319</v>
      </c>
      <c r="E97" s="186" t="s">
        <v>319</v>
      </c>
      <c r="F97" s="186" t="s">
        <v>319</v>
      </c>
      <c r="G97" s="186" t="s">
        <v>614</v>
      </c>
      <c r="H97" s="186" t="s">
        <v>339</v>
      </c>
      <c r="I97" s="186">
        <v>20000</v>
      </c>
      <c r="J97" s="186" t="s">
        <v>321</v>
      </c>
      <c r="K97" s="186" t="s">
        <v>340</v>
      </c>
      <c r="L97" s="186" t="s">
        <v>811</v>
      </c>
      <c r="M97" s="186" t="s">
        <v>812</v>
      </c>
      <c r="N97" s="186" t="s">
        <v>325</v>
      </c>
      <c r="O97" s="186" t="s">
        <v>821</v>
      </c>
      <c r="P97" s="186"/>
      <c r="Q97" s="186"/>
      <c r="R97" s="186"/>
    </row>
    <row r="98" spans="1:18" x14ac:dyDescent="0.25">
      <c r="A98" s="186" t="s">
        <v>614</v>
      </c>
      <c r="B98" s="637">
        <v>0.43130000000000002</v>
      </c>
      <c r="C98" s="186"/>
      <c r="D98" s="186" t="s">
        <v>319</v>
      </c>
      <c r="E98" s="186" t="s">
        <v>319</v>
      </c>
      <c r="F98" s="186" t="s">
        <v>319</v>
      </c>
      <c r="G98" s="186" t="s">
        <v>614</v>
      </c>
      <c r="H98" s="186" t="s">
        <v>339</v>
      </c>
      <c r="I98" s="186">
        <v>50000</v>
      </c>
      <c r="J98" s="186" t="s">
        <v>321</v>
      </c>
      <c r="K98" s="186" t="s">
        <v>340</v>
      </c>
      <c r="L98" s="186" t="s">
        <v>811</v>
      </c>
      <c r="M98" s="186" t="s">
        <v>812</v>
      </c>
      <c r="N98" s="186" t="s">
        <v>325</v>
      </c>
      <c r="O98" s="186" t="s">
        <v>818</v>
      </c>
      <c r="P98" s="186"/>
      <c r="Q98" s="186"/>
      <c r="R98" s="186"/>
    </row>
    <row r="99" spans="1:18" x14ac:dyDescent="0.25">
      <c r="A99" s="186" t="s">
        <v>614</v>
      </c>
      <c r="B99" s="637">
        <v>0.43130000000000002</v>
      </c>
      <c r="C99" s="186"/>
      <c r="D99" s="186" t="s">
        <v>319</v>
      </c>
      <c r="E99" s="186" t="s">
        <v>319</v>
      </c>
      <c r="F99" s="186" t="s">
        <v>319</v>
      </c>
      <c r="G99" s="186" t="s">
        <v>614</v>
      </c>
      <c r="H99" s="186" t="s">
        <v>339</v>
      </c>
      <c r="I99" s="186">
        <v>50000</v>
      </c>
      <c r="J99" s="186" t="s">
        <v>321</v>
      </c>
      <c r="K99" s="186" t="s">
        <v>340</v>
      </c>
      <c r="L99" s="186" t="s">
        <v>811</v>
      </c>
      <c r="M99" s="186" t="s">
        <v>812</v>
      </c>
      <c r="N99" s="186" t="s">
        <v>325</v>
      </c>
      <c r="O99" s="186" t="s">
        <v>819</v>
      </c>
      <c r="P99" s="186"/>
      <c r="Q99" s="186"/>
      <c r="R99" s="186"/>
    </row>
    <row r="100" spans="1:18" x14ac:dyDescent="0.25">
      <c r="A100" s="186" t="s">
        <v>614</v>
      </c>
      <c r="B100" s="637">
        <v>0.46400000000000002</v>
      </c>
      <c r="C100" s="186"/>
      <c r="D100" s="186" t="s">
        <v>319</v>
      </c>
      <c r="E100" s="186" t="s">
        <v>319</v>
      </c>
      <c r="F100" s="186" t="s">
        <v>319</v>
      </c>
      <c r="G100" s="186" t="s">
        <v>614</v>
      </c>
      <c r="H100" s="186" t="s">
        <v>339</v>
      </c>
      <c r="I100" s="186">
        <v>50000</v>
      </c>
      <c r="J100" s="186" t="s">
        <v>321</v>
      </c>
      <c r="K100" s="186" t="s">
        <v>340</v>
      </c>
      <c r="L100" s="186" t="s">
        <v>811</v>
      </c>
      <c r="M100" s="186" t="s">
        <v>812</v>
      </c>
      <c r="N100" s="186" t="s">
        <v>325</v>
      </c>
      <c r="O100" s="186" t="s">
        <v>820</v>
      </c>
      <c r="P100" s="186"/>
      <c r="Q100" s="186"/>
      <c r="R100" s="186"/>
    </row>
    <row r="101" spans="1:18" x14ac:dyDescent="0.25">
      <c r="A101" s="186" t="s">
        <v>614</v>
      </c>
      <c r="B101" s="637">
        <v>0.47199999999999998</v>
      </c>
      <c r="C101" s="186"/>
      <c r="D101" s="186" t="s">
        <v>319</v>
      </c>
      <c r="E101" s="186" t="s">
        <v>319</v>
      </c>
      <c r="F101" s="186" t="s">
        <v>319</v>
      </c>
      <c r="G101" s="186" t="s">
        <v>614</v>
      </c>
      <c r="H101" s="186" t="s">
        <v>339</v>
      </c>
      <c r="I101" s="186">
        <v>50000</v>
      </c>
      <c r="J101" s="186" t="s">
        <v>321</v>
      </c>
      <c r="K101" s="186" t="s">
        <v>340</v>
      </c>
      <c r="L101" s="186" t="s">
        <v>811</v>
      </c>
      <c r="M101" s="186" t="s">
        <v>812</v>
      </c>
      <c r="N101" s="186" t="s">
        <v>325</v>
      </c>
      <c r="O101" s="186" t="s">
        <v>821</v>
      </c>
      <c r="P101" s="186"/>
      <c r="Q101" s="186"/>
      <c r="R101" s="186"/>
    </row>
    <row r="102" spans="1:18" x14ac:dyDescent="0.25">
      <c r="A102" s="186" t="s">
        <v>614</v>
      </c>
      <c r="B102" s="637">
        <v>0.35389999999999999</v>
      </c>
      <c r="C102" s="186"/>
      <c r="D102" s="186" t="s">
        <v>319</v>
      </c>
      <c r="E102" s="186" t="s">
        <v>319</v>
      </c>
      <c r="F102" s="186" t="s">
        <v>319</v>
      </c>
      <c r="G102" s="186" t="s">
        <v>614</v>
      </c>
      <c r="H102" s="186" t="s">
        <v>339</v>
      </c>
      <c r="I102" s="186">
        <v>100000</v>
      </c>
      <c r="J102" s="186" t="s">
        <v>321</v>
      </c>
      <c r="K102" s="186" t="s">
        <v>340</v>
      </c>
      <c r="L102" s="186" t="s">
        <v>811</v>
      </c>
      <c r="M102" s="186" t="s">
        <v>812</v>
      </c>
      <c r="N102" s="186" t="s">
        <v>325</v>
      </c>
      <c r="O102" s="186" t="s">
        <v>819</v>
      </c>
      <c r="P102" s="186"/>
      <c r="Q102" s="186"/>
      <c r="R102" s="186"/>
    </row>
    <row r="103" spans="1:18" x14ac:dyDescent="0.25">
      <c r="A103" s="186" t="s">
        <v>614</v>
      </c>
      <c r="B103" s="637">
        <v>0.38650000000000001</v>
      </c>
      <c r="C103" s="186"/>
      <c r="D103" s="186" t="s">
        <v>319</v>
      </c>
      <c r="E103" s="186" t="s">
        <v>319</v>
      </c>
      <c r="F103" s="186" t="s">
        <v>319</v>
      </c>
      <c r="G103" s="186" t="s">
        <v>614</v>
      </c>
      <c r="H103" s="186" t="s">
        <v>339</v>
      </c>
      <c r="I103" s="186">
        <v>100000</v>
      </c>
      <c r="J103" s="186" t="s">
        <v>321</v>
      </c>
      <c r="K103" s="186" t="s">
        <v>340</v>
      </c>
      <c r="L103" s="186" t="s">
        <v>811</v>
      </c>
      <c r="M103" s="186" t="s">
        <v>812</v>
      </c>
      <c r="N103" s="186" t="s">
        <v>325</v>
      </c>
      <c r="O103" s="186" t="s">
        <v>820</v>
      </c>
      <c r="P103" s="186"/>
      <c r="Q103" s="186"/>
      <c r="R103" s="186"/>
    </row>
    <row r="104" spans="1:18" x14ac:dyDescent="0.25">
      <c r="A104" s="186" t="s">
        <v>614</v>
      </c>
      <c r="B104" s="637">
        <v>0.39329999999999998</v>
      </c>
      <c r="C104" s="186"/>
      <c r="D104" s="186" t="s">
        <v>319</v>
      </c>
      <c r="E104" s="186" t="s">
        <v>319</v>
      </c>
      <c r="F104" s="186" t="s">
        <v>319</v>
      </c>
      <c r="G104" s="186" t="s">
        <v>614</v>
      </c>
      <c r="H104" s="186" t="s">
        <v>339</v>
      </c>
      <c r="I104" s="186">
        <v>100000</v>
      </c>
      <c r="J104" s="186" t="s">
        <v>321</v>
      </c>
      <c r="K104" s="186" t="s">
        <v>340</v>
      </c>
      <c r="L104" s="186" t="s">
        <v>811</v>
      </c>
      <c r="M104" s="186" t="s">
        <v>812</v>
      </c>
      <c r="N104" s="186" t="s">
        <v>325</v>
      </c>
      <c r="O104" s="186" t="s">
        <v>821</v>
      </c>
      <c r="P104" s="186"/>
      <c r="Q104" s="186"/>
      <c r="R104" s="186"/>
    </row>
    <row r="105" spans="1:18" x14ac:dyDescent="0.25">
      <c r="A105" s="186" t="s">
        <v>822</v>
      </c>
      <c r="B105" s="400">
        <v>1</v>
      </c>
      <c r="C105" s="186"/>
      <c r="D105" s="186" t="s">
        <v>319</v>
      </c>
      <c r="E105" s="186" t="s">
        <v>319</v>
      </c>
      <c r="F105" s="186" t="s">
        <v>319</v>
      </c>
      <c r="G105" s="186" t="s">
        <v>823</v>
      </c>
      <c r="H105" s="186" t="s">
        <v>339</v>
      </c>
      <c r="I105" s="186" t="s">
        <v>320</v>
      </c>
      <c r="J105" s="186" t="s">
        <v>614</v>
      </c>
      <c r="K105" s="186" t="s">
        <v>339</v>
      </c>
      <c r="L105" s="186" t="s">
        <v>824</v>
      </c>
      <c r="M105" s="186" t="s">
        <v>812</v>
      </c>
      <c r="N105" s="186" t="s">
        <v>325</v>
      </c>
      <c r="O105" s="186" t="s">
        <v>825</v>
      </c>
      <c r="P105" s="186"/>
      <c r="Q105" s="186"/>
      <c r="R105" s="186"/>
    </row>
    <row r="106" spans="1:18" x14ac:dyDescent="0.25">
      <c r="A106" s="186" t="s">
        <v>822</v>
      </c>
      <c r="B106" s="400">
        <v>1</v>
      </c>
      <c r="C106" s="186"/>
      <c r="D106" s="186" t="s">
        <v>319</v>
      </c>
      <c r="E106" s="186" t="s">
        <v>319</v>
      </c>
      <c r="F106" s="186" t="s">
        <v>319</v>
      </c>
      <c r="G106" s="186" t="s">
        <v>823</v>
      </c>
      <c r="H106" s="186" t="s">
        <v>339</v>
      </c>
      <c r="I106" s="186" t="s">
        <v>320</v>
      </c>
      <c r="J106" s="186" t="s">
        <v>614</v>
      </c>
      <c r="K106" s="186" t="s">
        <v>339</v>
      </c>
      <c r="L106" s="186" t="s">
        <v>824</v>
      </c>
      <c r="M106" s="186" t="s">
        <v>812</v>
      </c>
      <c r="N106" s="186" t="s">
        <v>325</v>
      </c>
      <c r="O106" s="186" t="s">
        <v>826</v>
      </c>
      <c r="P106" s="186"/>
      <c r="Q106" s="186"/>
      <c r="R106" s="186"/>
    </row>
    <row r="107" spans="1:18" x14ac:dyDescent="0.25">
      <c r="A107" s="186" t="s">
        <v>822</v>
      </c>
      <c r="B107" s="400">
        <v>1</v>
      </c>
      <c r="C107" s="186"/>
      <c r="D107" s="186" t="s">
        <v>319</v>
      </c>
      <c r="E107" s="186" t="s">
        <v>319</v>
      </c>
      <c r="F107" s="186" t="s">
        <v>319</v>
      </c>
      <c r="G107" s="186" t="s">
        <v>823</v>
      </c>
      <c r="H107" s="186" t="s">
        <v>339</v>
      </c>
      <c r="I107" s="186" t="s">
        <v>320</v>
      </c>
      <c r="J107" s="186" t="s">
        <v>614</v>
      </c>
      <c r="K107" s="186" t="s">
        <v>339</v>
      </c>
      <c r="L107" s="186" t="s">
        <v>824</v>
      </c>
      <c r="M107" s="186" t="s">
        <v>812</v>
      </c>
      <c r="N107" s="186" t="s">
        <v>325</v>
      </c>
      <c r="O107" s="186" t="s">
        <v>827</v>
      </c>
      <c r="P107" s="186"/>
      <c r="Q107" s="186"/>
      <c r="R107" s="186"/>
    </row>
    <row r="108" spans="1:18" x14ac:dyDescent="0.25">
      <c r="A108" s="186" t="s">
        <v>822</v>
      </c>
      <c r="B108" s="400">
        <v>1</v>
      </c>
      <c r="C108" s="186"/>
      <c r="D108" s="186" t="s">
        <v>319</v>
      </c>
      <c r="E108" s="186" t="s">
        <v>319</v>
      </c>
      <c r="F108" s="186" t="s">
        <v>319</v>
      </c>
      <c r="G108" s="186" t="s">
        <v>823</v>
      </c>
      <c r="H108" s="186" t="s">
        <v>339</v>
      </c>
      <c r="I108" s="186" t="s">
        <v>320</v>
      </c>
      <c r="J108" s="186" t="s">
        <v>614</v>
      </c>
      <c r="K108" s="186" t="s">
        <v>339</v>
      </c>
      <c r="L108" s="186" t="s">
        <v>824</v>
      </c>
      <c r="M108" s="186" t="s">
        <v>812</v>
      </c>
      <c r="N108" s="186" t="s">
        <v>325</v>
      </c>
      <c r="O108" s="186" t="s">
        <v>828</v>
      </c>
      <c r="P108" s="186"/>
      <c r="Q108" s="186"/>
      <c r="R108" s="186"/>
    </row>
    <row r="109" spans="1:18" x14ac:dyDescent="0.25">
      <c r="A109" s="186" t="s">
        <v>822</v>
      </c>
      <c r="B109" s="400">
        <v>1</v>
      </c>
      <c r="C109" s="186"/>
      <c r="D109" s="186" t="s">
        <v>319</v>
      </c>
      <c r="E109" s="186" t="s">
        <v>319</v>
      </c>
      <c r="F109" s="186" t="s">
        <v>319</v>
      </c>
      <c r="G109" s="186" t="s">
        <v>823</v>
      </c>
      <c r="H109" s="186" t="s">
        <v>339</v>
      </c>
      <c r="I109" s="186" t="s">
        <v>320</v>
      </c>
      <c r="J109" s="186" t="s">
        <v>614</v>
      </c>
      <c r="K109" s="186" t="s">
        <v>339</v>
      </c>
      <c r="L109" s="186" t="s">
        <v>824</v>
      </c>
      <c r="M109" s="186" t="s">
        <v>812</v>
      </c>
      <c r="N109" s="186" t="s">
        <v>325</v>
      </c>
      <c r="O109" s="186" t="s">
        <v>829</v>
      </c>
      <c r="P109" s="186"/>
      <c r="Q109" s="186"/>
      <c r="R109" s="186"/>
    </row>
    <row r="110" spans="1:18" x14ac:dyDescent="0.25">
      <c r="A110" s="186" t="s">
        <v>830</v>
      </c>
      <c r="B110" s="400">
        <v>0.9</v>
      </c>
      <c r="C110" s="186"/>
      <c r="D110" s="186" t="s">
        <v>319</v>
      </c>
      <c r="E110" s="186" t="s">
        <v>319</v>
      </c>
      <c r="F110" s="186" t="s">
        <v>319</v>
      </c>
      <c r="G110" s="186" t="s">
        <v>321</v>
      </c>
      <c r="H110" s="186" t="s">
        <v>322</v>
      </c>
      <c r="I110" s="186" t="s">
        <v>811</v>
      </c>
      <c r="J110" s="186" t="s">
        <v>614</v>
      </c>
      <c r="K110" s="186" t="s">
        <v>339</v>
      </c>
      <c r="L110" s="186" t="s">
        <v>831</v>
      </c>
      <c r="M110" s="186" t="s">
        <v>812</v>
      </c>
      <c r="N110" s="186" t="s">
        <v>325</v>
      </c>
      <c r="O110" s="186" t="s">
        <v>825</v>
      </c>
      <c r="P110" s="186"/>
      <c r="Q110" s="186"/>
      <c r="R110" s="186"/>
    </row>
    <row r="111" spans="1:18" x14ac:dyDescent="0.25">
      <c r="A111" s="186" t="s">
        <v>830</v>
      </c>
      <c r="B111" s="400">
        <v>0.92</v>
      </c>
      <c r="C111" s="186"/>
      <c r="D111" s="186" t="s">
        <v>319</v>
      </c>
      <c r="E111" s="186" t="s">
        <v>319</v>
      </c>
      <c r="F111" s="186" t="s">
        <v>319</v>
      </c>
      <c r="G111" s="186" t="s">
        <v>321</v>
      </c>
      <c r="H111" s="186" t="s">
        <v>322</v>
      </c>
      <c r="I111" s="186" t="s">
        <v>811</v>
      </c>
      <c r="J111" s="186" t="s">
        <v>614</v>
      </c>
      <c r="K111" s="186" t="s">
        <v>339</v>
      </c>
      <c r="L111" s="186" t="s">
        <v>831</v>
      </c>
      <c r="M111" s="186" t="s">
        <v>812</v>
      </c>
      <c r="N111" s="186" t="s">
        <v>325</v>
      </c>
      <c r="O111" s="186" t="s">
        <v>832</v>
      </c>
      <c r="P111" s="186"/>
      <c r="Q111" s="186"/>
      <c r="R111" s="186"/>
    </row>
    <row r="112" spans="1:18" x14ac:dyDescent="0.25">
      <c r="A112" s="186" t="s">
        <v>822</v>
      </c>
      <c r="B112" s="400">
        <v>0.91</v>
      </c>
      <c r="C112" s="186"/>
      <c r="D112" s="186" t="s">
        <v>319</v>
      </c>
      <c r="E112" s="186" t="s">
        <v>319</v>
      </c>
      <c r="F112" s="186" t="s">
        <v>319</v>
      </c>
      <c r="G112" s="186" t="s">
        <v>823</v>
      </c>
      <c r="H112" s="186" t="s">
        <v>339</v>
      </c>
      <c r="I112" s="186" t="s">
        <v>320</v>
      </c>
      <c r="J112" s="186" t="s">
        <v>614</v>
      </c>
      <c r="K112" s="186" t="s">
        <v>339</v>
      </c>
      <c r="L112" s="186" t="s">
        <v>831</v>
      </c>
      <c r="M112" s="186" t="s">
        <v>812</v>
      </c>
      <c r="N112" s="186" t="s">
        <v>325</v>
      </c>
      <c r="O112" s="186" t="s">
        <v>825</v>
      </c>
      <c r="P112" s="186"/>
      <c r="Q112" s="186"/>
      <c r="R112" s="186"/>
    </row>
    <row r="113" spans="1:18" x14ac:dyDescent="0.25">
      <c r="A113" s="186" t="s">
        <v>822</v>
      </c>
      <c r="B113" s="400">
        <v>0.91</v>
      </c>
      <c r="C113" s="186"/>
      <c r="D113" s="186" t="s">
        <v>319</v>
      </c>
      <c r="E113" s="186" t="s">
        <v>319</v>
      </c>
      <c r="F113" s="186" t="s">
        <v>319</v>
      </c>
      <c r="G113" s="186" t="s">
        <v>823</v>
      </c>
      <c r="H113" s="186" t="s">
        <v>339</v>
      </c>
      <c r="I113" s="186" t="s">
        <v>320</v>
      </c>
      <c r="J113" s="186" t="s">
        <v>614</v>
      </c>
      <c r="K113" s="186" t="s">
        <v>339</v>
      </c>
      <c r="L113" s="186" t="s">
        <v>831</v>
      </c>
      <c r="M113" s="186" t="s">
        <v>812</v>
      </c>
      <c r="N113" s="186" t="s">
        <v>325</v>
      </c>
      <c r="O113" s="186" t="s">
        <v>826</v>
      </c>
      <c r="P113" s="186"/>
      <c r="Q113" s="186"/>
      <c r="R113" s="186"/>
    </row>
    <row r="114" spans="1:18" x14ac:dyDescent="0.25">
      <c r="A114" s="186" t="s">
        <v>822</v>
      </c>
      <c r="B114" s="400">
        <v>0.91</v>
      </c>
      <c r="C114" s="186"/>
      <c r="D114" s="186" t="s">
        <v>319</v>
      </c>
      <c r="E114" s="186" t="s">
        <v>319</v>
      </c>
      <c r="F114" s="186" t="s">
        <v>319</v>
      </c>
      <c r="G114" s="186" t="s">
        <v>823</v>
      </c>
      <c r="H114" s="186" t="s">
        <v>339</v>
      </c>
      <c r="I114" s="186" t="s">
        <v>320</v>
      </c>
      <c r="J114" s="186" t="s">
        <v>614</v>
      </c>
      <c r="K114" s="186" t="s">
        <v>339</v>
      </c>
      <c r="L114" s="186" t="s">
        <v>831</v>
      </c>
      <c r="M114" s="186" t="s">
        <v>812</v>
      </c>
      <c r="N114" s="186" t="s">
        <v>325</v>
      </c>
      <c r="O114" s="186" t="s">
        <v>827</v>
      </c>
      <c r="P114" s="186"/>
      <c r="Q114" s="186"/>
      <c r="R114" s="186"/>
    </row>
    <row r="115" spans="1:18" x14ac:dyDescent="0.25">
      <c r="A115" s="186" t="s">
        <v>822</v>
      </c>
      <c r="B115" s="400">
        <v>0.91</v>
      </c>
      <c r="C115" s="186"/>
      <c r="D115" s="186" t="s">
        <v>319</v>
      </c>
      <c r="E115" s="186" t="s">
        <v>319</v>
      </c>
      <c r="F115" s="186" t="s">
        <v>319</v>
      </c>
      <c r="G115" s="186" t="s">
        <v>823</v>
      </c>
      <c r="H115" s="186" t="s">
        <v>339</v>
      </c>
      <c r="I115" s="186" t="s">
        <v>320</v>
      </c>
      <c r="J115" s="186" t="s">
        <v>614</v>
      </c>
      <c r="K115" s="186" t="s">
        <v>339</v>
      </c>
      <c r="L115" s="186" t="s">
        <v>831</v>
      </c>
      <c r="M115" s="186" t="s">
        <v>812</v>
      </c>
      <c r="N115" s="186" t="s">
        <v>325</v>
      </c>
      <c r="O115" s="186" t="s">
        <v>828</v>
      </c>
      <c r="P115" s="186"/>
      <c r="Q115" s="186"/>
      <c r="R115" s="186"/>
    </row>
    <row r="116" spans="1:18" x14ac:dyDescent="0.25">
      <c r="A116" s="186" t="s">
        <v>822</v>
      </c>
      <c r="B116" s="400">
        <v>0.8</v>
      </c>
      <c r="C116" s="186"/>
      <c r="D116" s="186" t="s">
        <v>319</v>
      </c>
      <c r="E116" s="186" t="s">
        <v>319</v>
      </c>
      <c r="F116" s="186" t="s">
        <v>319</v>
      </c>
      <c r="G116" s="186" t="s">
        <v>823</v>
      </c>
      <c r="H116" s="186" t="s">
        <v>339</v>
      </c>
      <c r="I116" s="186" t="s">
        <v>320</v>
      </c>
      <c r="J116" s="186" t="s">
        <v>614</v>
      </c>
      <c r="K116" s="186" t="s">
        <v>339</v>
      </c>
      <c r="L116" s="186" t="s">
        <v>833</v>
      </c>
      <c r="M116" s="186" t="s">
        <v>812</v>
      </c>
      <c r="N116" s="186" t="s">
        <v>325</v>
      </c>
      <c r="O116" s="186" t="s">
        <v>826</v>
      </c>
      <c r="P116" s="186"/>
      <c r="Q116" s="186"/>
      <c r="R116" s="186"/>
    </row>
    <row r="117" spans="1:18" x14ac:dyDescent="0.25">
      <c r="A117" s="186" t="s">
        <v>822</v>
      </c>
      <c r="B117" s="400">
        <v>0.8</v>
      </c>
      <c r="C117" s="186"/>
      <c r="D117" s="186" t="s">
        <v>319</v>
      </c>
      <c r="E117" s="186" t="s">
        <v>319</v>
      </c>
      <c r="F117" s="186" t="s">
        <v>319</v>
      </c>
      <c r="G117" s="186" t="s">
        <v>823</v>
      </c>
      <c r="H117" s="186" t="s">
        <v>339</v>
      </c>
      <c r="I117" s="186" t="s">
        <v>320</v>
      </c>
      <c r="J117" s="186" t="s">
        <v>614</v>
      </c>
      <c r="K117" s="186" t="s">
        <v>339</v>
      </c>
      <c r="L117" s="186" t="s">
        <v>833</v>
      </c>
      <c r="M117" s="186" t="s">
        <v>812</v>
      </c>
      <c r="N117" s="186" t="s">
        <v>325</v>
      </c>
      <c r="O117" s="186" t="s">
        <v>828</v>
      </c>
      <c r="P117" s="186"/>
      <c r="Q117" s="186"/>
      <c r="R117" s="186"/>
    </row>
    <row r="118" spans="1:18" x14ac:dyDescent="0.25">
      <c r="A118" s="186" t="s">
        <v>822</v>
      </c>
      <c r="B118" s="400">
        <v>0.8</v>
      </c>
      <c r="C118" s="186"/>
      <c r="D118" s="186" t="s">
        <v>319</v>
      </c>
      <c r="E118" s="186" t="s">
        <v>319</v>
      </c>
      <c r="F118" s="186" t="s">
        <v>319</v>
      </c>
      <c r="G118" s="186" t="s">
        <v>823</v>
      </c>
      <c r="H118" s="186" t="s">
        <v>339</v>
      </c>
      <c r="I118" s="186" t="s">
        <v>320</v>
      </c>
      <c r="J118" s="186" t="s">
        <v>614</v>
      </c>
      <c r="K118" s="186" t="s">
        <v>339</v>
      </c>
      <c r="L118" s="186" t="s">
        <v>833</v>
      </c>
      <c r="M118" s="186" t="s">
        <v>812</v>
      </c>
      <c r="N118" s="186" t="s">
        <v>325</v>
      </c>
      <c r="O118" s="186" t="s">
        <v>829</v>
      </c>
      <c r="P118" s="186"/>
      <c r="Q118" s="186"/>
      <c r="R118" s="186"/>
    </row>
    <row r="119" spans="1:18" x14ac:dyDescent="0.25">
      <c r="A119" s="186" t="s">
        <v>822</v>
      </c>
      <c r="B119" s="400">
        <v>0.6</v>
      </c>
      <c r="C119" s="186"/>
      <c r="D119" s="186" t="s">
        <v>319</v>
      </c>
      <c r="E119" s="186" t="s">
        <v>319</v>
      </c>
      <c r="F119" s="186" t="s">
        <v>319</v>
      </c>
      <c r="G119" s="186" t="s">
        <v>823</v>
      </c>
      <c r="H119" s="186" t="s">
        <v>339</v>
      </c>
      <c r="I119" s="186" t="s">
        <v>320</v>
      </c>
      <c r="J119" s="186" t="s">
        <v>614</v>
      </c>
      <c r="K119" s="186" t="s">
        <v>339</v>
      </c>
      <c r="L119" s="186" t="s">
        <v>834</v>
      </c>
      <c r="M119" s="186" t="s">
        <v>812</v>
      </c>
      <c r="N119" s="186" t="s">
        <v>325</v>
      </c>
      <c r="O119" s="186" t="s">
        <v>829</v>
      </c>
      <c r="P119" s="186"/>
      <c r="Q119" s="186"/>
      <c r="R119" s="186"/>
    </row>
    <row r="120" spans="1:18" x14ac:dyDescent="0.25">
      <c r="A120" s="186" t="s">
        <v>830</v>
      </c>
      <c r="B120" s="400">
        <v>0.85</v>
      </c>
      <c r="C120" s="186"/>
      <c r="D120" s="186" t="s">
        <v>319</v>
      </c>
      <c r="E120" s="186" t="s">
        <v>319</v>
      </c>
      <c r="F120" s="186" t="s">
        <v>319</v>
      </c>
      <c r="G120" s="186" t="s">
        <v>321</v>
      </c>
      <c r="H120" s="186" t="s">
        <v>322</v>
      </c>
      <c r="I120" s="186" t="s">
        <v>811</v>
      </c>
      <c r="J120" s="186" t="s">
        <v>614</v>
      </c>
      <c r="K120" s="186" t="s">
        <v>339</v>
      </c>
      <c r="L120" s="186" t="s">
        <v>835</v>
      </c>
      <c r="M120" s="186" t="s">
        <v>812</v>
      </c>
      <c r="N120" s="186" t="s">
        <v>325</v>
      </c>
      <c r="O120" s="186" t="s">
        <v>825</v>
      </c>
      <c r="P120" s="186"/>
      <c r="Q120" s="186"/>
      <c r="R120" s="186"/>
    </row>
    <row r="121" spans="1:18" x14ac:dyDescent="0.25">
      <c r="A121" s="186" t="s">
        <v>830</v>
      </c>
      <c r="B121" s="400">
        <v>0.88</v>
      </c>
      <c r="C121" s="186"/>
      <c r="D121" s="186" t="s">
        <v>319</v>
      </c>
      <c r="E121" s="186" t="s">
        <v>319</v>
      </c>
      <c r="F121" s="186" t="s">
        <v>319</v>
      </c>
      <c r="G121" s="186" t="s">
        <v>321</v>
      </c>
      <c r="H121" s="186" t="s">
        <v>322</v>
      </c>
      <c r="I121" s="186" t="s">
        <v>811</v>
      </c>
      <c r="J121" s="186" t="s">
        <v>614</v>
      </c>
      <c r="K121" s="186" t="s">
        <v>339</v>
      </c>
      <c r="L121" s="186" t="s">
        <v>835</v>
      </c>
      <c r="M121" s="186" t="s">
        <v>812</v>
      </c>
      <c r="N121" s="186" t="s">
        <v>325</v>
      </c>
      <c r="O121" s="186" t="s">
        <v>832</v>
      </c>
      <c r="P121" s="186"/>
      <c r="Q121" s="186"/>
      <c r="R121" s="186"/>
    </row>
    <row r="122" spans="1:18" x14ac:dyDescent="0.25">
      <c r="A122" s="186" t="s">
        <v>822</v>
      </c>
      <c r="B122" s="400">
        <v>0.89</v>
      </c>
      <c r="C122" s="186"/>
      <c r="D122" s="186" t="s">
        <v>319</v>
      </c>
      <c r="E122" s="186" t="s">
        <v>319</v>
      </c>
      <c r="F122" s="186" t="s">
        <v>319</v>
      </c>
      <c r="G122" s="186" t="s">
        <v>823</v>
      </c>
      <c r="H122" s="186" t="s">
        <v>339</v>
      </c>
      <c r="I122" s="186" t="s">
        <v>320</v>
      </c>
      <c r="J122" s="186" t="s">
        <v>614</v>
      </c>
      <c r="K122" s="186" t="s">
        <v>339</v>
      </c>
      <c r="L122" s="186" t="s">
        <v>835</v>
      </c>
      <c r="M122" s="186" t="s">
        <v>812</v>
      </c>
      <c r="N122" s="186" t="s">
        <v>325</v>
      </c>
      <c r="O122" s="186" t="s">
        <v>826</v>
      </c>
      <c r="P122" s="186"/>
      <c r="Q122" s="186"/>
      <c r="R122" s="186"/>
    </row>
    <row r="123" spans="1:18" x14ac:dyDescent="0.25">
      <c r="A123" s="186" t="s">
        <v>822</v>
      </c>
      <c r="B123" s="400">
        <v>0.89</v>
      </c>
      <c r="C123" s="186"/>
      <c r="D123" s="186" t="s">
        <v>319</v>
      </c>
      <c r="E123" s="186" t="s">
        <v>319</v>
      </c>
      <c r="F123" s="186" t="s">
        <v>319</v>
      </c>
      <c r="G123" s="186" t="s">
        <v>823</v>
      </c>
      <c r="H123" s="186" t="s">
        <v>339</v>
      </c>
      <c r="I123" s="186" t="s">
        <v>320</v>
      </c>
      <c r="J123" s="186" t="s">
        <v>614</v>
      </c>
      <c r="K123" s="186" t="s">
        <v>339</v>
      </c>
      <c r="L123" s="186" t="s">
        <v>835</v>
      </c>
      <c r="M123" s="186" t="s">
        <v>812</v>
      </c>
      <c r="N123" s="186" t="s">
        <v>325</v>
      </c>
      <c r="O123" s="186" t="s">
        <v>827</v>
      </c>
      <c r="P123" s="186"/>
      <c r="Q123" s="186"/>
      <c r="R123" s="186"/>
    </row>
    <row r="124" spans="1:18" x14ac:dyDescent="0.25">
      <c r="A124" s="186" t="s">
        <v>822</v>
      </c>
      <c r="B124" s="400">
        <v>0.89</v>
      </c>
      <c r="C124" s="186"/>
      <c r="D124" s="186" t="s">
        <v>319</v>
      </c>
      <c r="E124" s="186" t="s">
        <v>319</v>
      </c>
      <c r="F124" s="186" t="s">
        <v>319</v>
      </c>
      <c r="G124" s="186" t="s">
        <v>823</v>
      </c>
      <c r="H124" s="186" t="s">
        <v>339</v>
      </c>
      <c r="I124" s="186" t="s">
        <v>320</v>
      </c>
      <c r="J124" s="186" t="s">
        <v>614</v>
      </c>
      <c r="K124" s="186" t="s">
        <v>339</v>
      </c>
      <c r="L124" s="186" t="s">
        <v>835</v>
      </c>
      <c r="M124" s="186" t="s">
        <v>812</v>
      </c>
      <c r="N124" s="186" t="s">
        <v>325</v>
      </c>
      <c r="O124" s="186" t="s">
        <v>828</v>
      </c>
      <c r="P124" s="186"/>
      <c r="Q124" s="186"/>
      <c r="R124" s="186"/>
    </row>
    <row r="125" spans="1:18" x14ac:dyDescent="0.25">
      <c r="A125" s="186" t="s">
        <v>822</v>
      </c>
      <c r="B125" s="400">
        <v>0.89</v>
      </c>
      <c r="C125" s="186"/>
      <c r="D125" s="186" t="s">
        <v>319</v>
      </c>
      <c r="E125" s="186" t="s">
        <v>319</v>
      </c>
      <c r="F125" s="186" t="s">
        <v>319</v>
      </c>
      <c r="G125" s="186" t="s">
        <v>823</v>
      </c>
      <c r="H125" s="186" t="s">
        <v>339</v>
      </c>
      <c r="I125" s="186" t="s">
        <v>320</v>
      </c>
      <c r="J125" s="186" t="s">
        <v>614</v>
      </c>
      <c r="K125" s="186" t="s">
        <v>339</v>
      </c>
      <c r="L125" s="186" t="s">
        <v>835</v>
      </c>
      <c r="M125" s="186" t="s">
        <v>812</v>
      </c>
      <c r="N125" s="186" t="s">
        <v>325</v>
      </c>
      <c r="O125" s="186" t="s">
        <v>829</v>
      </c>
      <c r="P125" s="186"/>
      <c r="Q125" s="186"/>
      <c r="R125" s="186"/>
    </row>
    <row r="126" spans="1:18" x14ac:dyDescent="0.25">
      <c r="A126" s="186" t="s">
        <v>822</v>
      </c>
      <c r="B126" s="400">
        <v>0.7</v>
      </c>
      <c r="C126" s="186"/>
      <c r="D126" s="186" t="s">
        <v>319</v>
      </c>
      <c r="E126" s="186" t="s">
        <v>319</v>
      </c>
      <c r="F126" s="186" t="s">
        <v>319</v>
      </c>
      <c r="G126" s="186" t="s">
        <v>823</v>
      </c>
      <c r="H126" s="186" t="s">
        <v>339</v>
      </c>
      <c r="I126" s="186" t="s">
        <v>320</v>
      </c>
      <c r="J126" s="186" t="s">
        <v>614</v>
      </c>
      <c r="K126" s="186" t="s">
        <v>339</v>
      </c>
      <c r="L126" s="186" t="s">
        <v>836</v>
      </c>
      <c r="M126" s="186" t="s">
        <v>812</v>
      </c>
      <c r="N126" s="186" t="s">
        <v>325</v>
      </c>
      <c r="O126" s="186" t="s">
        <v>826</v>
      </c>
      <c r="P126" s="186"/>
      <c r="Q126" s="186"/>
      <c r="R126" s="186"/>
    </row>
    <row r="127" spans="1:18" x14ac:dyDescent="0.25">
      <c r="A127" s="186" t="s">
        <v>822</v>
      </c>
      <c r="B127" s="400">
        <v>0.7</v>
      </c>
      <c r="C127" s="186"/>
      <c r="D127" s="186" t="s">
        <v>319</v>
      </c>
      <c r="E127" s="186" t="s">
        <v>319</v>
      </c>
      <c r="F127" s="186" t="s">
        <v>319</v>
      </c>
      <c r="G127" s="186" t="s">
        <v>823</v>
      </c>
      <c r="H127" s="186" t="s">
        <v>339</v>
      </c>
      <c r="I127" s="186" t="s">
        <v>320</v>
      </c>
      <c r="J127" s="186" t="s">
        <v>614</v>
      </c>
      <c r="K127" s="186" t="s">
        <v>339</v>
      </c>
      <c r="L127" s="186" t="s">
        <v>836</v>
      </c>
      <c r="M127" s="186" t="s">
        <v>812</v>
      </c>
      <c r="N127" s="186" t="s">
        <v>325</v>
      </c>
      <c r="O127" s="186" t="s">
        <v>829</v>
      </c>
      <c r="P127" s="186"/>
      <c r="Q127" s="186"/>
      <c r="R127" s="186"/>
    </row>
    <row r="128" spans="1:18" x14ac:dyDescent="0.25">
      <c r="A128" s="186" t="s">
        <v>830</v>
      </c>
      <c r="B128" s="400">
        <v>1</v>
      </c>
      <c r="C128" s="186"/>
      <c r="D128" s="186" t="s">
        <v>319</v>
      </c>
      <c r="E128" s="186" t="s">
        <v>319</v>
      </c>
      <c r="F128" s="186" t="s">
        <v>319</v>
      </c>
      <c r="G128" s="186" t="s">
        <v>321</v>
      </c>
      <c r="H128" s="186" t="s">
        <v>322</v>
      </c>
      <c r="I128" s="186" t="s">
        <v>811</v>
      </c>
      <c r="J128" s="186" t="s">
        <v>614</v>
      </c>
      <c r="K128" s="186" t="s">
        <v>339</v>
      </c>
      <c r="L128" s="186">
        <v>250</v>
      </c>
      <c r="M128" s="186" t="s">
        <v>812</v>
      </c>
      <c r="N128" s="186" t="s">
        <v>325</v>
      </c>
      <c r="O128" s="186" t="s">
        <v>825</v>
      </c>
      <c r="P128" s="186"/>
      <c r="Q128" s="186"/>
      <c r="R128" s="186"/>
    </row>
    <row r="129" spans="1:18" x14ac:dyDescent="0.25">
      <c r="A129" s="186" t="s">
        <v>830</v>
      </c>
      <c r="B129" s="400">
        <v>1</v>
      </c>
      <c r="C129" s="186"/>
      <c r="D129" s="186" t="s">
        <v>319</v>
      </c>
      <c r="E129" s="186" t="s">
        <v>319</v>
      </c>
      <c r="F129" s="186" t="s">
        <v>319</v>
      </c>
      <c r="G129" s="186" t="s">
        <v>321</v>
      </c>
      <c r="H129" s="186" t="s">
        <v>322</v>
      </c>
      <c r="I129" s="186" t="s">
        <v>811</v>
      </c>
      <c r="J129" s="186" t="s">
        <v>614</v>
      </c>
      <c r="K129" s="186" t="s">
        <v>339</v>
      </c>
      <c r="L129" s="186">
        <v>250</v>
      </c>
      <c r="M129" s="186" t="s">
        <v>812</v>
      </c>
      <c r="N129" s="186" t="s">
        <v>325</v>
      </c>
      <c r="O129" s="186" t="s">
        <v>832</v>
      </c>
      <c r="P129" s="186"/>
      <c r="Q129" s="186"/>
      <c r="R129" s="186"/>
    </row>
    <row r="130" spans="1:18" x14ac:dyDescent="0.25">
      <c r="A130" s="186" t="s">
        <v>830</v>
      </c>
      <c r="B130" s="400">
        <v>0.8</v>
      </c>
      <c r="C130" s="186"/>
      <c r="D130" s="186" t="s">
        <v>319</v>
      </c>
      <c r="E130" s="186" t="s">
        <v>319</v>
      </c>
      <c r="F130" s="186" t="s">
        <v>319</v>
      </c>
      <c r="G130" s="186" t="s">
        <v>321</v>
      </c>
      <c r="H130" s="186" t="s">
        <v>322</v>
      </c>
      <c r="I130" s="186" t="s">
        <v>811</v>
      </c>
      <c r="J130" s="186" t="s">
        <v>614</v>
      </c>
      <c r="K130" s="186" t="s">
        <v>339</v>
      </c>
      <c r="L130" s="186" t="s">
        <v>837</v>
      </c>
      <c r="M130" s="186" t="s">
        <v>812</v>
      </c>
      <c r="N130" s="186" t="s">
        <v>325</v>
      </c>
      <c r="O130" s="186" t="s">
        <v>825</v>
      </c>
      <c r="P130" s="186"/>
      <c r="Q130" s="186"/>
      <c r="R130" s="186"/>
    </row>
    <row r="131" spans="1:18" x14ac:dyDescent="0.25">
      <c r="A131" s="186" t="s">
        <v>830</v>
      </c>
      <c r="B131" s="400">
        <v>0.84</v>
      </c>
      <c r="C131" s="186"/>
      <c r="D131" s="186" t="s">
        <v>319</v>
      </c>
      <c r="E131" s="186" t="s">
        <v>319</v>
      </c>
      <c r="F131" s="186" t="s">
        <v>319</v>
      </c>
      <c r="G131" s="186" t="s">
        <v>321</v>
      </c>
      <c r="H131" s="186" t="s">
        <v>322</v>
      </c>
      <c r="I131" s="186" t="s">
        <v>811</v>
      </c>
      <c r="J131" s="186" t="s">
        <v>614</v>
      </c>
      <c r="K131" s="186" t="s">
        <v>339</v>
      </c>
      <c r="L131" s="186" t="s">
        <v>837</v>
      </c>
      <c r="M131" s="186" t="s">
        <v>812</v>
      </c>
      <c r="N131" s="186" t="s">
        <v>325</v>
      </c>
      <c r="O131" s="186" t="s">
        <v>832</v>
      </c>
      <c r="P131" s="186"/>
      <c r="Q131" s="186"/>
      <c r="R131" s="186"/>
    </row>
    <row r="132" spans="1:18" x14ac:dyDescent="0.25">
      <c r="A132" s="186" t="s">
        <v>822</v>
      </c>
      <c r="B132" s="400">
        <v>0.87</v>
      </c>
      <c r="C132" s="186"/>
      <c r="D132" s="186" t="s">
        <v>319</v>
      </c>
      <c r="E132" s="186" t="s">
        <v>319</v>
      </c>
      <c r="F132" s="186" t="s">
        <v>319</v>
      </c>
      <c r="G132" s="186" t="s">
        <v>823</v>
      </c>
      <c r="H132" s="186" t="s">
        <v>339</v>
      </c>
      <c r="I132" s="186" t="s">
        <v>320</v>
      </c>
      <c r="J132" s="186" t="s">
        <v>614</v>
      </c>
      <c r="K132" s="186" t="s">
        <v>339</v>
      </c>
      <c r="L132" s="186" t="s">
        <v>837</v>
      </c>
      <c r="M132" s="186" t="s">
        <v>812</v>
      </c>
      <c r="N132" s="186" t="s">
        <v>325</v>
      </c>
      <c r="O132" s="186" t="s">
        <v>826</v>
      </c>
      <c r="P132" s="186"/>
      <c r="Q132" s="186"/>
      <c r="R132" s="186"/>
    </row>
    <row r="133" spans="1:18" x14ac:dyDescent="0.25">
      <c r="A133" s="186" t="s">
        <v>822</v>
      </c>
      <c r="B133" s="400">
        <v>0.87</v>
      </c>
      <c r="C133" s="186"/>
      <c r="D133" s="186" t="s">
        <v>319</v>
      </c>
      <c r="E133" s="186" t="s">
        <v>319</v>
      </c>
      <c r="F133" s="186" t="s">
        <v>319</v>
      </c>
      <c r="G133" s="186" t="s">
        <v>823</v>
      </c>
      <c r="H133" s="186" t="s">
        <v>339</v>
      </c>
      <c r="I133" s="186" t="s">
        <v>320</v>
      </c>
      <c r="J133" s="186" t="s">
        <v>614</v>
      </c>
      <c r="K133" s="186" t="s">
        <v>339</v>
      </c>
      <c r="L133" s="186" t="s">
        <v>837</v>
      </c>
      <c r="M133" s="186" t="s">
        <v>812</v>
      </c>
      <c r="N133" s="186" t="s">
        <v>325</v>
      </c>
      <c r="O133" s="186" t="s">
        <v>827</v>
      </c>
      <c r="P133" s="186"/>
      <c r="Q133" s="186"/>
      <c r="R133" s="186"/>
    </row>
    <row r="134" spans="1:18" x14ac:dyDescent="0.25">
      <c r="A134" s="186" t="s">
        <v>822</v>
      </c>
      <c r="B134" s="400">
        <v>0.87</v>
      </c>
      <c r="C134" s="186"/>
      <c r="D134" s="186" t="s">
        <v>319</v>
      </c>
      <c r="E134" s="186" t="s">
        <v>319</v>
      </c>
      <c r="F134" s="186" t="s">
        <v>319</v>
      </c>
      <c r="G134" s="186" t="s">
        <v>823</v>
      </c>
      <c r="H134" s="186" t="s">
        <v>339</v>
      </c>
      <c r="I134" s="186" t="s">
        <v>320</v>
      </c>
      <c r="J134" s="186" t="s">
        <v>614</v>
      </c>
      <c r="K134" s="186" t="s">
        <v>339</v>
      </c>
      <c r="L134" s="186" t="s">
        <v>837</v>
      </c>
      <c r="M134" s="186" t="s">
        <v>812</v>
      </c>
      <c r="N134" s="186" t="s">
        <v>325</v>
      </c>
      <c r="O134" s="186" t="s">
        <v>828</v>
      </c>
      <c r="P134" s="186"/>
      <c r="Q134" s="186"/>
      <c r="R134" s="186"/>
    </row>
    <row r="135" spans="1:18" x14ac:dyDescent="0.25">
      <c r="A135" s="186" t="s">
        <v>822</v>
      </c>
      <c r="B135" s="400">
        <v>0.87</v>
      </c>
      <c r="C135" s="186"/>
      <c r="D135" s="186" t="s">
        <v>319</v>
      </c>
      <c r="E135" s="186" t="s">
        <v>319</v>
      </c>
      <c r="F135" s="186" t="s">
        <v>319</v>
      </c>
      <c r="G135" s="186" t="s">
        <v>823</v>
      </c>
      <c r="H135" s="186" t="s">
        <v>339</v>
      </c>
      <c r="I135" s="186" t="s">
        <v>320</v>
      </c>
      <c r="J135" s="186" t="s">
        <v>614</v>
      </c>
      <c r="K135" s="186" t="s">
        <v>339</v>
      </c>
      <c r="L135" s="186" t="s">
        <v>837</v>
      </c>
      <c r="M135" s="186" t="s">
        <v>812</v>
      </c>
      <c r="N135" s="186" t="s">
        <v>325</v>
      </c>
      <c r="O135" s="186" t="s">
        <v>829</v>
      </c>
      <c r="P135" s="186"/>
      <c r="Q135" s="186"/>
      <c r="R135" s="186"/>
    </row>
    <row r="136" spans="1:18" x14ac:dyDescent="0.25">
      <c r="A136" s="186" t="s">
        <v>830</v>
      </c>
      <c r="B136" s="400">
        <v>0.95</v>
      </c>
      <c r="C136" s="186"/>
      <c r="D136" s="186" t="s">
        <v>319</v>
      </c>
      <c r="E136" s="186" t="s">
        <v>319</v>
      </c>
      <c r="F136" s="186" t="s">
        <v>319</v>
      </c>
      <c r="G136" s="186" t="s">
        <v>321</v>
      </c>
      <c r="H136" s="186" t="s">
        <v>322</v>
      </c>
      <c r="I136" s="186" t="s">
        <v>811</v>
      </c>
      <c r="J136" s="186" t="s">
        <v>614</v>
      </c>
      <c r="K136" s="186" t="s">
        <v>339</v>
      </c>
      <c r="L136" s="186" t="s">
        <v>838</v>
      </c>
      <c r="M136" s="186" t="s">
        <v>812</v>
      </c>
      <c r="N136" s="186" t="s">
        <v>325</v>
      </c>
      <c r="O136" s="186" t="s">
        <v>825</v>
      </c>
      <c r="P136" s="186"/>
      <c r="Q136" s="186"/>
      <c r="R136" s="186"/>
    </row>
    <row r="137" spans="1:18" x14ac:dyDescent="0.25">
      <c r="A137" s="186" t="s">
        <v>830</v>
      </c>
      <c r="B137" s="400">
        <v>0.96</v>
      </c>
      <c r="C137" s="186"/>
      <c r="D137" s="186" t="s">
        <v>319</v>
      </c>
      <c r="E137" s="186" t="s">
        <v>319</v>
      </c>
      <c r="F137" s="186" t="s">
        <v>319</v>
      </c>
      <c r="G137" s="186" t="s">
        <v>321</v>
      </c>
      <c r="H137" s="186" t="s">
        <v>322</v>
      </c>
      <c r="I137" s="186" t="s">
        <v>811</v>
      </c>
      <c r="J137" s="186" t="s">
        <v>614</v>
      </c>
      <c r="K137" s="186" t="s">
        <v>339</v>
      </c>
      <c r="L137" s="186" t="s">
        <v>838</v>
      </c>
      <c r="M137" s="186" t="s">
        <v>812</v>
      </c>
      <c r="N137" s="186" t="s">
        <v>325</v>
      </c>
      <c r="O137" s="186" t="s">
        <v>832</v>
      </c>
      <c r="P137" s="186"/>
      <c r="Q137" s="186"/>
      <c r="R137" s="186"/>
    </row>
    <row r="138" spans="1:18" x14ac:dyDescent="0.25">
      <c r="A138" s="186" t="s">
        <v>822</v>
      </c>
      <c r="B138" s="400">
        <v>0.95</v>
      </c>
      <c r="C138" s="186"/>
      <c r="D138" s="186" t="s">
        <v>319</v>
      </c>
      <c r="E138" s="186" t="s">
        <v>319</v>
      </c>
      <c r="F138" s="186" t="s">
        <v>319</v>
      </c>
      <c r="G138" s="186" t="s">
        <v>823</v>
      </c>
      <c r="H138" s="186" t="s">
        <v>339</v>
      </c>
      <c r="I138" s="186" t="s">
        <v>320</v>
      </c>
      <c r="J138" s="186" t="s">
        <v>614</v>
      </c>
      <c r="K138" s="186" t="s">
        <v>339</v>
      </c>
      <c r="L138" s="186" t="s">
        <v>838</v>
      </c>
      <c r="M138" s="186" t="s">
        <v>812</v>
      </c>
      <c r="N138" s="186" t="s">
        <v>325</v>
      </c>
      <c r="O138" s="186" t="s">
        <v>825</v>
      </c>
      <c r="P138" s="186"/>
      <c r="Q138" s="186"/>
      <c r="R138" s="186"/>
    </row>
    <row r="139" spans="1:18" x14ac:dyDescent="0.25">
      <c r="A139" s="186" t="s">
        <v>822</v>
      </c>
      <c r="B139" s="400">
        <v>0.95</v>
      </c>
      <c r="C139" s="186"/>
      <c r="D139" s="186" t="s">
        <v>319</v>
      </c>
      <c r="E139" s="186" t="s">
        <v>319</v>
      </c>
      <c r="F139" s="186" t="s">
        <v>319</v>
      </c>
      <c r="G139" s="186" t="s">
        <v>823</v>
      </c>
      <c r="H139" s="186" t="s">
        <v>339</v>
      </c>
      <c r="I139" s="186" t="s">
        <v>320</v>
      </c>
      <c r="J139" s="186" t="s">
        <v>614</v>
      </c>
      <c r="K139" s="186" t="s">
        <v>339</v>
      </c>
      <c r="L139" s="186" t="s">
        <v>838</v>
      </c>
      <c r="M139" s="186" t="s">
        <v>812</v>
      </c>
      <c r="N139" s="186" t="s">
        <v>325</v>
      </c>
      <c r="O139" s="186" t="s">
        <v>827</v>
      </c>
      <c r="P139" s="186"/>
      <c r="Q139" s="186"/>
      <c r="R139" s="186"/>
    </row>
    <row r="140" spans="1:18" x14ac:dyDescent="0.25">
      <c r="A140" s="186" t="s">
        <v>830</v>
      </c>
      <c r="B140" s="400">
        <v>0.7</v>
      </c>
      <c r="C140" s="186"/>
      <c r="D140" s="186" t="s">
        <v>319</v>
      </c>
      <c r="E140" s="186" t="s">
        <v>319</v>
      </c>
      <c r="F140" s="186" t="s">
        <v>319</v>
      </c>
      <c r="G140" s="186" t="s">
        <v>321</v>
      </c>
      <c r="H140" s="186" t="s">
        <v>322</v>
      </c>
      <c r="I140" s="186" t="s">
        <v>811</v>
      </c>
      <c r="J140" s="186" t="s">
        <v>614</v>
      </c>
      <c r="K140" s="186" t="s">
        <v>339</v>
      </c>
      <c r="L140" s="186" t="s">
        <v>839</v>
      </c>
      <c r="M140" s="186" t="s">
        <v>812</v>
      </c>
      <c r="N140" s="186" t="s">
        <v>325</v>
      </c>
      <c r="O140" s="186" t="s">
        <v>825</v>
      </c>
      <c r="P140" s="186"/>
      <c r="Q140" s="186"/>
      <c r="R140" s="186"/>
    </row>
    <row r="141" spans="1:18" x14ac:dyDescent="0.25">
      <c r="A141" s="186" t="s">
        <v>830</v>
      </c>
      <c r="B141" s="400">
        <v>0.76</v>
      </c>
      <c r="C141" s="186"/>
      <c r="D141" s="186" t="s">
        <v>319</v>
      </c>
      <c r="E141" s="186" t="s">
        <v>319</v>
      </c>
      <c r="F141" s="186" t="s">
        <v>319</v>
      </c>
      <c r="G141" s="186" t="s">
        <v>321</v>
      </c>
      <c r="H141" s="186" t="s">
        <v>322</v>
      </c>
      <c r="I141" s="186" t="s">
        <v>811</v>
      </c>
      <c r="J141" s="186" t="s">
        <v>614</v>
      </c>
      <c r="K141" s="186" t="s">
        <v>339</v>
      </c>
      <c r="L141" s="186" t="s">
        <v>839</v>
      </c>
      <c r="M141" s="186" t="s">
        <v>812</v>
      </c>
      <c r="N141" s="186" t="s">
        <v>325</v>
      </c>
      <c r="O141" s="186" t="s">
        <v>832</v>
      </c>
      <c r="P141" s="186"/>
      <c r="Q141" s="186"/>
      <c r="R141" s="186"/>
    </row>
    <row r="142" spans="1:18" x14ac:dyDescent="0.25">
      <c r="A142" s="186" t="s">
        <v>822</v>
      </c>
      <c r="B142" s="400">
        <v>0.84</v>
      </c>
      <c r="C142" s="186"/>
      <c r="D142" s="186" t="s">
        <v>319</v>
      </c>
      <c r="E142" s="186" t="s">
        <v>319</v>
      </c>
      <c r="F142" s="186" t="s">
        <v>319</v>
      </c>
      <c r="G142" s="186" t="s">
        <v>823</v>
      </c>
      <c r="H142" s="186" t="s">
        <v>339</v>
      </c>
      <c r="I142" s="186" t="s">
        <v>320</v>
      </c>
      <c r="J142" s="186" t="s">
        <v>614</v>
      </c>
      <c r="K142" s="186" t="s">
        <v>339</v>
      </c>
      <c r="L142" s="186" t="s">
        <v>839</v>
      </c>
      <c r="M142" s="186" t="s">
        <v>812</v>
      </c>
      <c r="N142" s="186" t="s">
        <v>325</v>
      </c>
      <c r="O142" s="186" t="s">
        <v>826</v>
      </c>
      <c r="P142" s="186"/>
      <c r="Q142" s="186"/>
      <c r="R142" s="186"/>
    </row>
    <row r="143" spans="1:18" x14ac:dyDescent="0.25">
      <c r="A143" s="186" t="s">
        <v>822</v>
      </c>
      <c r="B143" s="400">
        <v>0.84</v>
      </c>
      <c r="C143" s="186"/>
      <c r="D143" s="186" t="s">
        <v>319</v>
      </c>
      <c r="E143" s="186" t="s">
        <v>319</v>
      </c>
      <c r="F143" s="186" t="s">
        <v>319</v>
      </c>
      <c r="G143" s="186" t="s">
        <v>823</v>
      </c>
      <c r="H143" s="186" t="s">
        <v>339</v>
      </c>
      <c r="I143" s="186" t="s">
        <v>320</v>
      </c>
      <c r="J143" s="186" t="s">
        <v>614</v>
      </c>
      <c r="K143" s="186" t="s">
        <v>339</v>
      </c>
      <c r="L143" s="186" t="s">
        <v>839</v>
      </c>
      <c r="M143" s="186" t="s">
        <v>812</v>
      </c>
      <c r="N143" s="186" t="s">
        <v>325</v>
      </c>
      <c r="O143" s="186" t="s">
        <v>828</v>
      </c>
      <c r="P143" s="186"/>
      <c r="Q143" s="186"/>
      <c r="R143" s="186"/>
    </row>
    <row r="144" spans="1:18" x14ac:dyDescent="0.25">
      <c r="A144" s="186" t="s">
        <v>822</v>
      </c>
      <c r="B144" s="400">
        <v>0.84</v>
      </c>
      <c r="C144" s="186"/>
      <c r="D144" s="186" t="s">
        <v>319</v>
      </c>
      <c r="E144" s="186" t="s">
        <v>319</v>
      </c>
      <c r="F144" s="186" t="s">
        <v>319</v>
      </c>
      <c r="G144" s="186" t="s">
        <v>823</v>
      </c>
      <c r="H144" s="186" t="s">
        <v>339</v>
      </c>
      <c r="I144" s="186" t="s">
        <v>320</v>
      </c>
      <c r="J144" s="186" t="s">
        <v>614</v>
      </c>
      <c r="K144" s="186" t="s">
        <v>339</v>
      </c>
      <c r="L144" s="186" t="s">
        <v>839</v>
      </c>
      <c r="M144" s="186" t="s">
        <v>812</v>
      </c>
      <c r="N144" s="186" t="s">
        <v>325</v>
      </c>
      <c r="O144" s="186" t="s">
        <v>829</v>
      </c>
      <c r="P144" s="186"/>
      <c r="Q144" s="186"/>
      <c r="R144" s="186"/>
    </row>
    <row r="145" spans="1:18" x14ac:dyDescent="0.25">
      <c r="A145" s="186" t="s">
        <v>822</v>
      </c>
      <c r="B145" s="400">
        <v>0.65</v>
      </c>
      <c r="C145" s="186"/>
      <c r="D145" s="186" t="s">
        <v>319</v>
      </c>
      <c r="E145" s="186" t="s">
        <v>319</v>
      </c>
      <c r="F145" s="186" t="s">
        <v>319</v>
      </c>
      <c r="G145" s="186" t="s">
        <v>823</v>
      </c>
      <c r="H145" s="186" t="s">
        <v>339</v>
      </c>
      <c r="I145" s="186" t="s">
        <v>320</v>
      </c>
      <c r="J145" s="186" t="s">
        <v>614</v>
      </c>
      <c r="K145" s="186" t="s">
        <v>339</v>
      </c>
      <c r="L145" s="186" t="s">
        <v>840</v>
      </c>
      <c r="M145" s="186" t="s">
        <v>812</v>
      </c>
      <c r="N145" s="186" t="s">
        <v>325</v>
      </c>
      <c r="O145" s="186" t="s">
        <v>826</v>
      </c>
      <c r="P145" s="186"/>
      <c r="Q145" s="186"/>
      <c r="R145" s="186"/>
    </row>
    <row r="146" spans="1:18" x14ac:dyDescent="0.25">
      <c r="A146" s="186" t="s">
        <v>822</v>
      </c>
      <c r="B146" s="400">
        <v>0.65</v>
      </c>
      <c r="C146" s="186"/>
      <c r="D146" s="186" t="s">
        <v>319</v>
      </c>
      <c r="E146" s="186" t="s">
        <v>319</v>
      </c>
      <c r="F146" s="186" t="s">
        <v>319</v>
      </c>
      <c r="G146" s="186" t="s">
        <v>823</v>
      </c>
      <c r="H146" s="186" t="s">
        <v>339</v>
      </c>
      <c r="I146" s="186" t="s">
        <v>320</v>
      </c>
      <c r="J146" s="186" t="s">
        <v>614</v>
      </c>
      <c r="K146" s="186" t="s">
        <v>339</v>
      </c>
      <c r="L146" s="186" t="s">
        <v>840</v>
      </c>
      <c r="M146" s="186" t="s">
        <v>812</v>
      </c>
      <c r="N146" s="186" t="s">
        <v>325</v>
      </c>
      <c r="O146" s="186" t="s">
        <v>829</v>
      </c>
      <c r="P146" s="186"/>
      <c r="Q146" s="186"/>
      <c r="R146" s="186"/>
    </row>
    <row r="147" spans="1:18" x14ac:dyDescent="0.25">
      <c r="A147" s="186" t="s">
        <v>318</v>
      </c>
      <c r="B147" s="637">
        <v>1.85</v>
      </c>
      <c r="C147" s="186"/>
      <c r="D147" s="186" t="s">
        <v>319</v>
      </c>
      <c r="E147" s="186" t="s">
        <v>320</v>
      </c>
      <c r="F147" s="186" t="s">
        <v>319</v>
      </c>
      <c r="G147" s="186" t="s">
        <v>321</v>
      </c>
      <c r="H147" s="186" t="s">
        <v>322</v>
      </c>
      <c r="I147" s="186" t="s">
        <v>237</v>
      </c>
      <c r="J147" s="186" t="s">
        <v>323</v>
      </c>
      <c r="K147" s="186" t="s">
        <v>322</v>
      </c>
      <c r="L147" s="186" t="s">
        <v>236</v>
      </c>
      <c r="M147" s="574" t="s">
        <v>324</v>
      </c>
      <c r="N147" s="574" t="s">
        <v>325</v>
      </c>
      <c r="O147" s="574" t="s">
        <v>326</v>
      </c>
      <c r="P147" s="186"/>
      <c r="Q147" s="186"/>
      <c r="R147" s="186"/>
    </row>
    <row r="148" spans="1:18" x14ac:dyDescent="0.25">
      <c r="A148" s="186" t="s">
        <v>318</v>
      </c>
      <c r="B148" s="637">
        <v>1.75</v>
      </c>
      <c r="C148" s="186"/>
      <c r="D148" s="186" t="s">
        <v>319</v>
      </c>
      <c r="E148" s="186" t="s">
        <v>320</v>
      </c>
      <c r="F148" s="186" t="s">
        <v>319</v>
      </c>
      <c r="G148" s="186" t="s">
        <v>321</v>
      </c>
      <c r="H148" s="186" t="s">
        <v>322</v>
      </c>
      <c r="I148" s="186" t="s">
        <v>237</v>
      </c>
      <c r="J148" s="186" t="s">
        <v>323</v>
      </c>
      <c r="K148" s="186" t="s">
        <v>322</v>
      </c>
      <c r="L148" s="186" t="s">
        <v>238</v>
      </c>
      <c r="M148" s="574" t="s">
        <v>324</v>
      </c>
      <c r="N148" s="574" t="s">
        <v>325</v>
      </c>
      <c r="O148" s="574" t="s">
        <v>326</v>
      </c>
      <c r="P148" s="186"/>
      <c r="Q148" s="186"/>
      <c r="R148" s="186"/>
    </row>
    <row r="149" spans="1:18" x14ac:dyDescent="0.25">
      <c r="A149" s="186" t="s">
        <v>318</v>
      </c>
      <c r="B149" s="637">
        <v>1.6</v>
      </c>
      <c r="C149" s="186"/>
      <c r="D149" s="186" t="s">
        <v>319</v>
      </c>
      <c r="E149" s="186" t="s">
        <v>320</v>
      </c>
      <c r="F149" s="186" t="s">
        <v>319</v>
      </c>
      <c r="G149" s="186" t="s">
        <v>321</v>
      </c>
      <c r="H149" s="186" t="s">
        <v>322</v>
      </c>
      <c r="I149" s="186" t="s">
        <v>237</v>
      </c>
      <c r="J149" s="186" t="s">
        <v>323</v>
      </c>
      <c r="K149" s="186" t="s">
        <v>322</v>
      </c>
      <c r="L149" s="186" t="s">
        <v>239</v>
      </c>
      <c r="M149" s="574" t="s">
        <v>324</v>
      </c>
      <c r="N149" s="574" t="s">
        <v>325</v>
      </c>
      <c r="O149" s="574" t="s">
        <v>326</v>
      </c>
      <c r="P149" s="186"/>
      <c r="Q149" s="186"/>
      <c r="R149" s="186"/>
    </row>
    <row r="150" spans="1:18" x14ac:dyDescent="0.25">
      <c r="A150" s="186" t="s">
        <v>318</v>
      </c>
      <c r="B150" s="637">
        <v>1.5</v>
      </c>
      <c r="C150" s="186"/>
      <c r="D150" s="186" t="s">
        <v>319</v>
      </c>
      <c r="E150" s="186" t="s">
        <v>320</v>
      </c>
      <c r="F150" s="186" t="s">
        <v>319</v>
      </c>
      <c r="G150" s="186" t="s">
        <v>321</v>
      </c>
      <c r="H150" s="186" t="s">
        <v>322</v>
      </c>
      <c r="I150" s="186" t="s">
        <v>237</v>
      </c>
      <c r="J150" s="186" t="s">
        <v>323</v>
      </c>
      <c r="K150" s="186" t="s">
        <v>322</v>
      </c>
      <c r="L150" s="186" t="s">
        <v>240</v>
      </c>
      <c r="M150" s="574" t="s">
        <v>324</v>
      </c>
      <c r="N150" s="574" t="s">
        <v>325</v>
      </c>
      <c r="O150" s="574" t="s">
        <v>326</v>
      </c>
      <c r="P150" s="186"/>
      <c r="Q150" s="186"/>
      <c r="R150" s="186"/>
    </row>
    <row r="151" spans="1:18" x14ac:dyDescent="0.25">
      <c r="A151" s="186" t="s">
        <v>318</v>
      </c>
      <c r="B151" s="637">
        <v>1.35</v>
      </c>
      <c r="C151" s="186"/>
      <c r="D151" s="186" t="s">
        <v>319</v>
      </c>
      <c r="E151" s="186" t="s">
        <v>320</v>
      </c>
      <c r="F151" s="186" t="s">
        <v>319</v>
      </c>
      <c r="G151" s="186" t="s">
        <v>321</v>
      </c>
      <c r="H151" s="186" t="s">
        <v>322</v>
      </c>
      <c r="I151" s="186" t="s">
        <v>237</v>
      </c>
      <c r="J151" s="186" t="s">
        <v>323</v>
      </c>
      <c r="K151" s="186" t="s">
        <v>322</v>
      </c>
      <c r="L151" s="186" t="s">
        <v>241</v>
      </c>
      <c r="M151" s="574" t="s">
        <v>324</v>
      </c>
      <c r="N151" s="574" t="s">
        <v>325</v>
      </c>
      <c r="O151" s="574" t="s">
        <v>326</v>
      </c>
      <c r="P151" s="186"/>
      <c r="Q151" s="186"/>
      <c r="R151" s="186"/>
    </row>
    <row r="152" spans="1:18" x14ac:dyDescent="0.25">
      <c r="A152" s="186" t="s">
        <v>318</v>
      </c>
      <c r="B152" s="637">
        <v>1.25</v>
      </c>
      <c r="C152" s="186"/>
      <c r="D152" s="186" t="s">
        <v>319</v>
      </c>
      <c r="E152" s="186" t="s">
        <v>320</v>
      </c>
      <c r="F152" s="186" t="s">
        <v>319</v>
      </c>
      <c r="G152" s="186" t="s">
        <v>321</v>
      </c>
      <c r="H152" s="186" t="s">
        <v>322</v>
      </c>
      <c r="I152" s="186" t="s">
        <v>237</v>
      </c>
      <c r="J152" s="186" t="s">
        <v>323</v>
      </c>
      <c r="K152" s="186" t="s">
        <v>322</v>
      </c>
      <c r="L152" s="186" t="s">
        <v>242</v>
      </c>
      <c r="M152" s="574" t="s">
        <v>324</v>
      </c>
      <c r="N152" s="574" t="s">
        <v>325</v>
      </c>
      <c r="O152" s="574" t="s">
        <v>326</v>
      </c>
      <c r="P152" s="186"/>
      <c r="Q152" s="186"/>
      <c r="R152" s="186"/>
    </row>
    <row r="153" spans="1:18" x14ac:dyDescent="0.25">
      <c r="A153" s="186" t="s">
        <v>318</v>
      </c>
      <c r="B153" s="637">
        <v>1.1499999999999999</v>
      </c>
      <c r="C153" s="186"/>
      <c r="D153" s="186" t="s">
        <v>319</v>
      </c>
      <c r="E153" s="186" t="s">
        <v>320</v>
      </c>
      <c r="F153" s="186" t="s">
        <v>319</v>
      </c>
      <c r="G153" s="186" t="s">
        <v>321</v>
      </c>
      <c r="H153" s="186" t="s">
        <v>322</v>
      </c>
      <c r="I153" s="186" t="s">
        <v>237</v>
      </c>
      <c r="J153" s="186" t="s">
        <v>323</v>
      </c>
      <c r="K153" s="186" t="s">
        <v>322</v>
      </c>
      <c r="L153" s="186" t="s">
        <v>243</v>
      </c>
      <c r="M153" s="574" t="s">
        <v>324</v>
      </c>
      <c r="N153" s="574" t="s">
        <v>325</v>
      </c>
      <c r="O153" s="574" t="s">
        <v>326</v>
      </c>
      <c r="P153" s="186"/>
      <c r="Q153" s="186"/>
      <c r="R153" s="186"/>
    </row>
    <row r="154" spans="1:18" x14ac:dyDescent="0.25">
      <c r="A154" s="186" t="s">
        <v>318</v>
      </c>
      <c r="B154" s="637">
        <v>1.07</v>
      </c>
      <c r="C154" s="186"/>
      <c r="D154" s="186" t="s">
        <v>319</v>
      </c>
      <c r="E154" s="186" t="s">
        <v>320</v>
      </c>
      <c r="F154" s="186" t="s">
        <v>319</v>
      </c>
      <c r="G154" s="186" t="s">
        <v>321</v>
      </c>
      <c r="H154" s="186" t="s">
        <v>322</v>
      </c>
      <c r="I154" s="186" t="s">
        <v>237</v>
      </c>
      <c r="J154" s="186" t="s">
        <v>323</v>
      </c>
      <c r="K154" s="186" t="s">
        <v>322</v>
      </c>
      <c r="L154" s="186" t="s">
        <v>244</v>
      </c>
      <c r="M154" s="574" t="s">
        <v>324</v>
      </c>
      <c r="N154" s="574" t="s">
        <v>325</v>
      </c>
      <c r="O154" s="574" t="s">
        <v>326</v>
      </c>
      <c r="P154" s="186"/>
      <c r="Q154" s="186"/>
      <c r="R154" s="186"/>
    </row>
    <row r="155" spans="1:18" x14ac:dyDescent="0.25">
      <c r="A155" s="186" t="s">
        <v>318</v>
      </c>
      <c r="B155" s="637">
        <v>1</v>
      </c>
      <c r="C155" s="186"/>
      <c r="D155" s="186" t="s">
        <v>319</v>
      </c>
      <c r="E155" s="186" t="s">
        <v>319</v>
      </c>
      <c r="F155" s="186" t="s">
        <v>319</v>
      </c>
      <c r="G155" s="186" t="s">
        <v>321</v>
      </c>
      <c r="H155" s="186" t="s">
        <v>322</v>
      </c>
      <c r="I155" s="186" t="s">
        <v>237</v>
      </c>
      <c r="J155" s="186" t="s">
        <v>323</v>
      </c>
      <c r="K155" s="186" t="s">
        <v>322</v>
      </c>
      <c r="L155" s="186" t="s">
        <v>245</v>
      </c>
      <c r="M155" s="574" t="s">
        <v>324</v>
      </c>
      <c r="N155" s="574" t="s">
        <v>325</v>
      </c>
      <c r="O155" s="574" t="s">
        <v>326</v>
      </c>
      <c r="P155" s="186"/>
      <c r="Q155" s="186"/>
      <c r="R155" s="186"/>
    </row>
    <row r="156" spans="1:18" x14ac:dyDescent="0.25">
      <c r="A156" s="186" t="s">
        <v>318</v>
      </c>
      <c r="B156" s="637">
        <v>0.98</v>
      </c>
      <c r="C156" s="186"/>
      <c r="D156" s="186" t="s">
        <v>319</v>
      </c>
      <c r="E156" s="186" t="s">
        <v>319</v>
      </c>
      <c r="F156" s="186" t="s">
        <v>319</v>
      </c>
      <c r="G156" s="186" t="s">
        <v>321</v>
      </c>
      <c r="H156" s="186" t="s">
        <v>322</v>
      </c>
      <c r="I156" s="186" t="s">
        <v>237</v>
      </c>
      <c r="J156" s="186" t="s">
        <v>323</v>
      </c>
      <c r="K156" s="186" t="s">
        <v>322</v>
      </c>
      <c r="L156" s="186" t="s">
        <v>246</v>
      </c>
      <c r="M156" s="574" t="s">
        <v>324</v>
      </c>
      <c r="N156" s="574" t="s">
        <v>325</v>
      </c>
      <c r="O156" s="574" t="s">
        <v>326</v>
      </c>
      <c r="P156" s="186"/>
      <c r="Q156" s="186"/>
      <c r="R156" s="186"/>
    </row>
    <row r="157" spans="1:18" x14ac:dyDescent="0.25">
      <c r="A157" s="186" t="s">
        <v>318</v>
      </c>
      <c r="B157" s="637">
        <v>0.92500000000000004</v>
      </c>
      <c r="C157" s="186"/>
      <c r="D157" s="186" t="s">
        <v>319</v>
      </c>
      <c r="E157" s="186" t="s">
        <v>319</v>
      </c>
      <c r="F157" s="186" t="s">
        <v>319</v>
      </c>
      <c r="G157" s="186" t="s">
        <v>321</v>
      </c>
      <c r="H157" s="186" t="s">
        <v>322</v>
      </c>
      <c r="I157" s="186" t="s">
        <v>237</v>
      </c>
      <c r="J157" s="186" t="s">
        <v>323</v>
      </c>
      <c r="K157" s="186" t="s">
        <v>322</v>
      </c>
      <c r="L157" s="186" t="s">
        <v>247</v>
      </c>
      <c r="M157" s="574" t="s">
        <v>324</v>
      </c>
      <c r="N157" s="574" t="s">
        <v>325</v>
      </c>
      <c r="O157" s="574" t="s">
        <v>326</v>
      </c>
      <c r="P157" s="186"/>
      <c r="Q157" s="186"/>
      <c r="R157" s="186"/>
    </row>
    <row r="158" spans="1:18" x14ac:dyDescent="0.25">
      <c r="A158" s="186" t="s">
        <v>318</v>
      </c>
      <c r="B158" s="637">
        <v>0.9</v>
      </c>
      <c r="C158" s="186"/>
      <c r="D158" s="186" t="s">
        <v>319</v>
      </c>
      <c r="E158" s="186" t="s">
        <v>319</v>
      </c>
      <c r="F158" s="186" t="s">
        <v>319</v>
      </c>
      <c r="G158" s="186" t="s">
        <v>321</v>
      </c>
      <c r="H158" s="186" t="s">
        <v>322</v>
      </c>
      <c r="I158" s="186" t="s">
        <v>237</v>
      </c>
      <c r="J158" s="186" t="s">
        <v>323</v>
      </c>
      <c r="K158" s="186" t="s">
        <v>322</v>
      </c>
      <c r="L158" s="186" t="s">
        <v>248</v>
      </c>
      <c r="M158" s="574" t="s">
        <v>324</v>
      </c>
      <c r="N158" s="574" t="s">
        <v>325</v>
      </c>
      <c r="O158" s="574" t="s">
        <v>326</v>
      </c>
      <c r="P158" s="186"/>
      <c r="Q158" s="186"/>
      <c r="R158" s="186"/>
    </row>
    <row r="159" spans="1:18" x14ac:dyDescent="0.25">
      <c r="A159" s="186" t="s">
        <v>318</v>
      </c>
      <c r="B159" s="637">
        <v>0.85</v>
      </c>
      <c r="C159" s="186"/>
      <c r="D159" s="186" t="s">
        <v>319</v>
      </c>
      <c r="E159" s="186" t="s">
        <v>319</v>
      </c>
      <c r="F159" s="186" t="s">
        <v>319</v>
      </c>
      <c r="G159" s="186" t="s">
        <v>321</v>
      </c>
      <c r="H159" s="186" t="s">
        <v>322</v>
      </c>
      <c r="I159" s="186" t="s">
        <v>237</v>
      </c>
      <c r="J159" s="186" t="s">
        <v>323</v>
      </c>
      <c r="K159" s="186" t="s">
        <v>322</v>
      </c>
      <c r="L159" s="186" t="s">
        <v>249</v>
      </c>
      <c r="M159" s="574" t="s">
        <v>324</v>
      </c>
      <c r="N159" s="574" t="s">
        <v>325</v>
      </c>
      <c r="O159" s="574" t="s">
        <v>326</v>
      </c>
      <c r="P159" s="186"/>
      <c r="Q159" s="186"/>
      <c r="R159" s="186"/>
    </row>
    <row r="160" spans="1:18" x14ac:dyDescent="0.25">
      <c r="A160" s="186" t="s">
        <v>318</v>
      </c>
      <c r="B160" s="637">
        <v>0.8</v>
      </c>
      <c r="C160" s="186"/>
      <c r="D160" s="186" t="s">
        <v>319</v>
      </c>
      <c r="E160" s="186" t="s">
        <v>319</v>
      </c>
      <c r="F160" s="186" t="s">
        <v>319</v>
      </c>
      <c r="G160" s="186" t="s">
        <v>321</v>
      </c>
      <c r="H160" s="186" t="s">
        <v>322</v>
      </c>
      <c r="I160" s="186" t="s">
        <v>237</v>
      </c>
      <c r="J160" s="186" t="s">
        <v>323</v>
      </c>
      <c r="K160" s="186" t="s">
        <v>322</v>
      </c>
      <c r="L160" s="186" t="s">
        <v>250</v>
      </c>
      <c r="M160" s="574" t="s">
        <v>324</v>
      </c>
      <c r="N160" s="574" t="s">
        <v>325</v>
      </c>
      <c r="O160" s="574" t="s">
        <v>326</v>
      </c>
      <c r="P160" s="186"/>
      <c r="Q160" s="186"/>
      <c r="R160" s="186"/>
    </row>
    <row r="161" spans="1:18" x14ac:dyDescent="0.25">
      <c r="A161" s="186" t="s">
        <v>318</v>
      </c>
      <c r="B161" s="637">
        <v>0.75</v>
      </c>
      <c r="C161" s="186"/>
      <c r="D161" s="186" t="s">
        <v>319</v>
      </c>
      <c r="E161" s="186" t="s">
        <v>319</v>
      </c>
      <c r="F161" s="186" t="s">
        <v>319</v>
      </c>
      <c r="G161" s="186" t="s">
        <v>321</v>
      </c>
      <c r="H161" s="186" t="s">
        <v>322</v>
      </c>
      <c r="I161" s="186" t="s">
        <v>237</v>
      </c>
      <c r="J161" s="186" t="s">
        <v>323</v>
      </c>
      <c r="K161" s="186" t="s">
        <v>322</v>
      </c>
      <c r="L161" s="186" t="s">
        <v>251</v>
      </c>
      <c r="M161" s="574" t="s">
        <v>324</v>
      </c>
      <c r="N161" s="574" t="s">
        <v>325</v>
      </c>
      <c r="O161" s="574" t="s">
        <v>326</v>
      </c>
      <c r="P161" s="186"/>
      <c r="Q161" s="186"/>
      <c r="R161" s="186"/>
    </row>
    <row r="162" spans="1:18" x14ac:dyDescent="0.25">
      <c r="A162" s="186" t="s">
        <v>318</v>
      </c>
      <c r="B162" s="637">
        <v>0.7</v>
      </c>
      <c r="C162" s="186"/>
      <c r="D162" s="186" t="s">
        <v>319</v>
      </c>
      <c r="E162" s="186" t="s">
        <v>319</v>
      </c>
      <c r="F162" s="186" t="s">
        <v>319</v>
      </c>
      <c r="G162" s="186" t="s">
        <v>321</v>
      </c>
      <c r="H162" s="186" t="s">
        <v>322</v>
      </c>
      <c r="I162" s="186" t="s">
        <v>237</v>
      </c>
      <c r="J162" s="186" t="s">
        <v>323</v>
      </c>
      <c r="K162" s="186" t="s">
        <v>322</v>
      </c>
      <c r="L162" s="186" t="s">
        <v>252</v>
      </c>
      <c r="M162" s="574" t="s">
        <v>324</v>
      </c>
      <c r="N162" s="574" t="s">
        <v>325</v>
      </c>
      <c r="O162" s="574" t="s">
        <v>326</v>
      </c>
      <c r="P162" s="186"/>
      <c r="Q162" s="186"/>
      <c r="R162" s="186"/>
    </row>
    <row r="163" spans="1:18" x14ac:dyDescent="0.25">
      <c r="A163" s="186" t="s">
        <v>318</v>
      </c>
      <c r="B163" s="637">
        <v>0.65</v>
      </c>
      <c r="C163" s="186"/>
      <c r="D163" s="186" t="s">
        <v>320</v>
      </c>
      <c r="E163" s="186" t="s">
        <v>319</v>
      </c>
      <c r="F163" s="186" t="s">
        <v>319</v>
      </c>
      <c r="G163" s="186" t="s">
        <v>321</v>
      </c>
      <c r="H163" s="186" t="s">
        <v>322</v>
      </c>
      <c r="I163" s="186" t="s">
        <v>237</v>
      </c>
      <c r="J163" s="186" t="s">
        <v>323</v>
      </c>
      <c r="K163" s="186" t="s">
        <v>322</v>
      </c>
      <c r="L163" s="186" t="s">
        <v>253</v>
      </c>
      <c r="M163" s="574" t="s">
        <v>324</v>
      </c>
      <c r="N163" s="574" t="s">
        <v>325</v>
      </c>
      <c r="O163" s="574" t="s">
        <v>326</v>
      </c>
      <c r="P163" s="186"/>
      <c r="Q163" s="186"/>
      <c r="R163" s="186"/>
    </row>
    <row r="164" spans="1:18" x14ac:dyDescent="0.25">
      <c r="A164" s="186" t="s">
        <v>318</v>
      </c>
      <c r="B164" s="637">
        <v>1.05</v>
      </c>
      <c r="C164" s="186"/>
      <c r="D164" s="186" t="s">
        <v>319</v>
      </c>
      <c r="E164" s="186" t="s">
        <v>320</v>
      </c>
      <c r="F164" s="186" t="s">
        <v>319</v>
      </c>
      <c r="G164" s="186" t="s">
        <v>321</v>
      </c>
      <c r="H164" s="186" t="s">
        <v>322</v>
      </c>
      <c r="I164" s="186" t="s">
        <v>237</v>
      </c>
      <c r="J164" s="186" t="s">
        <v>323</v>
      </c>
      <c r="K164" s="186" t="s">
        <v>322</v>
      </c>
      <c r="L164" s="186" t="s">
        <v>254</v>
      </c>
      <c r="M164" s="574" t="s">
        <v>324</v>
      </c>
      <c r="N164" s="574" t="s">
        <v>325</v>
      </c>
      <c r="O164" s="574" t="s">
        <v>326</v>
      </c>
      <c r="P164" s="186"/>
      <c r="Q164" s="186"/>
      <c r="R164" s="186"/>
    </row>
    <row r="165" spans="1:18" x14ac:dyDescent="0.25">
      <c r="A165" s="186" t="s">
        <v>318</v>
      </c>
      <c r="B165" s="637">
        <v>1.25</v>
      </c>
      <c r="C165" s="186"/>
      <c r="D165" s="186" t="s">
        <v>319</v>
      </c>
      <c r="E165" s="186" t="s">
        <v>320</v>
      </c>
      <c r="F165" s="186" t="s">
        <v>319</v>
      </c>
      <c r="G165" s="186" t="s">
        <v>321</v>
      </c>
      <c r="H165" s="186" t="s">
        <v>322</v>
      </c>
      <c r="I165" s="186" t="s">
        <v>237</v>
      </c>
      <c r="J165" s="186" t="s">
        <v>323</v>
      </c>
      <c r="K165" s="186" t="s">
        <v>322</v>
      </c>
      <c r="L165" s="186" t="s">
        <v>255</v>
      </c>
      <c r="M165" s="574" t="s">
        <v>324</v>
      </c>
      <c r="N165" s="574" t="s">
        <v>325</v>
      </c>
      <c r="O165" s="574" t="s">
        <v>326</v>
      </c>
      <c r="P165" s="186"/>
      <c r="Q165" s="186"/>
      <c r="R165" s="186"/>
    </row>
    <row r="166" spans="1:18" x14ac:dyDescent="0.25">
      <c r="A166" s="186" t="s">
        <v>318</v>
      </c>
      <c r="B166" s="637">
        <v>1</v>
      </c>
      <c r="C166" s="186"/>
      <c r="D166" s="186" t="s">
        <v>319</v>
      </c>
      <c r="E166" s="186" t="s">
        <v>319</v>
      </c>
      <c r="F166" s="186" t="s">
        <v>319</v>
      </c>
      <c r="G166" s="186" t="s">
        <v>321</v>
      </c>
      <c r="H166" s="186" t="s">
        <v>322</v>
      </c>
      <c r="I166" s="186" t="s">
        <v>237</v>
      </c>
      <c r="J166" s="186" t="s">
        <v>323</v>
      </c>
      <c r="K166" s="186" t="s">
        <v>322</v>
      </c>
      <c r="L166" s="186" t="s">
        <v>259</v>
      </c>
      <c r="M166" s="574" t="s">
        <v>324</v>
      </c>
      <c r="N166" s="574" t="s">
        <v>325</v>
      </c>
      <c r="O166" s="574" t="s">
        <v>326</v>
      </c>
      <c r="P166" s="186"/>
      <c r="Q166" s="186"/>
      <c r="R166" s="186"/>
    </row>
    <row r="167" spans="1:18" x14ac:dyDescent="0.25">
      <c r="A167" s="186" t="s">
        <v>318</v>
      </c>
      <c r="B167" s="637">
        <v>1</v>
      </c>
      <c r="C167" s="186"/>
      <c r="D167" s="186" t="s">
        <v>319</v>
      </c>
      <c r="E167" s="186" t="s">
        <v>319</v>
      </c>
      <c r="F167" s="186" t="s">
        <v>319</v>
      </c>
      <c r="G167" s="186" t="s">
        <v>321</v>
      </c>
      <c r="H167" s="186" t="s">
        <v>322</v>
      </c>
      <c r="I167" s="186" t="s">
        <v>237</v>
      </c>
      <c r="J167" s="186" t="s">
        <v>323</v>
      </c>
      <c r="K167" s="186" t="s">
        <v>322</v>
      </c>
      <c r="L167" s="186" t="s">
        <v>258</v>
      </c>
      <c r="M167" s="574" t="s">
        <v>324</v>
      </c>
      <c r="N167" s="574" t="s">
        <v>325</v>
      </c>
      <c r="O167" s="574" t="s">
        <v>326</v>
      </c>
      <c r="P167" s="186"/>
      <c r="Q167" s="186"/>
      <c r="R167" s="186"/>
    </row>
    <row r="168" spans="1:18" x14ac:dyDescent="0.25">
      <c r="A168" s="186" t="s">
        <v>318</v>
      </c>
      <c r="B168" s="637">
        <v>1</v>
      </c>
      <c r="C168" s="186"/>
      <c r="D168" s="186" t="s">
        <v>319</v>
      </c>
      <c r="E168" s="186" t="s">
        <v>319</v>
      </c>
      <c r="F168" s="186" t="s">
        <v>319</v>
      </c>
      <c r="G168" s="186" t="s">
        <v>321</v>
      </c>
      <c r="H168" s="186" t="s">
        <v>322</v>
      </c>
      <c r="I168" s="186" t="s">
        <v>237</v>
      </c>
      <c r="J168" s="186" t="s">
        <v>323</v>
      </c>
      <c r="K168" s="186" t="s">
        <v>322</v>
      </c>
      <c r="L168" s="186" t="s">
        <v>257</v>
      </c>
      <c r="M168" s="574" t="s">
        <v>324</v>
      </c>
      <c r="N168" s="574" t="s">
        <v>325</v>
      </c>
      <c r="O168" s="574" t="s">
        <v>326</v>
      </c>
      <c r="P168" s="186"/>
      <c r="Q168" s="186"/>
      <c r="R168" s="186"/>
    </row>
    <row r="169" spans="1:18" x14ac:dyDescent="0.25">
      <c r="A169" s="186" t="s">
        <v>318</v>
      </c>
      <c r="B169" s="637">
        <v>1</v>
      </c>
      <c r="C169" s="186"/>
      <c r="D169" s="186" t="s">
        <v>319</v>
      </c>
      <c r="E169" s="186" t="s">
        <v>319</v>
      </c>
      <c r="F169" s="186" t="s">
        <v>319</v>
      </c>
      <c r="G169" s="186" t="s">
        <v>321</v>
      </c>
      <c r="H169" s="186" t="s">
        <v>322</v>
      </c>
      <c r="I169" s="186" t="s">
        <v>237</v>
      </c>
      <c r="J169" s="186" t="s">
        <v>323</v>
      </c>
      <c r="K169" s="186" t="s">
        <v>322</v>
      </c>
      <c r="L169" s="186" t="s">
        <v>256</v>
      </c>
      <c r="M169" s="574" t="s">
        <v>324</v>
      </c>
      <c r="N169" s="574" t="s">
        <v>325</v>
      </c>
      <c r="O169" s="574" t="s">
        <v>326</v>
      </c>
      <c r="P169" s="186"/>
      <c r="Q169" s="186"/>
      <c r="R169" s="186"/>
    </row>
    <row r="170" spans="1:18" x14ac:dyDescent="0.25">
      <c r="A170" s="641" t="s">
        <v>336</v>
      </c>
      <c r="B170" s="642">
        <v>1.8</v>
      </c>
      <c r="C170" s="641"/>
      <c r="D170" s="641" t="s">
        <v>319</v>
      </c>
      <c r="E170" s="641" t="s">
        <v>319</v>
      </c>
      <c r="F170" s="641" t="s">
        <v>319</v>
      </c>
      <c r="G170" s="641" t="s">
        <v>324</v>
      </c>
      <c r="H170" s="575" t="s">
        <v>325</v>
      </c>
      <c r="I170" s="601" t="s">
        <v>337</v>
      </c>
      <c r="J170" s="641" t="s">
        <v>338</v>
      </c>
      <c r="K170" s="641" t="s">
        <v>339</v>
      </c>
      <c r="L170" s="641" t="s">
        <v>320</v>
      </c>
      <c r="M170" s="641" t="s">
        <v>321</v>
      </c>
      <c r="N170" s="641" t="s">
        <v>340</v>
      </c>
      <c r="O170" s="641" t="s">
        <v>341</v>
      </c>
      <c r="P170" s="186"/>
      <c r="Q170" s="186"/>
      <c r="R170" s="186"/>
    </row>
    <row r="171" spans="1:18" x14ac:dyDescent="0.25">
      <c r="A171" s="641" t="s">
        <v>336</v>
      </c>
      <c r="B171" s="642">
        <v>1.8</v>
      </c>
      <c r="C171" s="641"/>
      <c r="D171" s="641" t="s">
        <v>319</v>
      </c>
      <c r="E171" s="641" t="s">
        <v>319</v>
      </c>
      <c r="F171" s="641" t="s">
        <v>319</v>
      </c>
      <c r="G171" s="641" t="s">
        <v>324</v>
      </c>
      <c r="H171" s="575" t="s">
        <v>325</v>
      </c>
      <c r="I171" s="601" t="s">
        <v>342</v>
      </c>
      <c r="J171" s="641" t="s">
        <v>338</v>
      </c>
      <c r="K171" s="641" t="s">
        <v>339</v>
      </c>
      <c r="L171" s="641" t="s">
        <v>320</v>
      </c>
      <c r="M171" s="641" t="s">
        <v>321</v>
      </c>
      <c r="N171" s="641" t="s">
        <v>340</v>
      </c>
      <c r="O171" s="641" t="s">
        <v>341</v>
      </c>
      <c r="P171" s="186"/>
      <c r="Q171" s="186"/>
      <c r="R171" s="186"/>
    </row>
    <row r="172" spans="1:18" x14ac:dyDescent="0.25">
      <c r="A172" s="641" t="s">
        <v>336</v>
      </c>
      <c r="B172" s="642">
        <v>1.8</v>
      </c>
      <c r="C172" s="641"/>
      <c r="D172" s="641" t="s">
        <v>319</v>
      </c>
      <c r="E172" s="641" t="s">
        <v>319</v>
      </c>
      <c r="F172" s="641" t="s">
        <v>319</v>
      </c>
      <c r="G172" s="641" t="s">
        <v>324</v>
      </c>
      <c r="H172" s="575" t="s">
        <v>325</v>
      </c>
      <c r="I172" s="601" t="s">
        <v>343</v>
      </c>
      <c r="J172" s="641" t="s">
        <v>338</v>
      </c>
      <c r="K172" s="641" t="s">
        <v>339</v>
      </c>
      <c r="L172" s="641" t="s">
        <v>320</v>
      </c>
      <c r="M172" s="641" t="s">
        <v>321</v>
      </c>
      <c r="N172" s="641" t="s">
        <v>340</v>
      </c>
      <c r="O172" s="641" t="s">
        <v>341</v>
      </c>
      <c r="P172" s="186"/>
      <c r="Q172" s="186"/>
      <c r="R172" s="186"/>
    </row>
    <row r="173" spans="1:18" x14ac:dyDescent="0.25">
      <c r="A173" s="641" t="s">
        <v>336</v>
      </c>
      <c r="B173" s="642">
        <v>1.8</v>
      </c>
      <c r="C173" s="641"/>
      <c r="D173" s="641" t="s">
        <v>319</v>
      </c>
      <c r="E173" s="641" t="s">
        <v>319</v>
      </c>
      <c r="F173" s="641" t="s">
        <v>319</v>
      </c>
      <c r="G173" s="641" t="s">
        <v>324</v>
      </c>
      <c r="H173" s="575" t="s">
        <v>325</v>
      </c>
      <c r="I173" s="601" t="s">
        <v>344</v>
      </c>
      <c r="J173" s="641" t="s">
        <v>338</v>
      </c>
      <c r="K173" s="641" t="s">
        <v>339</v>
      </c>
      <c r="L173" s="641" t="s">
        <v>320</v>
      </c>
      <c r="M173" s="641" t="s">
        <v>321</v>
      </c>
      <c r="N173" s="641" t="s">
        <v>340</v>
      </c>
      <c r="O173" s="641" t="s">
        <v>341</v>
      </c>
      <c r="P173" s="186"/>
      <c r="Q173" s="186"/>
      <c r="R173" s="186"/>
    </row>
    <row r="174" spans="1:18" x14ac:dyDescent="0.25">
      <c r="A174" s="641" t="s">
        <v>336</v>
      </c>
      <c r="B174" s="642">
        <v>1.8</v>
      </c>
      <c r="C174" s="641"/>
      <c r="D174" s="641" t="s">
        <v>319</v>
      </c>
      <c r="E174" s="641" t="s">
        <v>319</v>
      </c>
      <c r="F174" s="641" t="s">
        <v>319</v>
      </c>
      <c r="G174" s="641" t="s">
        <v>324</v>
      </c>
      <c r="H174" s="575" t="s">
        <v>325</v>
      </c>
      <c r="I174" s="601" t="s">
        <v>345</v>
      </c>
      <c r="J174" s="641" t="s">
        <v>338</v>
      </c>
      <c r="K174" s="641" t="s">
        <v>339</v>
      </c>
      <c r="L174" s="641" t="s">
        <v>320</v>
      </c>
      <c r="M174" s="641" t="s">
        <v>321</v>
      </c>
      <c r="N174" s="641" t="s">
        <v>340</v>
      </c>
      <c r="O174" s="641" t="s">
        <v>341</v>
      </c>
      <c r="P174" s="186"/>
      <c r="Q174" s="186"/>
      <c r="R174" s="186"/>
    </row>
    <row r="175" spans="1:18" x14ac:dyDescent="0.25">
      <c r="A175" s="641" t="s">
        <v>336</v>
      </c>
      <c r="B175" s="642">
        <v>1.8</v>
      </c>
      <c r="C175" s="641"/>
      <c r="D175" s="641" t="s">
        <v>319</v>
      </c>
      <c r="E175" s="641" t="s">
        <v>319</v>
      </c>
      <c r="F175" s="641" t="s">
        <v>319</v>
      </c>
      <c r="G175" s="641" t="s">
        <v>324</v>
      </c>
      <c r="H175" s="575" t="s">
        <v>325</v>
      </c>
      <c r="I175" s="601" t="s">
        <v>346</v>
      </c>
      <c r="J175" s="641" t="s">
        <v>338</v>
      </c>
      <c r="K175" s="641" t="s">
        <v>339</v>
      </c>
      <c r="L175" s="641" t="s">
        <v>320</v>
      </c>
      <c r="M175" s="641" t="s">
        <v>321</v>
      </c>
      <c r="N175" s="641" t="s">
        <v>340</v>
      </c>
      <c r="O175" s="641" t="s">
        <v>341</v>
      </c>
      <c r="P175" s="186"/>
      <c r="Q175" s="186"/>
      <c r="R175" s="186"/>
    </row>
    <row r="176" spans="1:18" x14ac:dyDescent="0.25">
      <c r="A176" s="641" t="s">
        <v>336</v>
      </c>
      <c r="B176" s="642">
        <v>1.8</v>
      </c>
      <c r="C176" s="641"/>
      <c r="D176" s="641" t="s">
        <v>319</v>
      </c>
      <c r="E176" s="641" t="s">
        <v>319</v>
      </c>
      <c r="F176" s="641" t="s">
        <v>319</v>
      </c>
      <c r="G176" s="641" t="s">
        <v>324</v>
      </c>
      <c r="H176" s="575" t="s">
        <v>325</v>
      </c>
      <c r="I176" s="601" t="s">
        <v>347</v>
      </c>
      <c r="J176" s="641" t="s">
        <v>338</v>
      </c>
      <c r="K176" s="641" t="s">
        <v>339</v>
      </c>
      <c r="L176" s="641" t="s">
        <v>320</v>
      </c>
      <c r="M176" s="641" t="s">
        <v>321</v>
      </c>
      <c r="N176" s="641" t="s">
        <v>340</v>
      </c>
      <c r="O176" s="641" t="s">
        <v>341</v>
      </c>
      <c r="P176" s="186"/>
      <c r="Q176" s="186"/>
      <c r="R176" s="186"/>
    </row>
    <row r="177" spans="1:18" x14ac:dyDescent="0.25">
      <c r="A177" s="641" t="s">
        <v>336</v>
      </c>
      <c r="B177" s="642">
        <v>1.8</v>
      </c>
      <c r="C177" s="641"/>
      <c r="D177" s="641" t="s">
        <v>319</v>
      </c>
      <c r="E177" s="641" t="s">
        <v>319</v>
      </c>
      <c r="F177" s="641" t="s">
        <v>319</v>
      </c>
      <c r="G177" s="641" t="s">
        <v>324</v>
      </c>
      <c r="H177" s="575" t="s">
        <v>325</v>
      </c>
      <c r="I177" s="601" t="s">
        <v>348</v>
      </c>
      <c r="J177" s="641" t="s">
        <v>338</v>
      </c>
      <c r="K177" s="641" t="s">
        <v>339</v>
      </c>
      <c r="L177" s="641" t="s">
        <v>320</v>
      </c>
      <c r="M177" s="641" t="s">
        <v>321</v>
      </c>
      <c r="N177" s="641" t="s">
        <v>340</v>
      </c>
      <c r="O177" s="641" t="s">
        <v>341</v>
      </c>
      <c r="P177" s="186"/>
      <c r="Q177" s="186"/>
      <c r="R177" s="186"/>
    </row>
    <row r="178" spans="1:18" x14ac:dyDescent="0.25">
      <c r="A178" s="641" t="s">
        <v>336</v>
      </c>
      <c r="B178" s="642">
        <v>1.8</v>
      </c>
      <c r="C178" s="641"/>
      <c r="D178" s="641" t="s">
        <v>319</v>
      </c>
      <c r="E178" s="641" t="s">
        <v>319</v>
      </c>
      <c r="F178" s="641" t="s">
        <v>319</v>
      </c>
      <c r="G178" s="641" t="s">
        <v>324</v>
      </c>
      <c r="H178" s="575" t="s">
        <v>325</v>
      </c>
      <c r="I178" s="601" t="s">
        <v>349</v>
      </c>
      <c r="J178" s="641" t="s">
        <v>338</v>
      </c>
      <c r="K178" s="641" t="s">
        <v>339</v>
      </c>
      <c r="L178" s="641" t="s">
        <v>320</v>
      </c>
      <c r="M178" s="641" t="s">
        <v>321</v>
      </c>
      <c r="N178" s="641" t="s">
        <v>340</v>
      </c>
      <c r="O178" s="641" t="s">
        <v>341</v>
      </c>
      <c r="P178" s="186"/>
      <c r="Q178" s="186"/>
      <c r="R178" s="186"/>
    </row>
    <row r="179" spans="1:18" x14ac:dyDescent="0.25">
      <c r="A179" s="641" t="s">
        <v>336</v>
      </c>
      <c r="B179" s="642">
        <v>1.8</v>
      </c>
      <c r="C179" s="641"/>
      <c r="D179" s="641" t="s">
        <v>319</v>
      </c>
      <c r="E179" s="641" t="s">
        <v>319</v>
      </c>
      <c r="F179" s="641" t="s">
        <v>319</v>
      </c>
      <c r="G179" s="641" t="s">
        <v>324</v>
      </c>
      <c r="H179" s="575" t="s">
        <v>325</v>
      </c>
      <c r="I179" s="601" t="s">
        <v>350</v>
      </c>
      <c r="J179" s="641" t="s">
        <v>338</v>
      </c>
      <c r="K179" s="641" t="s">
        <v>339</v>
      </c>
      <c r="L179" s="641" t="s">
        <v>320</v>
      </c>
      <c r="M179" s="641" t="s">
        <v>321</v>
      </c>
      <c r="N179" s="641" t="s">
        <v>340</v>
      </c>
      <c r="O179" s="641" t="s">
        <v>341</v>
      </c>
      <c r="P179" s="186"/>
      <c r="Q179" s="186"/>
      <c r="R179" s="186"/>
    </row>
    <row r="180" spans="1:18" x14ac:dyDescent="0.25">
      <c r="A180" s="641" t="s">
        <v>336</v>
      </c>
      <c r="B180" s="642">
        <v>1.8</v>
      </c>
      <c r="C180" s="641"/>
      <c r="D180" s="641" t="s">
        <v>319</v>
      </c>
      <c r="E180" s="641" t="s">
        <v>319</v>
      </c>
      <c r="F180" s="641" t="s">
        <v>319</v>
      </c>
      <c r="G180" s="641" t="s">
        <v>324</v>
      </c>
      <c r="H180" s="575" t="s">
        <v>325</v>
      </c>
      <c r="I180" s="601" t="s">
        <v>351</v>
      </c>
      <c r="J180" s="641" t="s">
        <v>338</v>
      </c>
      <c r="K180" s="641" t="s">
        <v>339</v>
      </c>
      <c r="L180" s="641" t="s">
        <v>320</v>
      </c>
      <c r="M180" s="641" t="s">
        <v>321</v>
      </c>
      <c r="N180" s="641" t="s">
        <v>340</v>
      </c>
      <c r="O180" s="641" t="s">
        <v>341</v>
      </c>
      <c r="P180" s="186"/>
      <c r="Q180" s="186"/>
      <c r="R180" s="186"/>
    </row>
    <row r="181" spans="1:18" x14ac:dyDescent="0.25">
      <c r="A181" s="641" t="s">
        <v>336</v>
      </c>
      <c r="B181" s="642">
        <v>1.8</v>
      </c>
      <c r="C181" s="641"/>
      <c r="D181" s="641" t="s">
        <v>319</v>
      </c>
      <c r="E181" s="641" t="s">
        <v>319</v>
      </c>
      <c r="F181" s="641" t="s">
        <v>319</v>
      </c>
      <c r="G181" s="641" t="s">
        <v>324</v>
      </c>
      <c r="H181" s="575" t="s">
        <v>325</v>
      </c>
      <c r="I181" s="601" t="s">
        <v>352</v>
      </c>
      <c r="J181" s="641" t="s">
        <v>338</v>
      </c>
      <c r="K181" s="641" t="s">
        <v>339</v>
      </c>
      <c r="L181" s="641" t="s">
        <v>320</v>
      </c>
      <c r="M181" s="641" t="s">
        <v>321</v>
      </c>
      <c r="N181" s="641" t="s">
        <v>340</v>
      </c>
      <c r="O181" s="641" t="s">
        <v>341</v>
      </c>
      <c r="P181" s="186"/>
      <c r="Q181" s="186"/>
      <c r="R181" s="186"/>
    </row>
    <row r="182" spans="1:18" x14ac:dyDescent="0.25">
      <c r="A182" s="641" t="s">
        <v>336</v>
      </c>
      <c r="B182" s="642">
        <v>1.8</v>
      </c>
      <c r="C182" s="641"/>
      <c r="D182" s="641" t="s">
        <v>319</v>
      </c>
      <c r="E182" s="641" t="s">
        <v>319</v>
      </c>
      <c r="F182" s="641" t="s">
        <v>319</v>
      </c>
      <c r="G182" s="641" t="s">
        <v>324</v>
      </c>
      <c r="H182" s="575" t="s">
        <v>325</v>
      </c>
      <c r="I182" s="601" t="s">
        <v>353</v>
      </c>
      <c r="J182" s="641" t="s">
        <v>338</v>
      </c>
      <c r="K182" s="641" t="s">
        <v>339</v>
      </c>
      <c r="L182" s="641" t="s">
        <v>320</v>
      </c>
      <c r="M182" s="641" t="s">
        <v>321</v>
      </c>
      <c r="N182" s="641" t="s">
        <v>340</v>
      </c>
      <c r="O182" s="641" t="s">
        <v>341</v>
      </c>
      <c r="P182" s="186"/>
      <c r="Q182" s="186"/>
      <c r="R182" s="186"/>
    </row>
    <row r="183" spans="1:18" x14ac:dyDescent="0.25">
      <c r="A183" s="641" t="s">
        <v>336</v>
      </c>
      <c r="B183" s="642">
        <v>1.8</v>
      </c>
      <c r="C183" s="641"/>
      <c r="D183" s="641" t="s">
        <v>319</v>
      </c>
      <c r="E183" s="641" t="s">
        <v>319</v>
      </c>
      <c r="F183" s="641" t="s">
        <v>319</v>
      </c>
      <c r="G183" s="641" t="s">
        <v>324</v>
      </c>
      <c r="H183" s="575" t="s">
        <v>325</v>
      </c>
      <c r="I183" s="601" t="s">
        <v>354</v>
      </c>
      <c r="J183" s="641" t="s">
        <v>338</v>
      </c>
      <c r="K183" s="641" t="s">
        <v>339</v>
      </c>
      <c r="L183" s="641" t="s">
        <v>320</v>
      </c>
      <c r="M183" s="641" t="s">
        <v>321</v>
      </c>
      <c r="N183" s="641" t="s">
        <v>340</v>
      </c>
      <c r="O183" s="641" t="s">
        <v>341</v>
      </c>
      <c r="P183" s="186"/>
      <c r="Q183" s="186"/>
      <c r="R183" s="186"/>
    </row>
    <row r="184" spans="1:18" x14ac:dyDescent="0.25">
      <c r="A184" s="641" t="s">
        <v>336</v>
      </c>
      <c r="B184" s="642">
        <v>1.8</v>
      </c>
      <c r="C184" s="641"/>
      <c r="D184" s="641" t="s">
        <v>319</v>
      </c>
      <c r="E184" s="641" t="s">
        <v>319</v>
      </c>
      <c r="F184" s="641" t="s">
        <v>319</v>
      </c>
      <c r="G184" s="641" t="s">
        <v>324</v>
      </c>
      <c r="H184" s="575" t="s">
        <v>325</v>
      </c>
      <c r="I184" s="601" t="s">
        <v>355</v>
      </c>
      <c r="J184" s="641" t="s">
        <v>338</v>
      </c>
      <c r="K184" s="641" t="s">
        <v>339</v>
      </c>
      <c r="L184" s="641" t="s">
        <v>320</v>
      </c>
      <c r="M184" s="641" t="s">
        <v>321</v>
      </c>
      <c r="N184" s="641" t="s">
        <v>340</v>
      </c>
      <c r="O184" s="641" t="s">
        <v>341</v>
      </c>
      <c r="P184" s="186"/>
      <c r="Q184" s="186"/>
      <c r="R184" s="186"/>
    </row>
    <row r="185" spans="1:18" x14ac:dyDescent="0.25">
      <c r="A185" s="641" t="s">
        <v>336</v>
      </c>
      <c r="B185" s="642">
        <v>1.8</v>
      </c>
      <c r="C185" s="641"/>
      <c r="D185" s="641" t="s">
        <v>319</v>
      </c>
      <c r="E185" s="641" t="s">
        <v>319</v>
      </c>
      <c r="F185" s="641" t="s">
        <v>319</v>
      </c>
      <c r="G185" s="641" t="s">
        <v>324</v>
      </c>
      <c r="H185" s="575" t="s">
        <v>325</v>
      </c>
      <c r="I185" s="601" t="s">
        <v>356</v>
      </c>
      <c r="J185" s="641" t="s">
        <v>338</v>
      </c>
      <c r="K185" s="641" t="s">
        <v>339</v>
      </c>
      <c r="L185" s="641" t="s">
        <v>320</v>
      </c>
      <c r="M185" s="641" t="s">
        <v>321</v>
      </c>
      <c r="N185" s="641" t="s">
        <v>340</v>
      </c>
      <c r="O185" s="641" t="s">
        <v>341</v>
      </c>
      <c r="P185" s="186"/>
      <c r="Q185" s="186"/>
      <c r="R185" s="186"/>
    </row>
    <row r="186" spans="1:18" x14ac:dyDescent="0.25">
      <c r="A186" s="641" t="s">
        <v>336</v>
      </c>
      <c r="B186" s="642">
        <v>1.8</v>
      </c>
      <c r="C186" s="641"/>
      <c r="D186" s="641" t="s">
        <v>319</v>
      </c>
      <c r="E186" s="641" t="s">
        <v>319</v>
      </c>
      <c r="F186" s="641" t="s">
        <v>319</v>
      </c>
      <c r="G186" s="641" t="s">
        <v>324</v>
      </c>
      <c r="H186" s="575" t="s">
        <v>325</v>
      </c>
      <c r="I186" s="601" t="s">
        <v>357</v>
      </c>
      <c r="J186" s="641" t="s">
        <v>338</v>
      </c>
      <c r="K186" s="641" t="s">
        <v>339</v>
      </c>
      <c r="L186" s="641" t="s">
        <v>320</v>
      </c>
      <c r="M186" s="641" t="s">
        <v>321</v>
      </c>
      <c r="N186" s="641" t="s">
        <v>340</v>
      </c>
      <c r="O186" s="641" t="s">
        <v>341</v>
      </c>
      <c r="P186" s="186"/>
      <c r="Q186" s="186"/>
      <c r="R186" s="186"/>
    </row>
    <row r="187" spans="1:18" x14ac:dyDescent="0.25">
      <c r="A187" s="641" t="s">
        <v>336</v>
      </c>
      <c r="B187" s="642">
        <v>1.8</v>
      </c>
      <c r="C187" s="641"/>
      <c r="D187" s="641" t="s">
        <v>319</v>
      </c>
      <c r="E187" s="641" t="s">
        <v>319</v>
      </c>
      <c r="F187" s="641" t="s">
        <v>319</v>
      </c>
      <c r="G187" s="641" t="s">
        <v>324</v>
      </c>
      <c r="H187" s="575" t="s">
        <v>325</v>
      </c>
      <c r="I187" s="601" t="s">
        <v>358</v>
      </c>
      <c r="J187" s="641" t="s">
        <v>338</v>
      </c>
      <c r="K187" s="641" t="s">
        <v>339</v>
      </c>
      <c r="L187" s="641" t="s">
        <v>320</v>
      </c>
      <c r="M187" s="641" t="s">
        <v>321</v>
      </c>
      <c r="N187" s="641" t="s">
        <v>340</v>
      </c>
      <c r="O187" s="641" t="s">
        <v>341</v>
      </c>
      <c r="P187" s="186"/>
      <c r="Q187" s="186"/>
      <c r="R187" s="186"/>
    </row>
    <row r="188" spans="1:18" x14ac:dyDescent="0.25">
      <c r="A188" s="641" t="s">
        <v>336</v>
      </c>
      <c r="B188" s="642">
        <v>1.8</v>
      </c>
      <c r="C188" s="641"/>
      <c r="D188" s="641" t="s">
        <v>319</v>
      </c>
      <c r="E188" s="641" t="s">
        <v>319</v>
      </c>
      <c r="F188" s="641" t="s">
        <v>319</v>
      </c>
      <c r="G188" s="641" t="s">
        <v>324</v>
      </c>
      <c r="H188" s="575" t="s">
        <v>325</v>
      </c>
      <c r="I188" s="601" t="s">
        <v>359</v>
      </c>
      <c r="J188" s="641" t="s">
        <v>338</v>
      </c>
      <c r="K188" s="641" t="s">
        <v>339</v>
      </c>
      <c r="L188" s="641" t="s">
        <v>320</v>
      </c>
      <c r="M188" s="641" t="s">
        <v>321</v>
      </c>
      <c r="N188" s="641" t="s">
        <v>340</v>
      </c>
      <c r="O188" s="641" t="s">
        <v>341</v>
      </c>
      <c r="P188" s="186"/>
      <c r="Q188" s="186"/>
      <c r="R188" s="186"/>
    </row>
    <row r="189" spans="1:18" x14ac:dyDescent="0.25">
      <c r="A189" s="641" t="s">
        <v>336</v>
      </c>
      <c r="B189" s="642">
        <v>1.8</v>
      </c>
      <c r="C189" s="641"/>
      <c r="D189" s="641" t="s">
        <v>319</v>
      </c>
      <c r="E189" s="641" t="s">
        <v>319</v>
      </c>
      <c r="F189" s="641" t="s">
        <v>319</v>
      </c>
      <c r="G189" s="641" t="s">
        <v>324</v>
      </c>
      <c r="H189" s="575" t="s">
        <v>325</v>
      </c>
      <c r="I189" s="601" t="s">
        <v>360</v>
      </c>
      <c r="J189" s="641" t="s">
        <v>338</v>
      </c>
      <c r="K189" s="641" t="s">
        <v>339</v>
      </c>
      <c r="L189" s="641" t="s">
        <v>320</v>
      </c>
      <c r="M189" s="641" t="s">
        <v>321</v>
      </c>
      <c r="N189" s="641" t="s">
        <v>340</v>
      </c>
      <c r="O189" s="641" t="s">
        <v>341</v>
      </c>
      <c r="P189" s="186"/>
      <c r="Q189" s="186"/>
      <c r="R189" s="186"/>
    </row>
    <row r="190" spans="1:18" x14ac:dyDescent="0.25">
      <c r="A190" s="641" t="s">
        <v>336</v>
      </c>
      <c r="B190" s="642">
        <v>1.8</v>
      </c>
      <c r="C190" s="641"/>
      <c r="D190" s="641" t="s">
        <v>319</v>
      </c>
      <c r="E190" s="641" t="s">
        <v>319</v>
      </c>
      <c r="F190" s="641" t="s">
        <v>319</v>
      </c>
      <c r="G190" s="641" t="s">
        <v>324</v>
      </c>
      <c r="H190" s="575" t="s">
        <v>325</v>
      </c>
      <c r="I190" s="601" t="s">
        <v>361</v>
      </c>
      <c r="J190" s="641" t="s">
        <v>338</v>
      </c>
      <c r="K190" s="641" t="s">
        <v>339</v>
      </c>
      <c r="L190" s="641" t="s">
        <v>320</v>
      </c>
      <c r="M190" s="641" t="s">
        <v>321</v>
      </c>
      <c r="N190" s="641" t="s">
        <v>340</v>
      </c>
      <c r="O190" s="641" t="s">
        <v>341</v>
      </c>
      <c r="P190" s="186"/>
      <c r="Q190" s="186"/>
      <c r="R190" s="186"/>
    </row>
    <row r="191" spans="1:18" x14ac:dyDescent="0.25">
      <c r="A191" s="641" t="s">
        <v>336</v>
      </c>
      <c r="B191" s="642">
        <v>1.8</v>
      </c>
      <c r="C191" s="641"/>
      <c r="D191" s="641" t="s">
        <v>319</v>
      </c>
      <c r="E191" s="641" t="s">
        <v>319</v>
      </c>
      <c r="F191" s="641" t="s">
        <v>319</v>
      </c>
      <c r="G191" s="641" t="s">
        <v>324</v>
      </c>
      <c r="H191" s="575" t="s">
        <v>325</v>
      </c>
      <c r="I191" s="601" t="s">
        <v>362</v>
      </c>
      <c r="J191" s="641" t="s">
        <v>338</v>
      </c>
      <c r="K191" s="641" t="s">
        <v>339</v>
      </c>
      <c r="L191" s="641" t="s">
        <v>320</v>
      </c>
      <c r="M191" s="641" t="s">
        <v>321</v>
      </c>
      <c r="N191" s="641" t="s">
        <v>340</v>
      </c>
      <c r="O191" s="641" t="s">
        <v>341</v>
      </c>
      <c r="P191" s="186"/>
      <c r="Q191" s="186"/>
      <c r="R191" s="186"/>
    </row>
    <row r="192" spans="1:18" x14ac:dyDescent="0.25">
      <c r="A192" s="641" t="s">
        <v>336</v>
      </c>
      <c r="B192" s="642">
        <v>1.8</v>
      </c>
      <c r="C192" s="641"/>
      <c r="D192" s="641" t="s">
        <v>319</v>
      </c>
      <c r="E192" s="641" t="s">
        <v>319</v>
      </c>
      <c r="F192" s="641" t="s">
        <v>319</v>
      </c>
      <c r="G192" s="641" t="s">
        <v>324</v>
      </c>
      <c r="H192" s="575" t="s">
        <v>325</v>
      </c>
      <c r="I192" s="601" t="s">
        <v>363</v>
      </c>
      <c r="J192" s="641" t="s">
        <v>338</v>
      </c>
      <c r="K192" s="641" t="s">
        <v>339</v>
      </c>
      <c r="L192" s="641" t="s">
        <v>320</v>
      </c>
      <c r="M192" s="641" t="s">
        <v>321</v>
      </c>
      <c r="N192" s="641" t="s">
        <v>340</v>
      </c>
      <c r="O192" s="641" t="s">
        <v>341</v>
      </c>
      <c r="P192" s="186"/>
      <c r="Q192" s="186"/>
      <c r="R192" s="186"/>
    </row>
    <row r="193" spans="1:18" x14ac:dyDescent="0.25">
      <c r="A193" s="641" t="s">
        <v>336</v>
      </c>
      <c r="B193" s="642">
        <v>1.8</v>
      </c>
      <c r="C193" s="641"/>
      <c r="D193" s="641" t="s">
        <v>319</v>
      </c>
      <c r="E193" s="641" t="s">
        <v>319</v>
      </c>
      <c r="F193" s="641" t="s">
        <v>319</v>
      </c>
      <c r="G193" s="641" t="s">
        <v>324</v>
      </c>
      <c r="H193" s="575" t="s">
        <v>325</v>
      </c>
      <c r="I193" s="601" t="s">
        <v>364</v>
      </c>
      <c r="J193" s="641" t="s">
        <v>338</v>
      </c>
      <c r="K193" s="641" t="s">
        <v>339</v>
      </c>
      <c r="L193" s="641" t="s">
        <v>320</v>
      </c>
      <c r="M193" s="641" t="s">
        <v>321</v>
      </c>
      <c r="N193" s="641" t="s">
        <v>340</v>
      </c>
      <c r="O193" s="641" t="s">
        <v>341</v>
      </c>
      <c r="P193" s="186"/>
      <c r="Q193" s="186"/>
      <c r="R193" s="186"/>
    </row>
    <row r="194" spans="1:18" x14ac:dyDescent="0.25">
      <c r="A194" s="641" t="s">
        <v>336</v>
      </c>
      <c r="B194" s="642">
        <v>1.8</v>
      </c>
      <c r="C194" s="641"/>
      <c r="D194" s="641" t="s">
        <v>319</v>
      </c>
      <c r="E194" s="641" t="s">
        <v>319</v>
      </c>
      <c r="F194" s="641" t="s">
        <v>319</v>
      </c>
      <c r="G194" s="641" t="s">
        <v>324</v>
      </c>
      <c r="H194" s="575" t="s">
        <v>325</v>
      </c>
      <c r="I194" s="601" t="s">
        <v>365</v>
      </c>
      <c r="J194" s="641" t="s">
        <v>338</v>
      </c>
      <c r="K194" s="641" t="s">
        <v>339</v>
      </c>
      <c r="L194" s="641" t="s">
        <v>320</v>
      </c>
      <c r="M194" s="641" t="s">
        <v>321</v>
      </c>
      <c r="N194" s="641" t="s">
        <v>340</v>
      </c>
      <c r="O194" s="641" t="s">
        <v>341</v>
      </c>
      <c r="P194" s="186"/>
      <c r="Q194" s="186"/>
      <c r="R194" s="186"/>
    </row>
    <row r="195" spans="1:18" x14ac:dyDescent="0.25">
      <c r="A195" s="641" t="s">
        <v>336</v>
      </c>
      <c r="B195" s="642">
        <v>1.8</v>
      </c>
      <c r="C195" s="641"/>
      <c r="D195" s="641" t="s">
        <v>319</v>
      </c>
      <c r="E195" s="641" t="s">
        <v>319</v>
      </c>
      <c r="F195" s="641" t="s">
        <v>319</v>
      </c>
      <c r="G195" s="641" t="s">
        <v>324</v>
      </c>
      <c r="H195" s="575" t="s">
        <v>325</v>
      </c>
      <c r="I195" s="601" t="s">
        <v>366</v>
      </c>
      <c r="J195" s="641" t="s">
        <v>338</v>
      </c>
      <c r="K195" s="641" t="s">
        <v>339</v>
      </c>
      <c r="L195" s="641" t="s">
        <v>320</v>
      </c>
      <c r="M195" s="641" t="s">
        <v>321</v>
      </c>
      <c r="N195" s="641" t="s">
        <v>340</v>
      </c>
      <c r="O195" s="641" t="s">
        <v>341</v>
      </c>
      <c r="P195" s="186"/>
      <c r="Q195" s="186"/>
      <c r="R195" s="186"/>
    </row>
    <row r="196" spans="1:18" x14ac:dyDescent="0.25">
      <c r="A196" s="641" t="s">
        <v>336</v>
      </c>
      <c r="B196" s="642">
        <v>1.8</v>
      </c>
      <c r="C196" s="641"/>
      <c r="D196" s="641" t="s">
        <v>319</v>
      </c>
      <c r="E196" s="641" t="s">
        <v>319</v>
      </c>
      <c r="F196" s="641" t="s">
        <v>319</v>
      </c>
      <c r="G196" s="641" t="s">
        <v>324</v>
      </c>
      <c r="H196" s="575" t="s">
        <v>325</v>
      </c>
      <c r="I196" s="601" t="s">
        <v>367</v>
      </c>
      <c r="J196" s="641" t="s">
        <v>338</v>
      </c>
      <c r="K196" s="641" t="s">
        <v>339</v>
      </c>
      <c r="L196" s="641" t="s">
        <v>320</v>
      </c>
      <c r="M196" s="641" t="s">
        <v>321</v>
      </c>
      <c r="N196" s="641" t="s">
        <v>340</v>
      </c>
      <c r="O196" s="641" t="s">
        <v>341</v>
      </c>
      <c r="P196" s="186"/>
      <c r="Q196" s="186"/>
      <c r="R196" s="186"/>
    </row>
    <row r="197" spans="1:18" x14ac:dyDescent="0.25">
      <c r="A197" s="641" t="s">
        <v>336</v>
      </c>
      <c r="B197" s="642">
        <v>1.8</v>
      </c>
      <c r="C197" s="641"/>
      <c r="D197" s="641" t="s">
        <v>319</v>
      </c>
      <c r="E197" s="641" t="s">
        <v>319</v>
      </c>
      <c r="F197" s="641" t="s">
        <v>319</v>
      </c>
      <c r="G197" s="641" t="s">
        <v>324</v>
      </c>
      <c r="H197" s="575" t="s">
        <v>325</v>
      </c>
      <c r="I197" s="601" t="s">
        <v>368</v>
      </c>
      <c r="J197" s="641" t="s">
        <v>338</v>
      </c>
      <c r="K197" s="641" t="s">
        <v>339</v>
      </c>
      <c r="L197" s="641" t="s">
        <v>320</v>
      </c>
      <c r="M197" s="641" t="s">
        <v>321</v>
      </c>
      <c r="N197" s="641" t="s">
        <v>340</v>
      </c>
      <c r="O197" s="641" t="s">
        <v>341</v>
      </c>
      <c r="P197" s="186"/>
      <c r="Q197" s="186"/>
      <c r="R197" s="186"/>
    </row>
    <row r="198" spans="1:18" x14ac:dyDescent="0.25">
      <c r="A198" s="641" t="s">
        <v>336</v>
      </c>
      <c r="B198" s="642">
        <v>1.8</v>
      </c>
      <c r="C198" s="641"/>
      <c r="D198" s="641" t="s">
        <v>319</v>
      </c>
      <c r="E198" s="641" t="s">
        <v>319</v>
      </c>
      <c r="F198" s="641" t="s">
        <v>319</v>
      </c>
      <c r="G198" s="641" t="s">
        <v>324</v>
      </c>
      <c r="H198" s="575" t="s">
        <v>325</v>
      </c>
      <c r="I198" s="601" t="s">
        <v>369</v>
      </c>
      <c r="J198" s="641" t="s">
        <v>338</v>
      </c>
      <c r="K198" s="641" t="s">
        <v>339</v>
      </c>
      <c r="L198" s="641" t="s">
        <v>320</v>
      </c>
      <c r="M198" s="641" t="s">
        <v>321</v>
      </c>
      <c r="N198" s="641" t="s">
        <v>340</v>
      </c>
      <c r="O198" s="641" t="s">
        <v>341</v>
      </c>
      <c r="P198" s="186"/>
      <c r="Q198" s="186"/>
      <c r="R198" s="186"/>
    </row>
    <row r="199" spans="1:18" x14ac:dyDescent="0.25">
      <c r="A199" s="641" t="s">
        <v>336</v>
      </c>
      <c r="B199" s="642">
        <v>2.4</v>
      </c>
      <c r="C199" s="641"/>
      <c r="D199" s="641" t="s">
        <v>319</v>
      </c>
      <c r="E199" s="641" t="s">
        <v>319</v>
      </c>
      <c r="F199" s="641" t="s">
        <v>319</v>
      </c>
      <c r="G199" s="641" t="s">
        <v>324</v>
      </c>
      <c r="H199" s="575" t="s">
        <v>325</v>
      </c>
      <c r="I199" s="601" t="s">
        <v>370</v>
      </c>
      <c r="J199" s="641" t="s">
        <v>338</v>
      </c>
      <c r="K199" s="641" t="s">
        <v>339</v>
      </c>
      <c r="L199" s="641" t="s">
        <v>320</v>
      </c>
      <c r="M199" s="641" t="s">
        <v>321</v>
      </c>
      <c r="N199" s="641" t="s">
        <v>340</v>
      </c>
      <c r="O199" s="641" t="s">
        <v>341</v>
      </c>
      <c r="P199" s="186"/>
      <c r="Q199" s="186"/>
      <c r="R199" s="186"/>
    </row>
    <row r="200" spans="1:18" x14ac:dyDescent="0.25">
      <c r="A200" s="641" t="s">
        <v>336</v>
      </c>
      <c r="B200" s="642">
        <v>2.4</v>
      </c>
      <c r="C200" s="641"/>
      <c r="D200" s="641" t="s">
        <v>319</v>
      </c>
      <c r="E200" s="641" t="s">
        <v>319</v>
      </c>
      <c r="F200" s="641" t="s">
        <v>319</v>
      </c>
      <c r="G200" s="641" t="s">
        <v>324</v>
      </c>
      <c r="H200" s="575" t="s">
        <v>325</v>
      </c>
      <c r="I200" s="601" t="s">
        <v>371</v>
      </c>
      <c r="J200" s="641" t="s">
        <v>338</v>
      </c>
      <c r="K200" s="641" t="s">
        <v>339</v>
      </c>
      <c r="L200" s="641" t="s">
        <v>320</v>
      </c>
      <c r="M200" s="641" t="s">
        <v>321</v>
      </c>
      <c r="N200" s="641" t="s">
        <v>340</v>
      </c>
      <c r="O200" s="641" t="s">
        <v>341</v>
      </c>
      <c r="P200" s="186"/>
      <c r="Q200" s="186"/>
      <c r="R200" s="186"/>
    </row>
    <row r="201" spans="1:18" x14ac:dyDescent="0.25">
      <c r="A201" s="641" t="s">
        <v>336</v>
      </c>
      <c r="B201" s="642">
        <v>2.4</v>
      </c>
      <c r="C201" s="641"/>
      <c r="D201" s="641" t="s">
        <v>319</v>
      </c>
      <c r="E201" s="641" t="s">
        <v>319</v>
      </c>
      <c r="F201" s="641" t="s">
        <v>319</v>
      </c>
      <c r="G201" s="641" t="s">
        <v>324</v>
      </c>
      <c r="H201" s="575" t="s">
        <v>325</v>
      </c>
      <c r="I201" s="601" t="s">
        <v>372</v>
      </c>
      <c r="J201" s="641" t="s">
        <v>338</v>
      </c>
      <c r="K201" s="641" t="s">
        <v>339</v>
      </c>
      <c r="L201" s="641" t="s">
        <v>320</v>
      </c>
      <c r="M201" s="641" t="s">
        <v>321</v>
      </c>
      <c r="N201" s="641" t="s">
        <v>340</v>
      </c>
      <c r="O201" s="641" t="s">
        <v>341</v>
      </c>
      <c r="P201" s="186"/>
      <c r="Q201" s="186"/>
      <c r="R201" s="186"/>
    </row>
    <row r="202" spans="1:18" x14ac:dyDescent="0.25">
      <c r="A202" s="641" t="s">
        <v>336</v>
      </c>
      <c r="B202" s="642">
        <v>2.4</v>
      </c>
      <c r="C202" s="641"/>
      <c r="D202" s="641" t="s">
        <v>319</v>
      </c>
      <c r="E202" s="641" t="s">
        <v>319</v>
      </c>
      <c r="F202" s="641" t="s">
        <v>319</v>
      </c>
      <c r="G202" s="641" t="s">
        <v>324</v>
      </c>
      <c r="H202" s="575" t="s">
        <v>325</v>
      </c>
      <c r="I202" s="601" t="s">
        <v>373</v>
      </c>
      <c r="J202" s="641" t="s">
        <v>338</v>
      </c>
      <c r="K202" s="641" t="s">
        <v>339</v>
      </c>
      <c r="L202" s="641" t="s">
        <v>320</v>
      </c>
      <c r="M202" s="641" t="s">
        <v>321</v>
      </c>
      <c r="N202" s="641" t="s">
        <v>340</v>
      </c>
      <c r="O202" s="641" t="s">
        <v>341</v>
      </c>
      <c r="P202" s="186"/>
      <c r="Q202" s="186"/>
      <c r="R202" s="186"/>
    </row>
    <row r="203" spans="1:18" x14ac:dyDescent="0.25">
      <c r="A203" s="641" t="s">
        <v>336</v>
      </c>
      <c r="B203" s="642">
        <v>2.4</v>
      </c>
      <c r="C203" s="641"/>
      <c r="D203" s="641" t="s">
        <v>319</v>
      </c>
      <c r="E203" s="641" t="s">
        <v>319</v>
      </c>
      <c r="F203" s="641" t="s">
        <v>319</v>
      </c>
      <c r="G203" s="641" t="s">
        <v>324</v>
      </c>
      <c r="H203" s="575" t="s">
        <v>325</v>
      </c>
      <c r="I203" s="601" t="s">
        <v>374</v>
      </c>
      <c r="J203" s="641" t="s">
        <v>338</v>
      </c>
      <c r="K203" s="641" t="s">
        <v>339</v>
      </c>
      <c r="L203" s="641" t="s">
        <v>320</v>
      </c>
      <c r="M203" s="641" t="s">
        <v>321</v>
      </c>
      <c r="N203" s="641" t="s">
        <v>340</v>
      </c>
      <c r="O203" s="641" t="s">
        <v>341</v>
      </c>
      <c r="P203" s="186"/>
      <c r="Q203" s="186"/>
      <c r="R203" s="186"/>
    </row>
    <row r="204" spans="1:18" x14ac:dyDescent="0.25">
      <c r="A204" s="641" t="s">
        <v>336</v>
      </c>
      <c r="B204" s="642">
        <v>2.4</v>
      </c>
      <c r="C204" s="641"/>
      <c r="D204" s="641" t="s">
        <v>319</v>
      </c>
      <c r="E204" s="641" t="s">
        <v>319</v>
      </c>
      <c r="F204" s="641" t="s">
        <v>319</v>
      </c>
      <c r="G204" s="641" t="s">
        <v>324</v>
      </c>
      <c r="H204" s="575" t="s">
        <v>325</v>
      </c>
      <c r="I204" s="601" t="s">
        <v>375</v>
      </c>
      <c r="J204" s="641" t="s">
        <v>338</v>
      </c>
      <c r="K204" s="641" t="s">
        <v>339</v>
      </c>
      <c r="L204" s="641" t="s">
        <v>320</v>
      </c>
      <c r="M204" s="641" t="s">
        <v>321</v>
      </c>
      <c r="N204" s="641" t="s">
        <v>340</v>
      </c>
      <c r="O204" s="641" t="s">
        <v>341</v>
      </c>
      <c r="P204" s="186"/>
      <c r="Q204" s="186"/>
      <c r="R204" s="186"/>
    </row>
    <row r="205" spans="1:18" x14ac:dyDescent="0.25">
      <c r="A205" s="641" t="s">
        <v>336</v>
      </c>
      <c r="B205" s="642">
        <v>2.4</v>
      </c>
      <c r="C205" s="641"/>
      <c r="D205" s="641" t="s">
        <v>319</v>
      </c>
      <c r="E205" s="641" t="s">
        <v>319</v>
      </c>
      <c r="F205" s="641" t="s">
        <v>319</v>
      </c>
      <c r="G205" s="641" t="s">
        <v>324</v>
      </c>
      <c r="H205" s="575" t="s">
        <v>325</v>
      </c>
      <c r="I205" s="601" t="s">
        <v>376</v>
      </c>
      <c r="J205" s="641" t="s">
        <v>338</v>
      </c>
      <c r="K205" s="641" t="s">
        <v>339</v>
      </c>
      <c r="L205" s="641" t="s">
        <v>320</v>
      </c>
      <c r="M205" s="641" t="s">
        <v>321</v>
      </c>
      <c r="N205" s="641" t="s">
        <v>340</v>
      </c>
      <c r="O205" s="641" t="s">
        <v>341</v>
      </c>
      <c r="P205" s="186"/>
      <c r="Q205" s="186"/>
      <c r="R205" s="186"/>
    </row>
    <row r="206" spans="1:18" x14ac:dyDescent="0.25">
      <c r="A206" s="641" t="s">
        <v>336</v>
      </c>
      <c r="B206" s="642">
        <v>2.4</v>
      </c>
      <c r="C206" s="641"/>
      <c r="D206" s="641" t="s">
        <v>319</v>
      </c>
      <c r="E206" s="641" t="s">
        <v>319</v>
      </c>
      <c r="F206" s="641" t="s">
        <v>319</v>
      </c>
      <c r="G206" s="641" t="s">
        <v>324</v>
      </c>
      <c r="H206" s="575" t="s">
        <v>325</v>
      </c>
      <c r="I206" s="601" t="s">
        <v>377</v>
      </c>
      <c r="J206" s="641" t="s">
        <v>338</v>
      </c>
      <c r="K206" s="641" t="s">
        <v>339</v>
      </c>
      <c r="L206" s="641" t="s">
        <v>320</v>
      </c>
      <c r="M206" s="641" t="s">
        <v>321</v>
      </c>
      <c r="N206" s="641" t="s">
        <v>340</v>
      </c>
      <c r="O206" s="641" t="s">
        <v>341</v>
      </c>
      <c r="P206" s="186"/>
      <c r="Q206" s="186"/>
      <c r="R206" s="186"/>
    </row>
    <row r="207" spans="1:18" x14ac:dyDescent="0.25">
      <c r="A207" s="641" t="s">
        <v>336</v>
      </c>
      <c r="B207" s="642">
        <v>2.4</v>
      </c>
      <c r="C207" s="641"/>
      <c r="D207" s="641" t="s">
        <v>319</v>
      </c>
      <c r="E207" s="641" t="s">
        <v>319</v>
      </c>
      <c r="F207" s="641" t="s">
        <v>319</v>
      </c>
      <c r="G207" s="641" t="s">
        <v>324</v>
      </c>
      <c r="H207" s="575" t="s">
        <v>325</v>
      </c>
      <c r="I207" s="601" t="s">
        <v>378</v>
      </c>
      <c r="J207" s="641" t="s">
        <v>338</v>
      </c>
      <c r="K207" s="641" t="s">
        <v>339</v>
      </c>
      <c r="L207" s="641" t="s">
        <v>320</v>
      </c>
      <c r="M207" s="641" t="s">
        <v>321</v>
      </c>
      <c r="N207" s="641" t="s">
        <v>340</v>
      </c>
      <c r="O207" s="641" t="s">
        <v>341</v>
      </c>
      <c r="P207" s="186"/>
      <c r="Q207" s="186"/>
      <c r="R207" s="186"/>
    </row>
    <row r="208" spans="1:18" x14ac:dyDescent="0.25">
      <c r="A208" s="641" t="s">
        <v>336</v>
      </c>
      <c r="B208" s="642">
        <v>2.4</v>
      </c>
      <c r="C208" s="641"/>
      <c r="D208" s="641" t="s">
        <v>319</v>
      </c>
      <c r="E208" s="641" t="s">
        <v>319</v>
      </c>
      <c r="F208" s="641" t="s">
        <v>319</v>
      </c>
      <c r="G208" s="641" t="s">
        <v>324</v>
      </c>
      <c r="H208" s="575" t="s">
        <v>325</v>
      </c>
      <c r="I208" s="601" t="s">
        <v>379</v>
      </c>
      <c r="J208" s="641" t="s">
        <v>338</v>
      </c>
      <c r="K208" s="641" t="s">
        <v>339</v>
      </c>
      <c r="L208" s="641" t="s">
        <v>320</v>
      </c>
      <c r="M208" s="641" t="s">
        <v>321</v>
      </c>
      <c r="N208" s="641" t="s">
        <v>340</v>
      </c>
      <c r="O208" s="641" t="s">
        <v>341</v>
      </c>
      <c r="P208" s="186"/>
      <c r="Q208" s="186"/>
      <c r="R208" s="186"/>
    </row>
    <row r="209" spans="1:18" x14ac:dyDescent="0.25">
      <c r="A209" s="641" t="s">
        <v>336</v>
      </c>
      <c r="B209" s="642">
        <v>2.4</v>
      </c>
      <c r="C209" s="641"/>
      <c r="D209" s="641" t="s">
        <v>319</v>
      </c>
      <c r="E209" s="641" t="s">
        <v>319</v>
      </c>
      <c r="F209" s="641" t="s">
        <v>319</v>
      </c>
      <c r="G209" s="641" t="s">
        <v>324</v>
      </c>
      <c r="H209" s="575" t="s">
        <v>325</v>
      </c>
      <c r="I209" s="601" t="s">
        <v>380</v>
      </c>
      <c r="J209" s="641" t="s">
        <v>338</v>
      </c>
      <c r="K209" s="641" t="s">
        <v>339</v>
      </c>
      <c r="L209" s="641" t="s">
        <v>320</v>
      </c>
      <c r="M209" s="641" t="s">
        <v>321</v>
      </c>
      <c r="N209" s="641" t="s">
        <v>340</v>
      </c>
      <c r="O209" s="641" t="s">
        <v>341</v>
      </c>
      <c r="P209" s="186"/>
      <c r="Q209" s="186"/>
      <c r="R209" s="186"/>
    </row>
    <row r="210" spans="1:18" x14ac:dyDescent="0.25">
      <c r="A210" s="641" t="s">
        <v>336</v>
      </c>
      <c r="B210" s="642">
        <v>2.4</v>
      </c>
      <c r="C210" s="641"/>
      <c r="D210" s="641" t="s">
        <v>319</v>
      </c>
      <c r="E210" s="641" t="s">
        <v>319</v>
      </c>
      <c r="F210" s="641" t="s">
        <v>319</v>
      </c>
      <c r="G210" s="641" t="s">
        <v>324</v>
      </c>
      <c r="H210" s="575" t="s">
        <v>325</v>
      </c>
      <c r="I210" s="601" t="s">
        <v>381</v>
      </c>
      <c r="J210" s="641" t="s">
        <v>338</v>
      </c>
      <c r="K210" s="641" t="s">
        <v>339</v>
      </c>
      <c r="L210" s="641" t="s">
        <v>320</v>
      </c>
      <c r="M210" s="641" t="s">
        <v>321</v>
      </c>
      <c r="N210" s="641" t="s">
        <v>340</v>
      </c>
      <c r="O210" s="641" t="s">
        <v>341</v>
      </c>
      <c r="P210" s="186"/>
      <c r="Q210" s="186"/>
      <c r="R210" s="186"/>
    </row>
    <row r="211" spans="1:18" x14ac:dyDescent="0.25">
      <c r="A211" s="641" t="s">
        <v>336</v>
      </c>
      <c r="B211" s="642">
        <v>2.4</v>
      </c>
      <c r="C211" s="641"/>
      <c r="D211" s="641" t="s">
        <v>319</v>
      </c>
      <c r="E211" s="641" t="s">
        <v>319</v>
      </c>
      <c r="F211" s="641" t="s">
        <v>319</v>
      </c>
      <c r="G211" s="641" t="s">
        <v>324</v>
      </c>
      <c r="H211" s="575" t="s">
        <v>325</v>
      </c>
      <c r="I211" s="601" t="s">
        <v>382</v>
      </c>
      <c r="J211" s="641" t="s">
        <v>338</v>
      </c>
      <c r="K211" s="641" t="s">
        <v>339</v>
      </c>
      <c r="L211" s="641" t="s">
        <v>320</v>
      </c>
      <c r="M211" s="641" t="s">
        <v>321</v>
      </c>
      <c r="N211" s="641" t="s">
        <v>340</v>
      </c>
      <c r="O211" s="641" t="s">
        <v>341</v>
      </c>
      <c r="P211" s="186"/>
      <c r="Q211" s="186"/>
      <c r="R211" s="186"/>
    </row>
    <row r="212" spans="1:18" x14ac:dyDescent="0.25">
      <c r="A212" s="641" t="s">
        <v>336</v>
      </c>
      <c r="B212" s="642">
        <v>3.3</v>
      </c>
      <c r="C212" s="641"/>
      <c r="D212" s="641" t="s">
        <v>319</v>
      </c>
      <c r="E212" s="641" t="s">
        <v>319</v>
      </c>
      <c r="F212" s="641" t="s">
        <v>319</v>
      </c>
      <c r="G212" s="641" t="s">
        <v>324</v>
      </c>
      <c r="H212" s="575" t="s">
        <v>325</v>
      </c>
      <c r="I212" s="601" t="s">
        <v>383</v>
      </c>
      <c r="J212" s="641" t="s">
        <v>338</v>
      </c>
      <c r="K212" s="641" t="s">
        <v>339</v>
      </c>
      <c r="L212" s="641" t="s">
        <v>320</v>
      </c>
      <c r="M212" s="641" t="s">
        <v>321</v>
      </c>
      <c r="N212" s="641" t="s">
        <v>340</v>
      </c>
      <c r="O212" s="641" t="s">
        <v>341</v>
      </c>
      <c r="P212" s="186"/>
      <c r="Q212" s="186"/>
      <c r="R212" s="186"/>
    </row>
    <row r="213" spans="1:18" x14ac:dyDescent="0.25">
      <c r="A213" s="641" t="s">
        <v>336</v>
      </c>
      <c r="B213" s="642">
        <v>3.3</v>
      </c>
      <c r="C213" s="641"/>
      <c r="D213" s="641" t="s">
        <v>319</v>
      </c>
      <c r="E213" s="641" t="s">
        <v>319</v>
      </c>
      <c r="F213" s="641" t="s">
        <v>319</v>
      </c>
      <c r="G213" s="641" t="s">
        <v>324</v>
      </c>
      <c r="H213" s="575" t="s">
        <v>325</v>
      </c>
      <c r="I213" s="601" t="s">
        <v>384</v>
      </c>
      <c r="J213" s="641" t="s">
        <v>338</v>
      </c>
      <c r="K213" s="641" t="s">
        <v>339</v>
      </c>
      <c r="L213" s="641" t="s">
        <v>320</v>
      </c>
      <c r="M213" s="641" t="s">
        <v>321</v>
      </c>
      <c r="N213" s="641" t="s">
        <v>340</v>
      </c>
      <c r="O213" s="641" t="s">
        <v>341</v>
      </c>
      <c r="P213" s="186"/>
      <c r="Q213" s="186"/>
      <c r="R213" s="186"/>
    </row>
    <row r="214" spans="1:18" x14ac:dyDescent="0.25">
      <c r="A214" s="641" t="s">
        <v>336</v>
      </c>
      <c r="B214" s="642">
        <v>3.3</v>
      </c>
      <c r="C214" s="641"/>
      <c r="D214" s="641" t="s">
        <v>319</v>
      </c>
      <c r="E214" s="641" t="s">
        <v>319</v>
      </c>
      <c r="F214" s="641" t="s">
        <v>319</v>
      </c>
      <c r="G214" s="641" t="s">
        <v>324</v>
      </c>
      <c r="H214" s="575" t="s">
        <v>325</v>
      </c>
      <c r="I214" s="601" t="s">
        <v>385</v>
      </c>
      <c r="J214" s="641" t="s">
        <v>338</v>
      </c>
      <c r="K214" s="641" t="s">
        <v>339</v>
      </c>
      <c r="L214" s="641" t="s">
        <v>320</v>
      </c>
      <c r="M214" s="641" t="s">
        <v>321</v>
      </c>
      <c r="N214" s="641" t="s">
        <v>340</v>
      </c>
      <c r="O214" s="641" t="s">
        <v>341</v>
      </c>
      <c r="P214" s="186"/>
      <c r="Q214" s="186"/>
      <c r="R214" s="186"/>
    </row>
    <row r="215" spans="1:18" x14ac:dyDescent="0.25">
      <c r="A215" s="641" t="s">
        <v>336</v>
      </c>
      <c r="B215" s="642">
        <v>3.3</v>
      </c>
      <c r="C215" s="641"/>
      <c r="D215" s="641" t="s">
        <v>319</v>
      </c>
      <c r="E215" s="641" t="s">
        <v>319</v>
      </c>
      <c r="F215" s="641" t="s">
        <v>319</v>
      </c>
      <c r="G215" s="641" t="s">
        <v>324</v>
      </c>
      <c r="H215" s="575" t="s">
        <v>325</v>
      </c>
      <c r="I215" s="601" t="s">
        <v>386</v>
      </c>
      <c r="J215" s="641" t="s">
        <v>338</v>
      </c>
      <c r="K215" s="641" t="s">
        <v>339</v>
      </c>
      <c r="L215" s="641" t="s">
        <v>320</v>
      </c>
      <c r="M215" s="641" t="s">
        <v>321</v>
      </c>
      <c r="N215" s="641" t="s">
        <v>340</v>
      </c>
      <c r="O215" s="641" t="s">
        <v>341</v>
      </c>
      <c r="P215" s="186"/>
      <c r="Q215" s="186"/>
      <c r="R215" s="186"/>
    </row>
    <row r="216" spans="1:18" x14ac:dyDescent="0.25">
      <c r="A216" s="641" t="s">
        <v>336</v>
      </c>
      <c r="B216" s="642">
        <v>3.5</v>
      </c>
      <c r="C216" s="641"/>
      <c r="D216" s="641" t="s">
        <v>319</v>
      </c>
      <c r="E216" s="641" t="s">
        <v>319</v>
      </c>
      <c r="F216" s="641" t="s">
        <v>319</v>
      </c>
      <c r="G216" s="641" t="s">
        <v>324</v>
      </c>
      <c r="H216" s="575" t="s">
        <v>325</v>
      </c>
      <c r="I216" s="601" t="s">
        <v>387</v>
      </c>
      <c r="J216" s="641" t="s">
        <v>338</v>
      </c>
      <c r="K216" s="641" t="s">
        <v>339</v>
      </c>
      <c r="L216" s="641" t="s">
        <v>320</v>
      </c>
      <c r="M216" s="641" t="s">
        <v>321</v>
      </c>
      <c r="N216" s="641" t="s">
        <v>340</v>
      </c>
      <c r="O216" s="641" t="s">
        <v>341</v>
      </c>
      <c r="P216" s="186"/>
      <c r="Q216" s="186"/>
      <c r="R216" s="186"/>
    </row>
    <row r="217" spans="1:18" x14ac:dyDescent="0.25">
      <c r="A217" s="641" t="s">
        <v>336</v>
      </c>
      <c r="B217" s="642">
        <v>3.5</v>
      </c>
      <c r="C217" s="641"/>
      <c r="D217" s="641" t="s">
        <v>319</v>
      </c>
      <c r="E217" s="641" t="s">
        <v>319</v>
      </c>
      <c r="F217" s="641" t="s">
        <v>319</v>
      </c>
      <c r="G217" s="641" t="s">
        <v>324</v>
      </c>
      <c r="H217" s="575" t="s">
        <v>325</v>
      </c>
      <c r="I217" s="601" t="s">
        <v>388</v>
      </c>
      <c r="J217" s="641" t="s">
        <v>338</v>
      </c>
      <c r="K217" s="641" t="s">
        <v>339</v>
      </c>
      <c r="L217" s="641" t="s">
        <v>320</v>
      </c>
      <c r="M217" s="641" t="s">
        <v>321</v>
      </c>
      <c r="N217" s="641" t="s">
        <v>340</v>
      </c>
      <c r="O217" s="641" t="s">
        <v>341</v>
      </c>
      <c r="P217" s="186"/>
      <c r="Q217" s="186"/>
      <c r="R217" s="186"/>
    </row>
    <row r="218" spans="1:18" x14ac:dyDescent="0.25">
      <c r="A218" s="641" t="s">
        <v>336</v>
      </c>
      <c r="B218" s="642">
        <v>3.5</v>
      </c>
      <c r="C218" s="641"/>
      <c r="D218" s="641" t="s">
        <v>319</v>
      </c>
      <c r="E218" s="641" t="s">
        <v>319</v>
      </c>
      <c r="F218" s="641" t="s">
        <v>319</v>
      </c>
      <c r="G218" s="641" t="s">
        <v>324</v>
      </c>
      <c r="H218" s="575" t="s">
        <v>325</v>
      </c>
      <c r="I218" s="601" t="s">
        <v>389</v>
      </c>
      <c r="J218" s="641" t="s">
        <v>338</v>
      </c>
      <c r="K218" s="641" t="s">
        <v>339</v>
      </c>
      <c r="L218" s="641" t="s">
        <v>320</v>
      </c>
      <c r="M218" s="641" t="s">
        <v>321</v>
      </c>
      <c r="N218" s="641" t="s">
        <v>340</v>
      </c>
      <c r="O218" s="641" t="s">
        <v>341</v>
      </c>
      <c r="P218" s="186"/>
      <c r="Q218" s="186"/>
      <c r="R218" s="186"/>
    </row>
    <row r="219" spans="1:18" x14ac:dyDescent="0.25">
      <c r="A219" s="641" t="s">
        <v>336</v>
      </c>
      <c r="B219" s="642">
        <v>3.5</v>
      </c>
      <c r="C219" s="641"/>
      <c r="D219" s="641" t="s">
        <v>319</v>
      </c>
      <c r="E219" s="641" t="s">
        <v>319</v>
      </c>
      <c r="F219" s="641" t="s">
        <v>319</v>
      </c>
      <c r="G219" s="641" t="s">
        <v>324</v>
      </c>
      <c r="H219" s="575" t="s">
        <v>325</v>
      </c>
      <c r="I219" s="601" t="s">
        <v>390</v>
      </c>
      <c r="J219" s="641" t="s">
        <v>338</v>
      </c>
      <c r="K219" s="641" t="s">
        <v>339</v>
      </c>
      <c r="L219" s="641" t="s">
        <v>320</v>
      </c>
      <c r="M219" s="641" t="s">
        <v>321</v>
      </c>
      <c r="N219" s="641" t="s">
        <v>340</v>
      </c>
      <c r="O219" s="641" t="s">
        <v>341</v>
      </c>
      <c r="P219" s="186"/>
      <c r="Q219" s="186"/>
      <c r="R219" s="186"/>
    </row>
    <row r="220" spans="1:18" x14ac:dyDescent="0.25">
      <c r="A220" s="641" t="s">
        <v>336</v>
      </c>
      <c r="B220" s="642">
        <v>3.5</v>
      </c>
      <c r="C220" s="641"/>
      <c r="D220" s="641" t="s">
        <v>319</v>
      </c>
      <c r="E220" s="641" t="s">
        <v>319</v>
      </c>
      <c r="F220" s="641" t="s">
        <v>319</v>
      </c>
      <c r="G220" s="641" t="s">
        <v>324</v>
      </c>
      <c r="H220" s="575" t="s">
        <v>325</v>
      </c>
      <c r="I220" s="601" t="s">
        <v>391</v>
      </c>
      <c r="J220" s="641" t="s">
        <v>338</v>
      </c>
      <c r="K220" s="641" t="s">
        <v>339</v>
      </c>
      <c r="L220" s="641" t="s">
        <v>320</v>
      </c>
      <c r="M220" s="641" t="s">
        <v>321</v>
      </c>
      <c r="N220" s="641" t="s">
        <v>340</v>
      </c>
      <c r="O220" s="641" t="s">
        <v>341</v>
      </c>
      <c r="P220" s="186"/>
      <c r="Q220" s="186"/>
      <c r="R220" s="186"/>
    </row>
    <row r="221" spans="1:18" x14ac:dyDescent="0.25">
      <c r="A221" s="641" t="s">
        <v>336</v>
      </c>
      <c r="B221" s="642">
        <v>3.6</v>
      </c>
      <c r="C221" s="641"/>
      <c r="D221" s="641" t="s">
        <v>319</v>
      </c>
      <c r="E221" s="641" t="s">
        <v>319</v>
      </c>
      <c r="F221" s="641" t="s">
        <v>319</v>
      </c>
      <c r="G221" s="641" t="s">
        <v>324</v>
      </c>
      <c r="H221" s="575" t="s">
        <v>325</v>
      </c>
      <c r="I221" s="601" t="s">
        <v>392</v>
      </c>
      <c r="J221" s="641" t="s">
        <v>338</v>
      </c>
      <c r="K221" s="641" t="s">
        <v>339</v>
      </c>
      <c r="L221" s="641" t="s">
        <v>320</v>
      </c>
      <c r="M221" s="641" t="s">
        <v>321</v>
      </c>
      <c r="N221" s="641" t="s">
        <v>340</v>
      </c>
      <c r="O221" s="641" t="s">
        <v>341</v>
      </c>
      <c r="P221" s="186"/>
      <c r="Q221" s="186"/>
      <c r="R221" s="186"/>
    </row>
    <row r="222" spans="1:18" x14ac:dyDescent="0.25">
      <c r="A222" s="641" t="s">
        <v>336</v>
      </c>
      <c r="B222" s="642">
        <v>3.6</v>
      </c>
      <c r="C222" s="641"/>
      <c r="D222" s="641" t="s">
        <v>319</v>
      </c>
      <c r="E222" s="641" t="s">
        <v>319</v>
      </c>
      <c r="F222" s="641" t="s">
        <v>319</v>
      </c>
      <c r="G222" s="641" t="s">
        <v>324</v>
      </c>
      <c r="H222" s="575" t="s">
        <v>325</v>
      </c>
      <c r="I222" s="601" t="s">
        <v>393</v>
      </c>
      <c r="J222" s="641" t="s">
        <v>338</v>
      </c>
      <c r="K222" s="641" t="s">
        <v>339</v>
      </c>
      <c r="L222" s="641" t="s">
        <v>320</v>
      </c>
      <c r="M222" s="641" t="s">
        <v>321</v>
      </c>
      <c r="N222" s="641" t="s">
        <v>340</v>
      </c>
      <c r="O222" s="641" t="s">
        <v>341</v>
      </c>
      <c r="P222" s="186"/>
      <c r="Q222" s="186"/>
      <c r="R222" s="186"/>
    </row>
    <row r="223" spans="1:18" x14ac:dyDescent="0.25">
      <c r="A223" s="641" t="s">
        <v>336</v>
      </c>
      <c r="B223" s="642">
        <v>3.6</v>
      </c>
      <c r="C223" s="641"/>
      <c r="D223" s="641" t="s">
        <v>319</v>
      </c>
      <c r="E223" s="641" t="s">
        <v>319</v>
      </c>
      <c r="F223" s="641" t="s">
        <v>319</v>
      </c>
      <c r="G223" s="641" t="s">
        <v>324</v>
      </c>
      <c r="H223" s="575" t="s">
        <v>325</v>
      </c>
      <c r="I223" s="601" t="s">
        <v>394</v>
      </c>
      <c r="J223" s="641" t="s">
        <v>338</v>
      </c>
      <c r="K223" s="641" t="s">
        <v>339</v>
      </c>
      <c r="L223" s="641" t="s">
        <v>320</v>
      </c>
      <c r="M223" s="641" t="s">
        <v>321</v>
      </c>
      <c r="N223" s="641" t="s">
        <v>340</v>
      </c>
      <c r="O223" s="641" t="s">
        <v>341</v>
      </c>
      <c r="P223" s="186"/>
      <c r="Q223" s="186"/>
      <c r="R223" s="186"/>
    </row>
    <row r="224" spans="1:18" x14ac:dyDescent="0.25">
      <c r="A224" s="641" t="s">
        <v>336</v>
      </c>
      <c r="B224" s="642">
        <v>3.6</v>
      </c>
      <c r="C224" s="641"/>
      <c r="D224" s="641" t="s">
        <v>319</v>
      </c>
      <c r="E224" s="641" t="s">
        <v>319</v>
      </c>
      <c r="F224" s="641" t="s">
        <v>319</v>
      </c>
      <c r="G224" s="641" t="s">
        <v>324</v>
      </c>
      <c r="H224" s="575" t="s">
        <v>325</v>
      </c>
      <c r="I224" s="601" t="s">
        <v>395</v>
      </c>
      <c r="J224" s="641" t="s">
        <v>338</v>
      </c>
      <c r="K224" s="641" t="s">
        <v>339</v>
      </c>
      <c r="L224" s="641" t="s">
        <v>320</v>
      </c>
      <c r="M224" s="641" t="s">
        <v>321</v>
      </c>
      <c r="N224" s="641" t="s">
        <v>340</v>
      </c>
      <c r="O224" s="641" t="s">
        <v>341</v>
      </c>
      <c r="P224" s="186"/>
      <c r="Q224" s="186"/>
      <c r="R224" s="186"/>
    </row>
    <row r="225" spans="1:18" x14ac:dyDescent="0.25">
      <c r="A225" s="641" t="s">
        <v>336</v>
      </c>
      <c r="B225" s="642">
        <v>3.6</v>
      </c>
      <c r="C225" s="641"/>
      <c r="D225" s="641" t="s">
        <v>319</v>
      </c>
      <c r="E225" s="641" t="s">
        <v>319</v>
      </c>
      <c r="F225" s="641" t="s">
        <v>319</v>
      </c>
      <c r="G225" s="641" t="s">
        <v>324</v>
      </c>
      <c r="H225" s="575" t="s">
        <v>325</v>
      </c>
      <c r="I225" s="601" t="s">
        <v>396</v>
      </c>
      <c r="J225" s="641" t="s">
        <v>338</v>
      </c>
      <c r="K225" s="641" t="s">
        <v>339</v>
      </c>
      <c r="L225" s="641" t="s">
        <v>320</v>
      </c>
      <c r="M225" s="641" t="s">
        <v>321</v>
      </c>
      <c r="N225" s="641" t="s">
        <v>340</v>
      </c>
      <c r="O225" s="641" t="s">
        <v>341</v>
      </c>
      <c r="P225" s="186"/>
      <c r="Q225" s="186"/>
      <c r="R225" s="186"/>
    </row>
    <row r="226" spans="1:18" x14ac:dyDescent="0.25">
      <c r="A226" s="641" t="s">
        <v>336</v>
      </c>
      <c r="B226" s="642">
        <v>3.7</v>
      </c>
      <c r="C226" s="641"/>
      <c r="D226" s="641" t="s">
        <v>319</v>
      </c>
      <c r="E226" s="641" t="s">
        <v>319</v>
      </c>
      <c r="F226" s="641" t="s">
        <v>319</v>
      </c>
      <c r="G226" s="641" t="s">
        <v>324</v>
      </c>
      <c r="H226" s="575" t="s">
        <v>325</v>
      </c>
      <c r="I226" s="601" t="s">
        <v>397</v>
      </c>
      <c r="J226" s="641" t="s">
        <v>338</v>
      </c>
      <c r="K226" s="641" t="s">
        <v>339</v>
      </c>
      <c r="L226" s="641" t="s">
        <v>320</v>
      </c>
      <c r="M226" s="641" t="s">
        <v>321</v>
      </c>
      <c r="N226" s="641" t="s">
        <v>340</v>
      </c>
      <c r="O226" s="641" t="s">
        <v>341</v>
      </c>
      <c r="P226" s="186"/>
      <c r="Q226" s="186"/>
      <c r="R226" s="186"/>
    </row>
    <row r="227" spans="1:18" x14ac:dyDescent="0.25">
      <c r="A227" s="641" t="s">
        <v>336</v>
      </c>
      <c r="B227" s="642">
        <v>3.7</v>
      </c>
      <c r="C227" s="641"/>
      <c r="D227" s="641" t="s">
        <v>319</v>
      </c>
      <c r="E227" s="641" t="s">
        <v>319</v>
      </c>
      <c r="F227" s="641" t="s">
        <v>319</v>
      </c>
      <c r="G227" s="641" t="s">
        <v>324</v>
      </c>
      <c r="H227" s="575" t="s">
        <v>325</v>
      </c>
      <c r="I227" s="601" t="s">
        <v>398</v>
      </c>
      <c r="J227" s="641" t="s">
        <v>338</v>
      </c>
      <c r="K227" s="641" t="s">
        <v>339</v>
      </c>
      <c r="L227" s="641" t="s">
        <v>320</v>
      </c>
      <c r="M227" s="641" t="s">
        <v>321</v>
      </c>
      <c r="N227" s="641" t="s">
        <v>340</v>
      </c>
      <c r="O227" s="641" t="s">
        <v>341</v>
      </c>
      <c r="P227" s="186"/>
      <c r="Q227" s="186"/>
      <c r="R227" s="186"/>
    </row>
    <row r="228" spans="1:18" x14ac:dyDescent="0.25">
      <c r="A228" s="641" t="s">
        <v>336</v>
      </c>
      <c r="B228" s="642">
        <v>3.7</v>
      </c>
      <c r="C228" s="641"/>
      <c r="D228" s="641" t="s">
        <v>319</v>
      </c>
      <c r="E228" s="641" t="s">
        <v>319</v>
      </c>
      <c r="F228" s="641" t="s">
        <v>319</v>
      </c>
      <c r="G228" s="641" t="s">
        <v>324</v>
      </c>
      <c r="H228" s="575" t="s">
        <v>325</v>
      </c>
      <c r="I228" s="601" t="s">
        <v>399</v>
      </c>
      <c r="J228" s="641" t="s">
        <v>338</v>
      </c>
      <c r="K228" s="641" t="s">
        <v>339</v>
      </c>
      <c r="L228" s="641" t="s">
        <v>320</v>
      </c>
      <c r="M228" s="641" t="s">
        <v>321</v>
      </c>
      <c r="N228" s="641" t="s">
        <v>340</v>
      </c>
      <c r="O228" s="641" t="s">
        <v>341</v>
      </c>
      <c r="P228" s="186"/>
      <c r="Q228" s="186"/>
      <c r="R228" s="186"/>
    </row>
    <row r="229" spans="1:18" x14ac:dyDescent="0.25">
      <c r="A229" s="641" t="s">
        <v>336</v>
      </c>
      <c r="B229" s="642">
        <v>3.7</v>
      </c>
      <c r="C229" s="641"/>
      <c r="D229" s="641" t="s">
        <v>319</v>
      </c>
      <c r="E229" s="641" t="s">
        <v>319</v>
      </c>
      <c r="F229" s="641" t="s">
        <v>319</v>
      </c>
      <c r="G229" s="641" t="s">
        <v>324</v>
      </c>
      <c r="H229" s="575" t="s">
        <v>325</v>
      </c>
      <c r="I229" s="601" t="s">
        <v>400</v>
      </c>
      <c r="J229" s="641" t="s">
        <v>338</v>
      </c>
      <c r="K229" s="641" t="s">
        <v>339</v>
      </c>
      <c r="L229" s="641" t="s">
        <v>320</v>
      </c>
      <c r="M229" s="641" t="s">
        <v>321</v>
      </c>
      <c r="N229" s="641" t="s">
        <v>340</v>
      </c>
      <c r="O229" s="641" t="s">
        <v>341</v>
      </c>
      <c r="P229" s="186"/>
      <c r="Q229" s="186"/>
      <c r="R229" s="186"/>
    </row>
    <row r="230" spans="1:18" x14ac:dyDescent="0.25">
      <c r="A230" s="641" t="s">
        <v>336</v>
      </c>
      <c r="B230" s="642">
        <v>3.7</v>
      </c>
      <c r="C230" s="641"/>
      <c r="D230" s="641" t="s">
        <v>319</v>
      </c>
      <c r="E230" s="641" t="s">
        <v>319</v>
      </c>
      <c r="F230" s="641" t="s">
        <v>319</v>
      </c>
      <c r="G230" s="641" t="s">
        <v>324</v>
      </c>
      <c r="H230" s="575" t="s">
        <v>325</v>
      </c>
      <c r="I230" s="601" t="s">
        <v>401</v>
      </c>
      <c r="J230" s="641" t="s">
        <v>338</v>
      </c>
      <c r="K230" s="641" t="s">
        <v>339</v>
      </c>
      <c r="L230" s="641" t="s">
        <v>320</v>
      </c>
      <c r="M230" s="641" t="s">
        <v>321</v>
      </c>
      <c r="N230" s="641" t="s">
        <v>340</v>
      </c>
      <c r="O230" s="641" t="s">
        <v>341</v>
      </c>
      <c r="P230" s="186"/>
      <c r="Q230" s="186"/>
      <c r="R230" s="186"/>
    </row>
    <row r="231" spans="1:18" x14ac:dyDescent="0.25">
      <c r="A231" s="641" t="s">
        <v>336</v>
      </c>
      <c r="B231" s="642">
        <v>4</v>
      </c>
      <c r="C231" s="641"/>
      <c r="D231" s="641" t="s">
        <v>319</v>
      </c>
      <c r="E231" s="641" t="s">
        <v>319</v>
      </c>
      <c r="F231" s="641" t="s">
        <v>319</v>
      </c>
      <c r="G231" s="641" t="s">
        <v>324</v>
      </c>
      <c r="H231" s="575" t="s">
        <v>325</v>
      </c>
      <c r="I231" s="601" t="s">
        <v>402</v>
      </c>
      <c r="J231" s="641" t="s">
        <v>338</v>
      </c>
      <c r="K231" s="641" t="s">
        <v>339</v>
      </c>
      <c r="L231" s="641" t="s">
        <v>320</v>
      </c>
      <c r="M231" s="641" t="s">
        <v>321</v>
      </c>
      <c r="N231" s="641" t="s">
        <v>340</v>
      </c>
      <c r="O231" s="641" t="s">
        <v>341</v>
      </c>
      <c r="P231" s="186"/>
      <c r="Q231" s="186"/>
      <c r="R231" s="186"/>
    </row>
    <row r="232" spans="1:18" x14ac:dyDescent="0.25">
      <c r="A232" s="641" t="s">
        <v>336</v>
      </c>
      <c r="B232" s="642">
        <v>4</v>
      </c>
      <c r="C232" s="641"/>
      <c r="D232" s="641" t="s">
        <v>319</v>
      </c>
      <c r="E232" s="641" t="s">
        <v>319</v>
      </c>
      <c r="F232" s="641" t="s">
        <v>319</v>
      </c>
      <c r="G232" s="641" t="s">
        <v>324</v>
      </c>
      <c r="H232" s="575" t="s">
        <v>325</v>
      </c>
      <c r="I232" s="601" t="s">
        <v>403</v>
      </c>
      <c r="J232" s="641" t="s">
        <v>338</v>
      </c>
      <c r="K232" s="641" t="s">
        <v>339</v>
      </c>
      <c r="L232" s="641" t="s">
        <v>320</v>
      </c>
      <c r="M232" s="641" t="s">
        <v>321</v>
      </c>
      <c r="N232" s="641" t="s">
        <v>340</v>
      </c>
      <c r="O232" s="641" t="s">
        <v>341</v>
      </c>
      <c r="P232" s="186"/>
      <c r="Q232" s="186"/>
      <c r="R232" s="186"/>
    </row>
    <row r="233" spans="1:18" x14ac:dyDescent="0.25">
      <c r="A233" s="641" t="s">
        <v>336</v>
      </c>
      <c r="B233" s="642">
        <v>4</v>
      </c>
      <c r="C233" s="641"/>
      <c r="D233" s="641" t="s">
        <v>319</v>
      </c>
      <c r="E233" s="641" t="s">
        <v>319</v>
      </c>
      <c r="F233" s="641" t="s">
        <v>319</v>
      </c>
      <c r="G233" s="641" t="s">
        <v>324</v>
      </c>
      <c r="H233" s="575" t="s">
        <v>325</v>
      </c>
      <c r="I233" s="601" t="s">
        <v>404</v>
      </c>
      <c r="J233" s="641" t="s">
        <v>338</v>
      </c>
      <c r="K233" s="641" t="s">
        <v>339</v>
      </c>
      <c r="L233" s="641" t="s">
        <v>320</v>
      </c>
      <c r="M233" s="641" t="s">
        <v>321</v>
      </c>
      <c r="N233" s="641" t="s">
        <v>340</v>
      </c>
      <c r="O233" s="641" t="s">
        <v>341</v>
      </c>
      <c r="P233" s="186"/>
      <c r="Q233" s="186"/>
      <c r="R233" s="186"/>
    </row>
    <row r="234" spans="1:18" x14ac:dyDescent="0.25">
      <c r="A234" s="641" t="s">
        <v>336</v>
      </c>
      <c r="B234" s="642">
        <v>4</v>
      </c>
      <c r="C234" s="641"/>
      <c r="D234" s="641" t="s">
        <v>319</v>
      </c>
      <c r="E234" s="641" t="s">
        <v>319</v>
      </c>
      <c r="F234" s="641" t="s">
        <v>319</v>
      </c>
      <c r="G234" s="641" t="s">
        <v>324</v>
      </c>
      <c r="H234" s="575" t="s">
        <v>325</v>
      </c>
      <c r="I234" s="601" t="s">
        <v>405</v>
      </c>
      <c r="J234" s="641" t="s">
        <v>338</v>
      </c>
      <c r="K234" s="641" t="s">
        <v>339</v>
      </c>
      <c r="L234" s="641" t="s">
        <v>320</v>
      </c>
      <c r="M234" s="641" t="s">
        <v>321</v>
      </c>
      <c r="N234" s="641" t="s">
        <v>340</v>
      </c>
      <c r="O234" s="641" t="s">
        <v>341</v>
      </c>
      <c r="P234" s="186"/>
      <c r="Q234" s="186"/>
      <c r="R234" s="186"/>
    </row>
    <row r="235" spans="1:18" x14ac:dyDescent="0.25">
      <c r="A235" s="641" t="s">
        <v>336</v>
      </c>
      <c r="B235" s="642">
        <v>4</v>
      </c>
      <c r="C235" s="641"/>
      <c r="D235" s="641" t="s">
        <v>319</v>
      </c>
      <c r="E235" s="641" t="s">
        <v>319</v>
      </c>
      <c r="F235" s="641" t="s">
        <v>319</v>
      </c>
      <c r="G235" s="641" t="s">
        <v>324</v>
      </c>
      <c r="H235" s="575" t="s">
        <v>325</v>
      </c>
      <c r="I235" s="601" t="s">
        <v>406</v>
      </c>
      <c r="J235" s="641" t="s">
        <v>338</v>
      </c>
      <c r="K235" s="641" t="s">
        <v>339</v>
      </c>
      <c r="L235" s="641" t="s">
        <v>320</v>
      </c>
      <c r="M235" s="641" t="s">
        <v>321</v>
      </c>
      <c r="N235" s="641" t="s">
        <v>340</v>
      </c>
      <c r="O235" s="641" t="s">
        <v>341</v>
      </c>
      <c r="P235" s="186"/>
      <c r="Q235" s="186"/>
      <c r="R235" s="186"/>
    </row>
    <row r="236" spans="1:18" x14ac:dyDescent="0.25">
      <c r="A236" s="641" t="s">
        <v>336</v>
      </c>
      <c r="B236" s="642">
        <v>4</v>
      </c>
      <c r="C236" s="641"/>
      <c r="D236" s="641" t="s">
        <v>319</v>
      </c>
      <c r="E236" s="641" t="s">
        <v>319</v>
      </c>
      <c r="F236" s="641" t="s">
        <v>319</v>
      </c>
      <c r="G236" s="641" t="s">
        <v>324</v>
      </c>
      <c r="H236" s="575" t="s">
        <v>325</v>
      </c>
      <c r="I236" s="601" t="s">
        <v>407</v>
      </c>
      <c r="J236" s="641" t="s">
        <v>338</v>
      </c>
      <c r="K236" s="641" t="s">
        <v>339</v>
      </c>
      <c r="L236" s="641" t="s">
        <v>320</v>
      </c>
      <c r="M236" s="641" t="s">
        <v>321</v>
      </c>
      <c r="N236" s="641" t="s">
        <v>340</v>
      </c>
      <c r="O236" s="641" t="s">
        <v>341</v>
      </c>
      <c r="P236" s="186"/>
      <c r="Q236" s="186"/>
      <c r="R236" s="186"/>
    </row>
    <row r="237" spans="1:18" x14ac:dyDescent="0.25">
      <c r="A237" s="641" t="s">
        <v>336</v>
      </c>
      <c r="B237" s="642">
        <v>4</v>
      </c>
      <c r="C237" s="641"/>
      <c r="D237" s="641" t="s">
        <v>319</v>
      </c>
      <c r="E237" s="641" t="s">
        <v>319</v>
      </c>
      <c r="F237" s="641" t="s">
        <v>319</v>
      </c>
      <c r="G237" s="641" t="s">
        <v>324</v>
      </c>
      <c r="H237" s="575" t="s">
        <v>325</v>
      </c>
      <c r="I237" s="601" t="s">
        <v>408</v>
      </c>
      <c r="J237" s="641" t="s">
        <v>338</v>
      </c>
      <c r="K237" s="641" t="s">
        <v>339</v>
      </c>
      <c r="L237" s="641" t="s">
        <v>320</v>
      </c>
      <c r="M237" s="641" t="s">
        <v>321</v>
      </c>
      <c r="N237" s="641" t="s">
        <v>340</v>
      </c>
      <c r="O237" s="641" t="s">
        <v>341</v>
      </c>
      <c r="P237" s="186"/>
      <c r="Q237" s="186"/>
      <c r="R237" s="186"/>
    </row>
    <row r="238" spans="1:18" x14ac:dyDescent="0.25">
      <c r="A238" s="641" t="s">
        <v>336</v>
      </c>
      <c r="B238" s="642">
        <v>4</v>
      </c>
      <c r="C238" s="641"/>
      <c r="D238" s="641" t="s">
        <v>319</v>
      </c>
      <c r="E238" s="641" t="s">
        <v>319</v>
      </c>
      <c r="F238" s="641" t="s">
        <v>319</v>
      </c>
      <c r="G238" s="641" t="s">
        <v>324</v>
      </c>
      <c r="H238" s="575" t="s">
        <v>325</v>
      </c>
      <c r="I238" s="601" t="s">
        <v>409</v>
      </c>
      <c r="J238" s="641" t="s">
        <v>338</v>
      </c>
      <c r="K238" s="641" t="s">
        <v>339</v>
      </c>
      <c r="L238" s="641" t="s">
        <v>320</v>
      </c>
      <c r="M238" s="641" t="s">
        <v>321</v>
      </c>
      <c r="N238" s="641" t="s">
        <v>340</v>
      </c>
      <c r="O238" s="641" t="s">
        <v>341</v>
      </c>
      <c r="P238" s="186"/>
      <c r="Q238" s="186"/>
      <c r="R238" s="186"/>
    </row>
    <row r="239" spans="1:18" x14ac:dyDescent="0.25">
      <c r="A239" s="641" t="s">
        <v>336</v>
      </c>
      <c r="B239" s="642">
        <v>4</v>
      </c>
      <c r="C239" s="641"/>
      <c r="D239" s="641" t="s">
        <v>319</v>
      </c>
      <c r="E239" s="641" t="s">
        <v>319</v>
      </c>
      <c r="F239" s="641" t="s">
        <v>319</v>
      </c>
      <c r="G239" s="641" t="s">
        <v>324</v>
      </c>
      <c r="H239" s="575" t="s">
        <v>325</v>
      </c>
      <c r="I239" s="601" t="s">
        <v>410</v>
      </c>
      <c r="J239" s="641" t="s">
        <v>338</v>
      </c>
      <c r="K239" s="641" t="s">
        <v>339</v>
      </c>
      <c r="L239" s="641" t="s">
        <v>320</v>
      </c>
      <c r="M239" s="641" t="s">
        <v>321</v>
      </c>
      <c r="N239" s="641" t="s">
        <v>340</v>
      </c>
      <c r="O239" s="641" t="s">
        <v>341</v>
      </c>
      <c r="P239" s="186"/>
      <c r="Q239" s="186"/>
      <c r="R239" s="186"/>
    </row>
    <row r="240" spans="1:18" x14ac:dyDescent="0.25">
      <c r="A240" s="641" t="s">
        <v>336</v>
      </c>
      <c r="B240" s="642">
        <v>4</v>
      </c>
      <c r="C240" s="641"/>
      <c r="D240" s="641" t="s">
        <v>319</v>
      </c>
      <c r="E240" s="641" t="s">
        <v>319</v>
      </c>
      <c r="F240" s="641" t="s">
        <v>319</v>
      </c>
      <c r="G240" s="641" t="s">
        <v>324</v>
      </c>
      <c r="H240" s="575" t="s">
        <v>325</v>
      </c>
      <c r="I240" s="601" t="s">
        <v>411</v>
      </c>
      <c r="J240" s="641" t="s">
        <v>338</v>
      </c>
      <c r="K240" s="641" t="s">
        <v>339</v>
      </c>
      <c r="L240" s="641" t="s">
        <v>320</v>
      </c>
      <c r="M240" s="641" t="s">
        <v>321</v>
      </c>
      <c r="N240" s="641" t="s">
        <v>340</v>
      </c>
      <c r="O240" s="641" t="s">
        <v>341</v>
      </c>
      <c r="P240" s="186"/>
      <c r="Q240" s="186"/>
      <c r="R240" s="186"/>
    </row>
    <row r="241" spans="1:18" x14ac:dyDescent="0.25">
      <c r="A241" s="641" t="s">
        <v>336</v>
      </c>
      <c r="B241" s="642">
        <v>4</v>
      </c>
      <c r="C241" s="641"/>
      <c r="D241" s="641" t="s">
        <v>319</v>
      </c>
      <c r="E241" s="641" t="s">
        <v>319</v>
      </c>
      <c r="F241" s="641" t="s">
        <v>319</v>
      </c>
      <c r="G241" s="641" t="s">
        <v>324</v>
      </c>
      <c r="H241" s="575" t="s">
        <v>325</v>
      </c>
      <c r="I241" s="601" t="s">
        <v>412</v>
      </c>
      <c r="J241" s="641" t="s">
        <v>338</v>
      </c>
      <c r="K241" s="641" t="s">
        <v>339</v>
      </c>
      <c r="L241" s="641" t="s">
        <v>320</v>
      </c>
      <c r="M241" s="641" t="s">
        <v>321</v>
      </c>
      <c r="N241" s="641" t="s">
        <v>340</v>
      </c>
      <c r="O241" s="641" t="s">
        <v>341</v>
      </c>
      <c r="P241" s="186"/>
      <c r="Q241" s="186"/>
      <c r="R241" s="186"/>
    </row>
    <row r="242" spans="1:18" x14ac:dyDescent="0.25">
      <c r="A242" s="641" t="s">
        <v>336</v>
      </c>
      <c r="B242" s="642">
        <v>4</v>
      </c>
      <c r="C242" s="641"/>
      <c r="D242" s="641" t="s">
        <v>319</v>
      </c>
      <c r="E242" s="641" t="s">
        <v>319</v>
      </c>
      <c r="F242" s="641" t="s">
        <v>319</v>
      </c>
      <c r="G242" s="641" t="s">
        <v>324</v>
      </c>
      <c r="H242" s="575" t="s">
        <v>325</v>
      </c>
      <c r="I242" s="601" t="s">
        <v>413</v>
      </c>
      <c r="J242" s="641" t="s">
        <v>338</v>
      </c>
      <c r="K242" s="641" t="s">
        <v>339</v>
      </c>
      <c r="L242" s="641" t="s">
        <v>320</v>
      </c>
      <c r="M242" s="641" t="s">
        <v>321</v>
      </c>
      <c r="N242" s="641" t="s">
        <v>340</v>
      </c>
      <c r="O242" s="641" t="s">
        <v>341</v>
      </c>
      <c r="P242" s="186"/>
      <c r="Q242" s="186"/>
      <c r="R242" s="186"/>
    </row>
    <row r="243" spans="1:18" x14ac:dyDescent="0.25">
      <c r="A243" s="641" t="s">
        <v>336</v>
      </c>
      <c r="B243" s="642">
        <v>4</v>
      </c>
      <c r="C243" s="641"/>
      <c r="D243" s="641" t="s">
        <v>319</v>
      </c>
      <c r="E243" s="641" t="s">
        <v>319</v>
      </c>
      <c r="F243" s="641" t="s">
        <v>319</v>
      </c>
      <c r="G243" s="641" t="s">
        <v>324</v>
      </c>
      <c r="H243" s="575" t="s">
        <v>325</v>
      </c>
      <c r="I243" s="601" t="s">
        <v>414</v>
      </c>
      <c r="J243" s="641" t="s">
        <v>338</v>
      </c>
      <c r="K243" s="641" t="s">
        <v>339</v>
      </c>
      <c r="L243" s="641" t="s">
        <v>320</v>
      </c>
      <c r="M243" s="641" t="s">
        <v>321</v>
      </c>
      <c r="N243" s="641" t="s">
        <v>340</v>
      </c>
      <c r="O243" s="641" t="s">
        <v>341</v>
      </c>
      <c r="P243" s="186"/>
      <c r="Q243" s="186"/>
      <c r="R243" s="186"/>
    </row>
    <row r="244" spans="1:18" x14ac:dyDescent="0.25">
      <c r="A244" s="641" t="s">
        <v>336</v>
      </c>
      <c r="B244" s="642">
        <v>4</v>
      </c>
      <c r="C244" s="641"/>
      <c r="D244" s="641" t="s">
        <v>319</v>
      </c>
      <c r="E244" s="641" t="s">
        <v>319</v>
      </c>
      <c r="F244" s="641" t="s">
        <v>319</v>
      </c>
      <c r="G244" s="641" t="s">
        <v>324</v>
      </c>
      <c r="H244" s="575" t="s">
        <v>325</v>
      </c>
      <c r="I244" s="601" t="s">
        <v>415</v>
      </c>
      <c r="J244" s="641" t="s">
        <v>338</v>
      </c>
      <c r="K244" s="641" t="s">
        <v>339</v>
      </c>
      <c r="L244" s="641" t="s">
        <v>320</v>
      </c>
      <c r="M244" s="641" t="s">
        <v>321</v>
      </c>
      <c r="N244" s="641" t="s">
        <v>340</v>
      </c>
      <c r="O244" s="641" t="s">
        <v>341</v>
      </c>
      <c r="P244" s="186"/>
      <c r="Q244" s="186"/>
      <c r="R244" s="186"/>
    </row>
    <row r="245" spans="1:18" x14ac:dyDescent="0.25">
      <c r="A245" s="641" t="s">
        <v>336</v>
      </c>
      <c r="B245" s="642">
        <v>4</v>
      </c>
      <c r="C245" s="641"/>
      <c r="D245" s="641" t="s">
        <v>319</v>
      </c>
      <c r="E245" s="641" t="s">
        <v>319</v>
      </c>
      <c r="F245" s="641" t="s">
        <v>319</v>
      </c>
      <c r="G245" s="641" t="s">
        <v>324</v>
      </c>
      <c r="H245" s="575" t="s">
        <v>325</v>
      </c>
      <c r="I245" s="601" t="s">
        <v>416</v>
      </c>
      <c r="J245" s="641" t="s">
        <v>338</v>
      </c>
      <c r="K245" s="641" t="s">
        <v>339</v>
      </c>
      <c r="L245" s="641" t="s">
        <v>320</v>
      </c>
      <c r="M245" s="641" t="s">
        <v>321</v>
      </c>
      <c r="N245" s="641" t="s">
        <v>340</v>
      </c>
      <c r="O245" s="641" t="s">
        <v>341</v>
      </c>
      <c r="P245" s="186"/>
      <c r="Q245" s="186"/>
      <c r="R245" s="186"/>
    </row>
    <row r="246" spans="1:18" x14ac:dyDescent="0.25">
      <c r="A246" s="641" t="s">
        <v>336</v>
      </c>
      <c r="B246" s="642">
        <v>0.8</v>
      </c>
      <c r="C246" s="641"/>
      <c r="D246" s="641" t="s">
        <v>319</v>
      </c>
      <c r="E246" s="641" t="s">
        <v>319</v>
      </c>
      <c r="F246" s="641" t="s">
        <v>319</v>
      </c>
      <c r="G246" s="641" t="s">
        <v>324</v>
      </c>
      <c r="H246" s="575" t="s">
        <v>325</v>
      </c>
      <c r="I246" s="601" t="s">
        <v>337</v>
      </c>
      <c r="J246" s="641" t="s">
        <v>338</v>
      </c>
      <c r="K246" s="641" t="s">
        <v>339</v>
      </c>
      <c r="L246" s="641" t="b">
        <v>0</v>
      </c>
      <c r="M246" s="641" t="s">
        <v>321</v>
      </c>
      <c r="N246" s="641" t="s">
        <v>340</v>
      </c>
      <c r="O246" s="641" t="s">
        <v>341</v>
      </c>
      <c r="P246" s="186"/>
      <c r="Q246" s="186"/>
      <c r="R246" s="186"/>
    </row>
    <row r="247" spans="1:18" x14ac:dyDescent="0.25">
      <c r="A247" s="641" t="s">
        <v>336</v>
      </c>
      <c r="B247" s="642">
        <v>0.9</v>
      </c>
      <c r="C247" s="641"/>
      <c r="D247" s="641" t="s">
        <v>319</v>
      </c>
      <c r="E247" s="641" t="s">
        <v>319</v>
      </c>
      <c r="F247" s="641" t="s">
        <v>319</v>
      </c>
      <c r="G247" s="641" t="s">
        <v>324</v>
      </c>
      <c r="H247" s="575" t="s">
        <v>325</v>
      </c>
      <c r="I247" s="601" t="s">
        <v>342</v>
      </c>
      <c r="J247" s="641" t="s">
        <v>338</v>
      </c>
      <c r="K247" s="641" t="s">
        <v>339</v>
      </c>
      <c r="L247" s="641" t="b">
        <v>0</v>
      </c>
      <c r="M247" s="641" t="s">
        <v>321</v>
      </c>
      <c r="N247" s="641" t="s">
        <v>340</v>
      </c>
      <c r="O247" s="641" t="s">
        <v>341</v>
      </c>
      <c r="P247" s="186"/>
      <c r="Q247" s="186"/>
      <c r="R247" s="186"/>
    </row>
    <row r="248" spans="1:18" x14ac:dyDescent="0.25">
      <c r="A248" s="641" t="s">
        <v>336</v>
      </c>
      <c r="B248" s="642">
        <v>0.9</v>
      </c>
      <c r="C248" s="641"/>
      <c r="D248" s="641" t="s">
        <v>319</v>
      </c>
      <c r="E248" s="641" t="s">
        <v>319</v>
      </c>
      <c r="F248" s="641" t="s">
        <v>319</v>
      </c>
      <c r="G248" s="641" t="s">
        <v>324</v>
      </c>
      <c r="H248" s="575" t="s">
        <v>325</v>
      </c>
      <c r="I248" s="601" t="s">
        <v>343</v>
      </c>
      <c r="J248" s="641" t="s">
        <v>338</v>
      </c>
      <c r="K248" s="641" t="s">
        <v>339</v>
      </c>
      <c r="L248" s="641" t="b">
        <v>0</v>
      </c>
      <c r="M248" s="641" t="s">
        <v>321</v>
      </c>
      <c r="N248" s="641" t="s">
        <v>340</v>
      </c>
      <c r="O248" s="641" t="s">
        <v>341</v>
      </c>
      <c r="P248" s="186"/>
      <c r="Q248" s="186"/>
      <c r="R248" s="186"/>
    </row>
    <row r="249" spans="1:18" x14ac:dyDescent="0.25">
      <c r="A249" s="641" t="s">
        <v>336</v>
      </c>
      <c r="B249" s="642">
        <v>0.9</v>
      </c>
      <c r="C249" s="641"/>
      <c r="D249" s="641" t="s">
        <v>319</v>
      </c>
      <c r="E249" s="641" t="s">
        <v>319</v>
      </c>
      <c r="F249" s="641" t="s">
        <v>319</v>
      </c>
      <c r="G249" s="641" t="s">
        <v>324</v>
      </c>
      <c r="H249" s="575" t="s">
        <v>325</v>
      </c>
      <c r="I249" s="601" t="s">
        <v>344</v>
      </c>
      <c r="J249" s="641" t="s">
        <v>338</v>
      </c>
      <c r="K249" s="641" t="s">
        <v>339</v>
      </c>
      <c r="L249" s="641" t="b">
        <v>0</v>
      </c>
      <c r="M249" s="641" t="s">
        <v>321</v>
      </c>
      <c r="N249" s="641" t="s">
        <v>340</v>
      </c>
      <c r="O249" s="641" t="s">
        <v>341</v>
      </c>
      <c r="P249" s="186"/>
      <c r="Q249" s="186"/>
      <c r="R249" s="186"/>
    </row>
    <row r="250" spans="1:18" x14ac:dyDescent="0.25">
      <c r="A250" s="641" t="s">
        <v>336</v>
      </c>
      <c r="B250" s="642">
        <v>0.9</v>
      </c>
      <c r="C250" s="641"/>
      <c r="D250" s="641" t="s">
        <v>319</v>
      </c>
      <c r="E250" s="641" t="s">
        <v>319</v>
      </c>
      <c r="F250" s="641" t="s">
        <v>319</v>
      </c>
      <c r="G250" s="641" t="s">
        <v>324</v>
      </c>
      <c r="H250" s="575" t="s">
        <v>325</v>
      </c>
      <c r="I250" s="601" t="s">
        <v>345</v>
      </c>
      <c r="J250" s="641" t="s">
        <v>338</v>
      </c>
      <c r="K250" s="641" t="s">
        <v>339</v>
      </c>
      <c r="L250" s="641" t="b">
        <v>0</v>
      </c>
      <c r="M250" s="641" t="s">
        <v>321</v>
      </c>
      <c r="N250" s="641" t="s">
        <v>340</v>
      </c>
      <c r="O250" s="641" t="s">
        <v>341</v>
      </c>
      <c r="P250" s="186"/>
      <c r="Q250" s="186"/>
      <c r="R250" s="186"/>
    </row>
    <row r="251" spans="1:18" x14ac:dyDescent="0.25">
      <c r="A251" s="641" t="s">
        <v>336</v>
      </c>
      <c r="B251" s="642">
        <v>0.9</v>
      </c>
      <c r="C251" s="641"/>
      <c r="D251" s="641" t="s">
        <v>319</v>
      </c>
      <c r="E251" s="641" t="s">
        <v>319</v>
      </c>
      <c r="F251" s="641" t="s">
        <v>319</v>
      </c>
      <c r="G251" s="641" t="s">
        <v>324</v>
      </c>
      <c r="H251" s="575" t="s">
        <v>325</v>
      </c>
      <c r="I251" s="601" t="s">
        <v>346</v>
      </c>
      <c r="J251" s="641" t="s">
        <v>338</v>
      </c>
      <c r="K251" s="641" t="s">
        <v>339</v>
      </c>
      <c r="L251" s="641" t="b">
        <v>0</v>
      </c>
      <c r="M251" s="641" t="s">
        <v>321</v>
      </c>
      <c r="N251" s="641" t="s">
        <v>340</v>
      </c>
      <c r="O251" s="641" t="s">
        <v>341</v>
      </c>
      <c r="P251" s="186"/>
      <c r="Q251" s="186"/>
      <c r="R251" s="186"/>
    </row>
    <row r="252" spans="1:18" x14ac:dyDescent="0.25">
      <c r="A252" s="641" t="s">
        <v>336</v>
      </c>
      <c r="B252" s="642">
        <v>0.9</v>
      </c>
      <c r="C252" s="641"/>
      <c r="D252" s="641" t="s">
        <v>319</v>
      </c>
      <c r="E252" s="641" t="s">
        <v>319</v>
      </c>
      <c r="F252" s="641" t="s">
        <v>319</v>
      </c>
      <c r="G252" s="641" t="s">
        <v>324</v>
      </c>
      <c r="H252" s="575" t="s">
        <v>325</v>
      </c>
      <c r="I252" s="601" t="s">
        <v>347</v>
      </c>
      <c r="J252" s="641" t="s">
        <v>338</v>
      </c>
      <c r="K252" s="641" t="s">
        <v>339</v>
      </c>
      <c r="L252" s="641" t="b">
        <v>0</v>
      </c>
      <c r="M252" s="641" t="s">
        <v>321</v>
      </c>
      <c r="N252" s="641" t="s">
        <v>340</v>
      </c>
      <c r="O252" s="641" t="s">
        <v>341</v>
      </c>
      <c r="P252" s="186"/>
      <c r="Q252" s="186"/>
      <c r="R252" s="186"/>
    </row>
    <row r="253" spans="1:18" x14ac:dyDescent="0.25">
      <c r="A253" s="641" t="s">
        <v>336</v>
      </c>
      <c r="B253" s="642">
        <v>0.9</v>
      </c>
      <c r="C253" s="641"/>
      <c r="D253" s="641" t="s">
        <v>319</v>
      </c>
      <c r="E253" s="641" t="s">
        <v>319</v>
      </c>
      <c r="F253" s="641" t="s">
        <v>319</v>
      </c>
      <c r="G253" s="641" t="s">
        <v>324</v>
      </c>
      <c r="H253" s="575" t="s">
        <v>325</v>
      </c>
      <c r="I253" s="601" t="s">
        <v>348</v>
      </c>
      <c r="J253" s="641" t="s">
        <v>338</v>
      </c>
      <c r="K253" s="641" t="s">
        <v>339</v>
      </c>
      <c r="L253" s="641" t="b">
        <v>0</v>
      </c>
      <c r="M253" s="641" t="s">
        <v>321</v>
      </c>
      <c r="N253" s="641" t="s">
        <v>340</v>
      </c>
      <c r="O253" s="641" t="s">
        <v>341</v>
      </c>
      <c r="P253" s="186"/>
      <c r="Q253" s="186"/>
      <c r="R253" s="186"/>
    </row>
    <row r="254" spans="1:18" x14ac:dyDescent="0.25">
      <c r="A254" s="641" t="s">
        <v>336</v>
      </c>
      <c r="B254" s="642">
        <v>0.9</v>
      </c>
      <c r="C254" s="641"/>
      <c r="D254" s="641" t="s">
        <v>319</v>
      </c>
      <c r="E254" s="641" t="s">
        <v>319</v>
      </c>
      <c r="F254" s="641" t="s">
        <v>319</v>
      </c>
      <c r="G254" s="641" t="s">
        <v>324</v>
      </c>
      <c r="H254" s="575" t="s">
        <v>325</v>
      </c>
      <c r="I254" s="601" t="s">
        <v>349</v>
      </c>
      <c r="J254" s="641" t="s">
        <v>338</v>
      </c>
      <c r="K254" s="641" t="s">
        <v>339</v>
      </c>
      <c r="L254" s="641" t="b">
        <v>0</v>
      </c>
      <c r="M254" s="641" t="s">
        <v>321</v>
      </c>
      <c r="N254" s="641" t="s">
        <v>340</v>
      </c>
      <c r="O254" s="641" t="s">
        <v>341</v>
      </c>
      <c r="P254" s="186"/>
      <c r="Q254" s="186"/>
      <c r="R254" s="186"/>
    </row>
    <row r="255" spans="1:18" x14ac:dyDescent="0.25">
      <c r="A255" s="641" t="s">
        <v>336</v>
      </c>
      <c r="B255" s="642">
        <v>0.9</v>
      </c>
      <c r="C255" s="641"/>
      <c r="D255" s="641" t="s">
        <v>319</v>
      </c>
      <c r="E255" s="641" t="s">
        <v>319</v>
      </c>
      <c r="F255" s="641" t="s">
        <v>319</v>
      </c>
      <c r="G255" s="641" t="s">
        <v>324</v>
      </c>
      <c r="H255" s="575" t="s">
        <v>325</v>
      </c>
      <c r="I255" s="601" t="s">
        <v>350</v>
      </c>
      <c r="J255" s="641" t="s">
        <v>338</v>
      </c>
      <c r="K255" s="641" t="s">
        <v>339</v>
      </c>
      <c r="L255" s="641" t="b">
        <v>0</v>
      </c>
      <c r="M255" s="641" t="s">
        <v>321</v>
      </c>
      <c r="N255" s="641" t="s">
        <v>340</v>
      </c>
      <c r="O255" s="641" t="s">
        <v>341</v>
      </c>
      <c r="P255" s="186"/>
      <c r="Q255" s="186"/>
      <c r="R255" s="186"/>
    </row>
    <row r="256" spans="1:18" x14ac:dyDescent="0.25">
      <c r="A256" s="641" t="s">
        <v>336</v>
      </c>
      <c r="B256" s="642">
        <v>0.9</v>
      </c>
      <c r="C256" s="641"/>
      <c r="D256" s="641" t="s">
        <v>319</v>
      </c>
      <c r="E256" s="641" t="s">
        <v>319</v>
      </c>
      <c r="F256" s="641" t="s">
        <v>319</v>
      </c>
      <c r="G256" s="641" t="s">
        <v>324</v>
      </c>
      <c r="H256" s="575" t="s">
        <v>325</v>
      </c>
      <c r="I256" s="601" t="s">
        <v>351</v>
      </c>
      <c r="J256" s="641" t="s">
        <v>338</v>
      </c>
      <c r="K256" s="641" t="s">
        <v>339</v>
      </c>
      <c r="L256" s="641" t="b">
        <v>0</v>
      </c>
      <c r="M256" s="641" t="s">
        <v>321</v>
      </c>
      <c r="N256" s="641" t="s">
        <v>340</v>
      </c>
      <c r="O256" s="641" t="s">
        <v>341</v>
      </c>
      <c r="P256" s="186"/>
      <c r="Q256" s="186"/>
      <c r="R256" s="186"/>
    </row>
    <row r="257" spans="1:18" x14ac:dyDescent="0.25">
      <c r="A257" s="641" t="s">
        <v>336</v>
      </c>
      <c r="B257" s="642">
        <v>0.9</v>
      </c>
      <c r="C257" s="641"/>
      <c r="D257" s="641" t="s">
        <v>319</v>
      </c>
      <c r="E257" s="641" t="s">
        <v>319</v>
      </c>
      <c r="F257" s="641" t="s">
        <v>319</v>
      </c>
      <c r="G257" s="641" t="s">
        <v>324</v>
      </c>
      <c r="H257" s="575" t="s">
        <v>325</v>
      </c>
      <c r="I257" s="601" t="s">
        <v>352</v>
      </c>
      <c r="J257" s="641" t="s">
        <v>338</v>
      </c>
      <c r="K257" s="641" t="s">
        <v>339</v>
      </c>
      <c r="L257" s="641" t="b">
        <v>0</v>
      </c>
      <c r="M257" s="641" t="s">
        <v>321</v>
      </c>
      <c r="N257" s="641" t="s">
        <v>340</v>
      </c>
      <c r="O257" s="641" t="s">
        <v>341</v>
      </c>
      <c r="P257" s="186"/>
      <c r="Q257" s="186"/>
      <c r="R257" s="186"/>
    </row>
    <row r="258" spans="1:18" x14ac:dyDescent="0.25">
      <c r="A258" s="641" t="s">
        <v>336</v>
      </c>
      <c r="B258" s="642">
        <v>0.9</v>
      </c>
      <c r="C258" s="641"/>
      <c r="D258" s="641" t="s">
        <v>319</v>
      </c>
      <c r="E258" s="641" t="s">
        <v>319</v>
      </c>
      <c r="F258" s="641" t="s">
        <v>319</v>
      </c>
      <c r="G258" s="641" t="s">
        <v>324</v>
      </c>
      <c r="H258" s="575" t="s">
        <v>325</v>
      </c>
      <c r="I258" s="601" t="s">
        <v>353</v>
      </c>
      <c r="J258" s="641" t="s">
        <v>338</v>
      </c>
      <c r="K258" s="641" t="s">
        <v>339</v>
      </c>
      <c r="L258" s="641" t="b">
        <v>0</v>
      </c>
      <c r="M258" s="641" t="s">
        <v>321</v>
      </c>
      <c r="N258" s="641" t="s">
        <v>340</v>
      </c>
      <c r="O258" s="641" t="s">
        <v>341</v>
      </c>
      <c r="P258" s="186"/>
      <c r="Q258" s="186"/>
      <c r="R258" s="186"/>
    </row>
    <row r="259" spans="1:18" x14ac:dyDescent="0.25">
      <c r="A259" s="641" t="s">
        <v>336</v>
      </c>
      <c r="B259" s="642">
        <v>0.9</v>
      </c>
      <c r="C259" s="641"/>
      <c r="D259" s="641" t="s">
        <v>319</v>
      </c>
      <c r="E259" s="641" t="s">
        <v>319</v>
      </c>
      <c r="F259" s="641" t="s">
        <v>319</v>
      </c>
      <c r="G259" s="641" t="s">
        <v>324</v>
      </c>
      <c r="H259" s="575" t="s">
        <v>325</v>
      </c>
      <c r="I259" s="601" t="s">
        <v>354</v>
      </c>
      <c r="J259" s="641" t="s">
        <v>338</v>
      </c>
      <c r="K259" s="641" t="s">
        <v>339</v>
      </c>
      <c r="L259" s="641" t="b">
        <v>0</v>
      </c>
      <c r="M259" s="641" t="s">
        <v>321</v>
      </c>
      <c r="N259" s="641" t="s">
        <v>340</v>
      </c>
      <c r="O259" s="641" t="s">
        <v>341</v>
      </c>
      <c r="P259" s="186"/>
      <c r="Q259" s="186"/>
      <c r="R259" s="186"/>
    </row>
    <row r="260" spans="1:18" x14ac:dyDescent="0.25">
      <c r="A260" s="641" t="s">
        <v>336</v>
      </c>
      <c r="B260" s="642">
        <v>0.9</v>
      </c>
      <c r="C260" s="641"/>
      <c r="D260" s="641" t="s">
        <v>319</v>
      </c>
      <c r="E260" s="641" t="s">
        <v>319</v>
      </c>
      <c r="F260" s="641" t="s">
        <v>319</v>
      </c>
      <c r="G260" s="641" t="s">
        <v>324</v>
      </c>
      <c r="H260" s="575" t="s">
        <v>325</v>
      </c>
      <c r="I260" s="601" t="s">
        <v>355</v>
      </c>
      <c r="J260" s="641" t="s">
        <v>338</v>
      </c>
      <c r="K260" s="641" t="s">
        <v>339</v>
      </c>
      <c r="L260" s="641" t="b">
        <v>0</v>
      </c>
      <c r="M260" s="641" t="s">
        <v>321</v>
      </c>
      <c r="N260" s="641" t="s">
        <v>340</v>
      </c>
      <c r="O260" s="641" t="s">
        <v>341</v>
      </c>
      <c r="P260" s="186"/>
      <c r="Q260" s="186"/>
      <c r="R260" s="186"/>
    </row>
    <row r="261" spans="1:18" x14ac:dyDescent="0.25">
      <c r="A261" s="641" t="s">
        <v>336</v>
      </c>
      <c r="B261" s="642">
        <v>1</v>
      </c>
      <c r="C261" s="641"/>
      <c r="D261" s="641" t="s">
        <v>319</v>
      </c>
      <c r="E261" s="641" t="s">
        <v>319</v>
      </c>
      <c r="F261" s="641" t="s">
        <v>319</v>
      </c>
      <c r="G261" s="641" t="s">
        <v>324</v>
      </c>
      <c r="H261" s="575" t="s">
        <v>325</v>
      </c>
      <c r="I261" s="601" t="s">
        <v>356</v>
      </c>
      <c r="J261" s="641" t="s">
        <v>338</v>
      </c>
      <c r="K261" s="641" t="s">
        <v>339</v>
      </c>
      <c r="L261" s="641" t="b">
        <v>0</v>
      </c>
      <c r="M261" s="641" t="s">
        <v>321</v>
      </c>
      <c r="N261" s="641" t="s">
        <v>340</v>
      </c>
      <c r="O261" s="641" t="s">
        <v>341</v>
      </c>
      <c r="P261" s="186"/>
      <c r="Q261" s="186"/>
      <c r="R261" s="186"/>
    </row>
    <row r="262" spans="1:18" x14ac:dyDescent="0.25">
      <c r="A262" s="641" t="s">
        <v>336</v>
      </c>
      <c r="B262" s="642">
        <v>1</v>
      </c>
      <c r="C262" s="641"/>
      <c r="D262" s="641" t="s">
        <v>319</v>
      </c>
      <c r="E262" s="641" t="s">
        <v>319</v>
      </c>
      <c r="F262" s="641" t="s">
        <v>319</v>
      </c>
      <c r="G262" s="641" t="s">
        <v>324</v>
      </c>
      <c r="H262" s="575" t="s">
        <v>325</v>
      </c>
      <c r="I262" s="601" t="s">
        <v>357</v>
      </c>
      <c r="J262" s="641" t="s">
        <v>338</v>
      </c>
      <c r="K262" s="641" t="s">
        <v>339</v>
      </c>
      <c r="L262" s="641" t="b">
        <v>0</v>
      </c>
      <c r="M262" s="641" t="s">
        <v>321</v>
      </c>
      <c r="N262" s="641" t="s">
        <v>340</v>
      </c>
      <c r="O262" s="641" t="s">
        <v>341</v>
      </c>
      <c r="P262" s="186"/>
      <c r="Q262" s="186"/>
      <c r="R262" s="186"/>
    </row>
    <row r="263" spans="1:18" x14ac:dyDescent="0.25">
      <c r="A263" s="641" t="s">
        <v>336</v>
      </c>
      <c r="B263" s="642">
        <v>1</v>
      </c>
      <c r="C263" s="641"/>
      <c r="D263" s="641" t="s">
        <v>319</v>
      </c>
      <c r="E263" s="641" t="s">
        <v>319</v>
      </c>
      <c r="F263" s="641" t="s">
        <v>319</v>
      </c>
      <c r="G263" s="641" t="s">
        <v>324</v>
      </c>
      <c r="H263" s="575" t="s">
        <v>325</v>
      </c>
      <c r="I263" s="601" t="s">
        <v>358</v>
      </c>
      <c r="J263" s="641" t="s">
        <v>338</v>
      </c>
      <c r="K263" s="641" t="s">
        <v>339</v>
      </c>
      <c r="L263" s="641" t="b">
        <v>0</v>
      </c>
      <c r="M263" s="641" t="s">
        <v>321</v>
      </c>
      <c r="N263" s="641" t="s">
        <v>340</v>
      </c>
      <c r="O263" s="641" t="s">
        <v>341</v>
      </c>
      <c r="P263" s="186"/>
      <c r="Q263" s="186"/>
      <c r="R263" s="186"/>
    </row>
    <row r="264" spans="1:18" x14ac:dyDescent="0.25">
      <c r="A264" s="641" t="s">
        <v>336</v>
      </c>
      <c r="B264" s="642">
        <v>1</v>
      </c>
      <c r="C264" s="641"/>
      <c r="D264" s="641" t="s">
        <v>319</v>
      </c>
      <c r="E264" s="641" t="s">
        <v>319</v>
      </c>
      <c r="F264" s="641" t="s">
        <v>319</v>
      </c>
      <c r="G264" s="641" t="s">
        <v>324</v>
      </c>
      <c r="H264" s="575" t="s">
        <v>325</v>
      </c>
      <c r="I264" s="601" t="s">
        <v>359</v>
      </c>
      <c r="J264" s="641" t="s">
        <v>338</v>
      </c>
      <c r="K264" s="641" t="s">
        <v>339</v>
      </c>
      <c r="L264" s="641" t="b">
        <v>0</v>
      </c>
      <c r="M264" s="641" t="s">
        <v>321</v>
      </c>
      <c r="N264" s="641" t="s">
        <v>340</v>
      </c>
      <c r="O264" s="641" t="s">
        <v>341</v>
      </c>
      <c r="P264" s="186"/>
      <c r="Q264" s="186"/>
      <c r="R264" s="186"/>
    </row>
    <row r="265" spans="1:18" x14ac:dyDescent="0.25">
      <c r="A265" s="641" t="s">
        <v>336</v>
      </c>
      <c r="B265" s="642">
        <v>1</v>
      </c>
      <c r="C265" s="641"/>
      <c r="D265" s="641" t="s">
        <v>319</v>
      </c>
      <c r="E265" s="641" t="s">
        <v>319</v>
      </c>
      <c r="F265" s="641" t="s">
        <v>319</v>
      </c>
      <c r="G265" s="641" t="s">
        <v>324</v>
      </c>
      <c r="H265" s="575" t="s">
        <v>325</v>
      </c>
      <c r="I265" s="601" t="s">
        <v>360</v>
      </c>
      <c r="J265" s="641" t="s">
        <v>338</v>
      </c>
      <c r="K265" s="641" t="s">
        <v>339</v>
      </c>
      <c r="L265" s="641" t="b">
        <v>0</v>
      </c>
      <c r="M265" s="641" t="s">
        <v>321</v>
      </c>
      <c r="N265" s="641" t="s">
        <v>340</v>
      </c>
      <c r="O265" s="641" t="s">
        <v>341</v>
      </c>
      <c r="P265" s="186"/>
      <c r="Q265" s="186"/>
      <c r="R265" s="186"/>
    </row>
    <row r="266" spans="1:18" x14ac:dyDescent="0.25">
      <c r="A266" s="641" t="s">
        <v>336</v>
      </c>
      <c r="B266" s="642">
        <v>1</v>
      </c>
      <c r="C266" s="641"/>
      <c r="D266" s="641" t="s">
        <v>319</v>
      </c>
      <c r="E266" s="641" t="s">
        <v>319</v>
      </c>
      <c r="F266" s="641" t="s">
        <v>319</v>
      </c>
      <c r="G266" s="641" t="s">
        <v>324</v>
      </c>
      <c r="H266" s="575" t="s">
        <v>325</v>
      </c>
      <c r="I266" s="601" t="s">
        <v>361</v>
      </c>
      <c r="J266" s="641" t="s">
        <v>338</v>
      </c>
      <c r="K266" s="641" t="s">
        <v>339</v>
      </c>
      <c r="L266" s="641" t="b">
        <v>0</v>
      </c>
      <c r="M266" s="641" t="s">
        <v>321</v>
      </c>
      <c r="N266" s="641" t="s">
        <v>340</v>
      </c>
      <c r="O266" s="641" t="s">
        <v>341</v>
      </c>
      <c r="P266" s="186"/>
      <c r="Q266" s="186"/>
      <c r="R266" s="186"/>
    </row>
    <row r="267" spans="1:18" x14ac:dyDescent="0.25">
      <c r="A267" s="641" t="s">
        <v>336</v>
      </c>
      <c r="B267" s="642">
        <v>1</v>
      </c>
      <c r="C267" s="641"/>
      <c r="D267" s="641" t="s">
        <v>319</v>
      </c>
      <c r="E267" s="641" t="s">
        <v>319</v>
      </c>
      <c r="F267" s="641" t="s">
        <v>319</v>
      </c>
      <c r="G267" s="641" t="s">
        <v>324</v>
      </c>
      <c r="H267" s="575" t="s">
        <v>325</v>
      </c>
      <c r="I267" s="601" t="s">
        <v>362</v>
      </c>
      <c r="J267" s="641" t="s">
        <v>338</v>
      </c>
      <c r="K267" s="641" t="s">
        <v>339</v>
      </c>
      <c r="L267" s="641" t="b">
        <v>0</v>
      </c>
      <c r="M267" s="641" t="s">
        <v>321</v>
      </c>
      <c r="N267" s="641" t="s">
        <v>340</v>
      </c>
      <c r="O267" s="641" t="s">
        <v>341</v>
      </c>
      <c r="P267" s="186"/>
      <c r="Q267" s="186"/>
      <c r="R267" s="186"/>
    </row>
    <row r="268" spans="1:18" x14ac:dyDescent="0.25">
      <c r="A268" s="641" t="s">
        <v>336</v>
      </c>
      <c r="B268" s="642">
        <v>1</v>
      </c>
      <c r="C268" s="641"/>
      <c r="D268" s="641" t="s">
        <v>319</v>
      </c>
      <c r="E268" s="641" t="s">
        <v>319</v>
      </c>
      <c r="F268" s="641" t="s">
        <v>319</v>
      </c>
      <c r="G268" s="641" t="s">
        <v>324</v>
      </c>
      <c r="H268" s="575" t="s">
        <v>325</v>
      </c>
      <c r="I268" s="601" t="s">
        <v>363</v>
      </c>
      <c r="J268" s="641" t="s">
        <v>338</v>
      </c>
      <c r="K268" s="641" t="s">
        <v>339</v>
      </c>
      <c r="L268" s="641" t="b">
        <v>0</v>
      </c>
      <c r="M268" s="641" t="s">
        <v>321</v>
      </c>
      <c r="N268" s="641" t="s">
        <v>340</v>
      </c>
      <c r="O268" s="641" t="s">
        <v>341</v>
      </c>
      <c r="P268" s="186"/>
      <c r="Q268" s="186"/>
      <c r="R268" s="186"/>
    </row>
    <row r="269" spans="1:18" x14ac:dyDescent="0.25">
      <c r="A269" s="641" t="s">
        <v>336</v>
      </c>
      <c r="B269" s="642">
        <v>1</v>
      </c>
      <c r="C269" s="641"/>
      <c r="D269" s="641" t="s">
        <v>319</v>
      </c>
      <c r="E269" s="641" t="s">
        <v>319</v>
      </c>
      <c r="F269" s="641" t="s">
        <v>319</v>
      </c>
      <c r="G269" s="641" t="s">
        <v>324</v>
      </c>
      <c r="H269" s="575" t="s">
        <v>325</v>
      </c>
      <c r="I269" s="601" t="s">
        <v>364</v>
      </c>
      <c r="J269" s="641" t="s">
        <v>338</v>
      </c>
      <c r="K269" s="641" t="s">
        <v>339</v>
      </c>
      <c r="L269" s="641" t="b">
        <v>0</v>
      </c>
      <c r="M269" s="641" t="s">
        <v>321</v>
      </c>
      <c r="N269" s="641" t="s">
        <v>340</v>
      </c>
      <c r="O269" s="641" t="s">
        <v>341</v>
      </c>
      <c r="P269" s="186"/>
      <c r="Q269" s="186"/>
      <c r="R269" s="186"/>
    </row>
    <row r="270" spans="1:18" x14ac:dyDescent="0.25">
      <c r="A270" s="641" t="s">
        <v>336</v>
      </c>
      <c r="B270" s="642">
        <v>1.1000000000000001</v>
      </c>
      <c r="C270" s="641"/>
      <c r="D270" s="641" t="s">
        <v>319</v>
      </c>
      <c r="E270" s="641" t="s">
        <v>319</v>
      </c>
      <c r="F270" s="641" t="s">
        <v>319</v>
      </c>
      <c r="G270" s="641" t="s">
        <v>324</v>
      </c>
      <c r="H270" s="575" t="s">
        <v>325</v>
      </c>
      <c r="I270" s="601" t="s">
        <v>365</v>
      </c>
      <c r="J270" s="641" t="s">
        <v>338</v>
      </c>
      <c r="K270" s="641" t="s">
        <v>339</v>
      </c>
      <c r="L270" s="641" t="b">
        <v>0</v>
      </c>
      <c r="M270" s="641" t="s">
        <v>321</v>
      </c>
      <c r="N270" s="641" t="s">
        <v>340</v>
      </c>
      <c r="O270" s="641" t="s">
        <v>341</v>
      </c>
      <c r="P270" s="186"/>
      <c r="Q270" s="186"/>
      <c r="R270" s="186"/>
    </row>
    <row r="271" spans="1:18" x14ac:dyDescent="0.25">
      <c r="A271" s="641" t="s">
        <v>336</v>
      </c>
      <c r="B271" s="642">
        <v>1.1000000000000001</v>
      </c>
      <c r="C271" s="641"/>
      <c r="D271" s="641" t="s">
        <v>319</v>
      </c>
      <c r="E271" s="641" t="s">
        <v>319</v>
      </c>
      <c r="F271" s="641" t="s">
        <v>319</v>
      </c>
      <c r="G271" s="641" t="s">
        <v>324</v>
      </c>
      <c r="H271" s="575" t="s">
        <v>325</v>
      </c>
      <c r="I271" s="601" t="s">
        <v>366</v>
      </c>
      <c r="J271" s="641" t="s">
        <v>338</v>
      </c>
      <c r="K271" s="641" t="s">
        <v>339</v>
      </c>
      <c r="L271" s="641" t="b">
        <v>0</v>
      </c>
      <c r="M271" s="641" t="s">
        <v>321</v>
      </c>
      <c r="N271" s="641" t="s">
        <v>340</v>
      </c>
      <c r="O271" s="641" t="s">
        <v>341</v>
      </c>
      <c r="P271" s="186"/>
      <c r="Q271" s="186"/>
      <c r="R271" s="186"/>
    </row>
    <row r="272" spans="1:18" x14ac:dyDescent="0.25">
      <c r="A272" s="641" t="s">
        <v>336</v>
      </c>
      <c r="B272" s="642">
        <v>1.1000000000000001</v>
      </c>
      <c r="C272" s="641"/>
      <c r="D272" s="641" t="s">
        <v>319</v>
      </c>
      <c r="E272" s="641" t="s">
        <v>319</v>
      </c>
      <c r="F272" s="641" t="s">
        <v>319</v>
      </c>
      <c r="G272" s="641" t="s">
        <v>324</v>
      </c>
      <c r="H272" s="575" t="s">
        <v>325</v>
      </c>
      <c r="I272" s="601" t="s">
        <v>367</v>
      </c>
      <c r="J272" s="641" t="s">
        <v>338</v>
      </c>
      <c r="K272" s="641" t="s">
        <v>339</v>
      </c>
      <c r="L272" s="641" t="b">
        <v>0</v>
      </c>
      <c r="M272" s="641" t="s">
        <v>321</v>
      </c>
      <c r="N272" s="641" t="s">
        <v>340</v>
      </c>
      <c r="O272" s="641" t="s">
        <v>341</v>
      </c>
      <c r="P272" s="186"/>
      <c r="Q272" s="186"/>
      <c r="R272" s="186"/>
    </row>
    <row r="273" spans="1:18" x14ac:dyDescent="0.25">
      <c r="A273" s="641" t="s">
        <v>336</v>
      </c>
      <c r="B273" s="642">
        <v>1.1499999999999999</v>
      </c>
      <c r="C273" s="641"/>
      <c r="D273" s="641" t="s">
        <v>319</v>
      </c>
      <c r="E273" s="641" t="s">
        <v>319</v>
      </c>
      <c r="F273" s="641" t="s">
        <v>319</v>
      </c>
      <c r="G273" s="641" t="s">
        <v>324</v>
      </c>
      <c r="H273" s="575" t="s">
        <v>325</v>
      </c>
      <c r="I273" s="601" t="s">
        <v>368</v>
      </c>
      <c r="J273" s="641" t="s">
        <v>338</v>
      </c>
      <c r="K273" s="641" t="s">
        <v>339</v>
      </c>
      <c r="L273" s="641" t="b">
        <v>0</v>
      </c>
      <c r="M273" s="641" t="s">
        <v>321</v>
      </c>
      <c r="N273" s="641" t="s">
        <v>340</v>
      </c>
      <c r="O273" s="641" t="s">
        <v>341</v>
      </c>
      <c r="P273" s="186"/>
      <c r="Q273" s="186"/>
      <c r="R273" s="186"/>
    </row>
    <row r="274" spans="1:18" x14ac:dyDescent="0.25">
      <c r="A274" s="641" t="s">
        <v>336</v>
      </c>
      <c r="B274" s="642">
        <v>1.1499999999999999</v>
      </c>
      <c r="C274" s="641"/>
      <c r="D274" s="641" t="s">
        <v>319</v>
      </c>
      <c r="E274" s="641" t="s">
        <v>319</v>
      </c>
      <c r="F274" s="641" t="s">
        <v>319</v>
      </c>
      <c r="G274" s="641" t="s">
        <v>324</v>
      </c>
      <c r="H274" s="575" t="s">
        <v>325</v>
      </c>
      <c r="I274" s="601" t="s">
        <v>369</v>
      </c>
      <c r="J274" s="641" t="s">
        <v>338</v>
      </c>
      <c r="K274" s="641" t="s">
        <v>339</v>
      </c>
      <c r="L274" s="641" t="b">
        <v>0</v>
      </c>
      <c r="M274" s="641" t="s">
        <v>321</v>
      </c>
      <c r="N274" s="641" t="s">
        <v>340</v>
      </c>
      <c r="O274" s="641" t="s">
        <v>341</v>
      </c>
      <c r="P274" s="186"/>
      <c r="Q274" s="186"/>
      <c r="R274" s="186"/>
    </row>
    <row r="275" spans="1:18" x14ac:dyDescent="0.25">
      <c r="A275" s="641" t="s">
        <v>336</v>
      </c>
      <c r="B275" s="642">
        <v>1.4</v>
      </c>
      <c r="C275" s="641"/>
      <c r="D275" s="641" t="s">
        <v>319</v>
      </c>
      <c r="E275" s="641" t="s">
        <v>319</v>
      </c>
      <c r="F275" s="641" t="s">
        <v>319</v>
      </c>
      <c r="G275" s="641" t="s">
        <v>324</v>
      </c>
      <c r="H275" s="575" t="s">
        <v>325</v>
      </c>
      <c r="I275" s="601" t="s">
        <v>370</v>
      </c>
      <c r="J275" s="641" t="s">
        <v>338</v>
      </c>
      <c r="K275" s="641" t="s">
        <v>339</v>
      </c>
      <c r="L275" s="641" t="b">
        <v>0</v>
      </c>
      <c r="M275" s="641" t="s">
        <v>321</v>
      </c>
      <c r="N275" s="641" t="s">
        <v>340</v>
      </c>
      <c r="O275" s="641" t="s">
        <v>341</v>
      </c>
      <c r="P275" s="186"/>
      <c r="Q275" s="186"/>
      <c r="R275" s="186"/>
    </row>
    <row r="276" spans="1:18" x14ac:dyDescent="0.25">
      <c r="A276" s="641" t="s">
        <v>336</v>
      </c>
      <c r="B276" s="642">
        <v>1.4</v>
      </c>
      <c r="C276" s="641"/>
      <c r="D276" s="641" t="s">
        <v>319</v>
      </c>
      <c r="E276" s="641" t="s">
        <v>319</v>
      </c>
      <c r="F276" s="641" t="s">
        <v>319</v>
      </c>
      <c r="G276" s="641" t="s">
        <v>324</v>
      </c>
      <c r="H276" s="575" t="s">
        <v>325</v>
      </c>
      <c r="I276" s="601" t="s">
        <v>371</v>
      </c>
      <c r="J276" s="641" t="s">
        <v>338</v>
      </c>
      <c r="K276" s="641" t="s">
        <v>339</v>
      </c>
      <c r="L276" s="641" t="b">
        <v>0</v>
      </c>
      <c r="M276" s="641" t="s">
        <v>321</v>
      </c>
      <c r="N276" s="641" t="s">
        <v>340</v>
      </c>
      <c r="O276" s="641" t="s">
        <v>341</v>
      </c>
      <c r="P276" s="186"/>
      <c r="Q276" s="186"/>
      <c r="R276" s="186"/>
    </row>
    <row r="277" spans="1:18" x14ac:dyDescent="0.25">
      <c r="A277" s="641" t="s">
        <v>336</v>
      </c>
      <c r="B277" s="642">
        <v>1.4</v>
      </c>
      <c r="C277" s="641"/>
      <c r="D277" s="641" t="s">
        <v>319</v>
      </c>
      <c r="E277" s="641" t="s">
        <v>319</v>
      </c>
      <c r="F277" s="641" t="s">
        <v>319</v>
      </c>
      <c r="G277" s="641" t="s">
        <v>324</v>
      </c>
      <c r="H277" s="575" t="s">
        <v>325</v>
      </c>
      <c r="I277" s="601" t="s">
        <v>372</v>
      </c>
      <c r="J277" s="641" t="s">
        <v>338</v>
      </c>
      <c r="K277" s="641" t="s">
        <v>339</v>
      </c>
      <c r="L277" s="641" t="b">
        <v>0</v>
      </c>
      <c r="M277" s="641" t="s">
        <v>321</v>
      </c>
      <c r="N277" s="641" t="s">
        <v>340</v>
      </c>
      <c r="O277" s="641" t="s">
        <v>341</v>
      </c>
      <c r="P277" s="186"/>
      <c r="Q277" s="186"/>
      <c r="R277" s="186"/>
    </row>
    <row r="278" spans="1:18" x14ac:dyDescent="0.25">
      <c r="A278" s="641" t="s">
        <v>336</v>
      </c>
      <c r="B278" s="642">
        <v>1.5</v>
      </c>
      <c r="C278" s="641"/>
      <c r="D278" s="641" t="s">
        <v>319</v>
      </c>
      <c r="E278" s="641" t="s">
        <v>319</v>
      </c>
      <c r="F278" s="641" t="s">
        <v>319</v>
      </c>
      <c r="G278" s="641" t="s">
        <v>324</v>
      </c>
      <c r="H278" s="575" t="s">
        <v>325</v>
      </c>
      <c r="I278" s="601" t="s">
        <v>373</v>
      </c>
      <c r="J278" s="641" t="s">
        <v>338</v>
      </c>
      <c r="K278" s="641" t="s">
        <v>339</v>
      </c>
      <c r="L278" s="641" t="b">
        <v>0</v>
      </c>
      <c r="M278" s="641" t="s">
        <v>321</v>
      </c>
      <c r="N278" s="641" t="s">
        <v>340</v>
      </c>
      <c r="O278" s="641" t="s">
        <v>341</v>
      </c>
      <c r="P278" s="186"/>
      <c r="Q278" s="186"/>
      <c r="R278" s="186"/>
    </row>
    <row r="279" spans="1:18" x14ac:dyDescent="0.25">
      <c r="A279" s="641" t="s">
        <v>336</v>
      </c>
      <c r="B279" s="642">
        <v>1.5</v>
      </c>
      <c r="C279" s="641"/>
      <c r="D279" s="641" t="s">
        <v>319</v>
      </c>
      <c r="E279" s="641" t="s">
        <v>319</v>
      </c>
      <c r="F279" s="641" t="s">
        <v>319</v>
      </c>
      <c r="G279" s="641" t="s">
        <v>324</v>
      </c>
      <c r="H279" s="575" t="s">
        <v>325</v>
      </c>
      <c r="I279" s="601" t="s">
        <v>374</v>
      </c>
      <c r="J279" s="641" t="s">
        <v>338</v>
      </c>
      <c r="K279" s="641" t="s">
        <v>339</v>
      </c>
      <c r="L279" s="641" t="b">
        <v>0</v>
      </c>
      <c r="M279" s="641" t="s">
        <v>321</v>
      </c>
      <c r="N279" s="641" t="s">
        <v>340</v>
      </c>
      <c r="O279" s="641" t="s">
        <v>341</v>
      </c>
      <c r="P279" s="186"/>
      <c r="Q279" s="186"/>
      <c r="R279" s="186"/>
    </row>
    <row r="280" spans="1:18" x14ac:dyDescent="0.25">
      <c r="A280" s="641" t="s">
        <v>336</v>
      </c>
      <c r="B280" s="642">
        <v>1.5</v>
      </c>
      <c r="C280" s="641"/>
      <c r="D280" s="641" t="s">
        <v>319</v>
      </c>
      <c r="E280" s="641" t="s">
        <v>319</v>
      </c>
      <c r="F280" s="641" t="s">
        <v>319</v>
      </c>
      <c r="G280" s="641" t="s">
        <v>324</v>
      </c>
      <c r="H280" s="575" t="s">
        <v>325</v>
      </c>
      <c r="I280" s="601" t="s">
        <v>375</v>
      </c>
      <c r="J280" s="641" t="s">
        <v>338</v>
      </c>
      <c r="K280" s="641" t="s">
        <v>339</v>
      </c>
      <c r="L280" s="641" t="b">
        <v>0</v>
      </c>
      <c r="M280" s="641" t="s">
        <v>321</v>
      </c>
      <c r="N280" s="641" t="s">
        <v>340</v>
      </c>
      <c r="O280" s="641" t="s">
        <v>341</v>
      </c>
      <c r="P280" s="186"/>
      <c r="Q280" s="186"/>
      <c r="R280" s="186"/>
    </row>
    <row r="281" spans="1:18" x14ac:dyDescent="0.25">
      <c r="A281" s="641" t="s">
        <v>336</v>
      </c>
      <c r="B281" s="642">
        <v>1.944</v>
      </c>
      <c r="C281" s="641"/>
      <c r="D281" s="641" t="s">
        <v>319</v>
      </c>
      <c r="E281" s="641" t="s">
        <v>319</v>
      </c>
      <c r="F281" s="641" t="s">
        <v>319</v>
      </c>
      <c r="G281" s="641" t="s">
        <v>324</v>
      </c>
      <c r="H281" s="575" t="s">
        <v>325</v>
      </c>
      <c r="I281" s="601" t="s">
        <v>376</v>
      </c>
      <c r="J281" s="641" t="s">
        <v>338</v>
      </c>
      <c r="K281" s="641" t="s">
        <v>339</v>
      </c>
      <c r="L281" s="641" t="b">
        <v>0</v>
      </c>
      <c r="M281" s="641" t="s">
        <v>321</v>
      </c>
      <c r="N281" s="641" t="s">
        <v>340</v>
      </c>
      <c r="O281" s="641" t="s">
        <v>341</v>
      </c>
      <c r="P281" s="186"/>
      <c r="Q281" s="186"/>
      <c r="R281" s="186"/>
    </row>
    <row r="282" spans="1:18" x14ac:dyDescent="0.25">
      <c r="A282" s="641" t="s">
        <v>336</v>
      </c>
      <c r="B282" s="642">
        <v>1.944</v>
      </c>
      <c r="C282" s="641"/>
      <c r="D282" s="641" t="s">
        <v>319</v>
      </c>
      <c r="E282" s="641" t="s">
        <v>319</v>
      </c>
      <c r="F282" s="641" t="s">
        <v>319</v>
      </c>
      <c r="G282" s="641" t="s">
        <v>324</v>
      </c>
      <c r="H282" s="575" t="s">
        <v>325</v>
      </c>
      <c r="I282" s="601" t="s">
        <v>377</v>
      </c>
      <c r="J282" s="641" t="s">
        <v>338</v>
      </c>
      <c r="K282" s="641" t="s">
        <v>339</v>
      </c>
      <c r="L282" s="641" t="b">
        <v>0</v>
      </c>
      <c r="M282" s="641" t="s">
        <v>321</v>
      </c>
      <c r="N282" s="641" t="s">
        <v>340</v>
      </c>
      <c r="O282" s="641" t="s">
        <v>341</v>
      </c>
      <c r="P282" s="186"/>
      <c r="Q282" s="186"/>
      <c r="R282" s="186"/>
    </row>
    <row r="283" spans="1:18" x14ac:dyDescent="0.25">
      <c r="A283" s="641" t="s">
        <v>336</v>
      </c>
      <c r="B283" s="642">
        <v>1.944</v>
      </c>
      <c r="C283" s="641"/>
      <c r="D283" s="641" t="s">
        <v>319</v>
      </c>
      <c r="E283" s="641" t="s">
        <v>319</v>
      </c>
      <c r="F283" s="641" t="s">
        <v>319</v>
      </c>
      <c r="G283" s="641" t="s">
        <v>324</v>
      </c>
      <c r="H283" s="575" t="s">
        <v>325</v>
      </c>
      <c r="I283" s="601" t="s">
        <v>378</v>
      </c>
      <c r="J283" s="641" t="s">
        <v>338</v>
      </c>
      <c r="K283" s="641" t="s">
        <v>339</v>
      </c>
      <c r="L283" s="641" t="b">
        <v>0</v>
      </c>
      <c r="M283" s="641" t="s">
        <v>321</v>
      </c>
      <c r="N283" s="641" t="s">
        <v>340</v>
      </c>
      <c r="O283" s="641" t="s">
        <v>341</v>
      </c>
      <c r="P283" s="186"/>
      <c r="Q283" s="186"/>
      <c r="R283" s="186"/>
    </row>
    <row r="284" spans="1:18" x14ac:dyDescent="0.25">
      <c r="A284" s="641" t="s">
        <v>336</v>
      </c>
      <c r="B284" s="642">
        <v>1.944</v>
      </c>
      <c r="C284" s="641"/>
      <c r="D284" s="641" t="s">
        <v>319</v>
      </c>
      <c r="E284" s="641" t="s">
        <v>319</v>
      </c>
      <c r="F284" s="641" t="s">
        <v>319</v>
      </c>
      <c r="G284" s="641" t="s">
        <v>324</v>
      </c>
      <c r="H284" s="575" t="s">
        <v>325</v>
      </c>
      <c r="I284" s="601" t="s">
        <v>379</v>
      </c>
      <c r="J284" s="641" t="s">
        <v>338</v>
      </c>
      <c r="K284" s="641" t="s">
        <v>339</v>
      </c>
      <c r="L284" s="641" t="b">
        <v>0</v>
      </c>
      <c r="M284" s="641" t="s">
        <v>321</v>
      </c>
      <c r="N284" s="641" t="s">
        <v>340</v>
      </c>
      <c r="O284" s="641" t="s">
        <v>341</v>
      </c>
      <c r="P284" s="186"/>
      <c r="Q284" s="186"/>
      <c r="R284" s="186"/>
    </row>
    <row r="285" spans="1:18" x14ac:dyDescent="0.25">
      <c r="A285" s="641" t="s">
        <v>336</v>
      </c>
      <c r="B285" s="642">
        <v>1.944</v>
      </c>
      <c r="C285" s="641"/>
      <c r="D285" s="641" t="s">
        <v>319</v>
      </c>
      <c r="E285" s="641" t="s">
        <v>319</v>
      </c>
      <c r="F285" s="641" t="s">
        <v>319</v>
      </c>
      <c r="G285" s="641" t="s">
        <v>324</v>
      </c>
      <c r="H285" s="575" t="s">
        <v>325</v>
      </c>
      <c r="I285" s="601" t="s">
        <v>380</v>
      </c>
      <c r="J285" s="641" t="s">
        <v>338</v>
      </c>
      <c r="K285" s="641" t="s">
        <v>339</v>
      </c>
      <c r="L285" s="641" t="b">
        <v>0</v>
      </c>
      <c r="M285" s="641" t="s">
        <v>321</v>
      </c>
      <c r="N285" s="641" t="s">
        <v>340</v>
      </c>
      <c r="O285" s="641" t="s">
        <v>341</v>
      </c>
      <c r="P285" s="186"/>
      <c r="Q285" s="186"/>
      <c r="R285" s="186"/>
    </row>
    <row r="286" spans="1:18" x14ac:dyDescent="0.25">
      <c r="A286" s="641" t="s">
        <v>336</v>
      </c>
      <c r="B286" s="642">
        <v>1.944</v>
      </c>
      <c r="C286" s="641"/>
      <c r="D286" s="641" t="s">
        <v>319</v>
      </c>
      <c r="E286" s="641" t="s">
        <v>319</v>
      </c>
      <c r="F286" s="641" t="s">
        <v>319</v>
      </c>
      <c r="G286" s="641" t="s">
        <v>324</v>
      </c>
      <c r="H286" s="575" t="s">
        <v>325</v>
      </c>
      <c r="I286" s="601" t="s">
        <v>381</v>
      </c>
      <c r="J286" s="641" t="s">
        <v>338</v>
      </c>
      <c r="K286" s="641" t="s">
        <v>339</v>
      </c>
      <c r="L286" s="641" t="b">
        <v>0</v>
      </c>
      <c r="M286" s="641" t="s">
        <v>321</v>
      </c>
      <c r="N286" s="641" t="s">
        <v>340</v>
      </c>
      <c r="O286" s="641" t="s">
        <v>341</v>
      </c>
      <c r="P286" s="186"/>
      <c r="Q286" s="186"/>
      <c r="R286" s="186"/>
    </row>
    <row r="287" spans="1:18" x14ac:dyDescent="0.25">
      <c r="A287" s="641" t="s">
        <v>336</v>
      </c>
      <c r="B287" s="642">
        <v>1.944</v>
      </c>
      <c r="C287" s="641"/>
      <c r="D287" s="641" t="s">
        <v>319</v>
      </c>
      <c r="E287" s="641" t="s">
        <v>319</v>
      </c>
      <c r="F287" s="641" t="s">
        <v>319</v>
      </c>
      <c r="G287" s="641" t="s">
        <v>324</v>
      </c>
      <c r="H287" s="575" t="s">
        <v>325</v>
      </c>
      <c r="I287" s="601" t="s">
        <v>382</v>
      </c>
      <c r="J287" s="641" t="s">
        <v>338</v>
      </c>
      <c r="K287" s="641" t="s">
        <v>339</v>
      </c>
      <c r="L287" s="641" t="b">
        <v>0</v>
      </c>
      <c r="M287" s="641" t="s">
        <v>321</v>
      </c>
      <c r="N287" s="641" t="s">
        <v>340</v>
      </c>
      <c r="O287" s="641" t="s">
        <v>341</v>
      </c>
      <c r="P287" s="186"/>
      <c r="Q287" s="186"/>
      <c r="R287" s="186"/>
    </row>
    <row r="288" spans="1:18" x14ac:dyDescent="0.25">
      <c r="A288" s="641" t="s">
        <v>336</v>
      </c>
      <c r="B288" s="642">
        <v>2.673</v>
      </c>
      <c r="C288" s="641"/>
      <c r="D288" s="641" t="s">
        <v>319</v>
      </c>
      <c r="E288" s="641" t="s">
        <v>319</v>
      </c>
      <c r="F288" s="641" t="s">
        <v>319</v>
      </c>
      <c r="G288" s="641" t="s">
        <v>324</v>
      </c>
      <c r="H288" s="575" t="s">
        <v>325</v>
      </c>
      <c r="I288" s="601" t="s">
        <v>383</v>
      </c>
      <c r="J288" s="641" t="s">
        <v>338</v>
      </c>
      <c r="K288" s="641" t="s">
        <v>339</v>
      </c>
      <c r="L288" s="641" t="b">
        <v>0</v>
      </c>
      <c r="M288" s="641" t="s">
        <v>321</v>
      </c>
      <c r="N288" s="641" t="s">
        <v>340</v>
      </c>
      <c r="O288" s="641" t="s">
        <v>341</v>
      </c>
      <c r="P288" s="186"/>
      <c r="Q288" s="186"/>
      <c r="R288" s="186"/>
    </row>
    <row r="289" spans="1:18" x14ac:dyDescent="0.25">
      <c r="A289" s="641" t="s">
        <v>336</v>
      </c>
      <c r="B289" s="642">
        <v>2.673</v>
      </c>
      <c r="C289" s="641"/>
      <c r="D289" s="641" t="s">
        <v>319</v>
      </c>
      <c r="E289" s="641" t="s">
        <v>319</v>
      </c>
      <c r="F289" s="641" t="s">
        <v>319</v>
      </c>
      <c r="G289" s="641" t="s">
        <v>324</v>
      </c>
      <c r="H289" s="575" t="s">
        <v>325</v>
      </c>
      <c r="I289" s="601" t="s">
        <v>384</v>
      </c>
      <c r="J289" s="641" t="s">
        <v>338</v>
      </c>
      <c r="K289" s="641" t="s">
        <v>339</v>
      </c>
      <c r="L289" s="641" t="b">
        <v>0</v>
      </c>
      <c r="M289" s="641" t="s">
        <v>321</v>
      </c>
      <c r="N289" s="641" t="s">
        <v>340</v>
      </c>
      <c r="O289" s="641" t="s">
        <v>341</v>
      </c>
      <c r="P289" s="186"/>
      <c r="Q289" s="186"/>
      <c r="R289" s="186"/>
    </row>
    <row r="290" spans="1:18" x14ac:dyDescent="0.25">
      <c r="A290" s="641" t="s">
        <v>336</v>
      </c>
      <c r="B290" s="642">
        <v>2.673</v>
      </c>
      <c r="C290" s="641"/>
      <c r="D290" s="641" t="s">
        <v>319</v>
      </c>
      <c r="E290" s="641" t="s">
        <v>319</v>
      </c>
      <c r="F290" s="641" t="s">
        <v>319</v>
      </c>
      <c r="G290" s="641" t="s">
        <v>324</v>
      </c>
      <c r="H290" s="575" t="s">
        <v>325</v>
      </c>
      <c r="I290" s="601" t="s">
        <v>385</v>
      </c>
      <c r="J290" s="641" t="s">
        <v>338</v>
      </c>
      <c r="K290" s="641" t="s">
        <v>339</v>
      </c>
      <c r="L290" s="641" t="b">
        <v>0</v>
      </c>
      <c r="M290" s="641" t="s">
        <v>321</v>
      </c>
      <c r="N290" s="641" t="s">
        <v>340</v>
      </c>
      <c r="O290" s="641" t="s">
        <v>341</v>
      </c>
      <c r="P290" s="186"/>
      <c r="Q290" s="186"/>
      <c r="R290" s="186"/>
    </row>
    <row r="291" spans="1:18" x14ac:dyDescent="0.25">
      <c r="A291" s="641" t="s">
        <v>336</v>
      </c>
      <c r="B291" s="642">
        <v>2.673</v>
      </c>
      <c r="C291" s="641"/>
      <c r="D291" s="641" t="s">
        <v>319</v>
      </c>
      <c r="E291" s="641" t="s">
        <v>319</v>
      </c>
      <c r="F291" s="641" t="s">
        <v>319</v>
      </c>
      <c r="G291" s="641" t="s">
        <v>324</v>
      </c>
      <c r="H291" s="575" t="s">
        <v>325</v>
      </c>
      <c r="I291" s="601" t="s">
        <v>386</v>
      </c>
      <c r="J291" s="641" t="s">
        <v>338</v>
      </c>
      <c r="K291" s="641" t="s">
        <v>339</v>
      </c>
      <c r="L291" s="641" t="b">
        <v>0</v>
      </c>
      <c r="M291" s="641" t="s">
        <v>321</v>
      </c>
      <c r="N291" s="641" t="s">
        <v>340</v>
      </c>
      <c r="O291" s="641" t="s">
        <v>341</v>
      </c>
      <c r="P291" s="186"/>
      <c r="Q291" s="186"/>
      <c r="R291" s="186"/>
    </row>
    <row r="292" spans="1:18" x14ac:dyDescent="0.25">
      <c r="A292" s="641" t="s">
        <v>336</v>
      </c>
      <c r="B292" s="642">
        <v>2.835</v>
      </c>
      <c r="C292" s="641"/>
      <c r="D292" s="641" t="s">
        <v>319</v>
      </c>
      <c r="E292" s="641" t="s">
        <v>319</v>
      </c>
      <c r="F292" s="641" t="s">
        <v>319</v>
      </c>
      <c r="G292" s="641" t="s">
        <v>324</v>
      </c>
      <c r="H292" s="575" t="s">
        <v>325</v>
      </c>
      <c r="I292" s="601" t="s">
        <v>387</v>
      </c>
      <c r="J292" s="641" t="s">
        <v>338</v>
      </c>
      <c r="K292" s="641" t="s">
        <v>339</v>
      </c>
      <c r="L292" s="641" t="b">
        <v>0</v>
      </c>
      <c r="M292" s="641" t="s">
        <v>321</v>
      </c>
      <c r="N292" s="641" t="s">
        <v>340</v>
      </c>
      <c r="O292" s="641" t="s">
        <v>341</v>
      </c>
      <c r="P292" s="186"/>
      <c r="Q292" s="186"/>
      <c r="R292" s="186"/>
    </row>
    <row r="293" spans="1:18" x14ac:dyDescent="0.25">
      <c r="A293" s="641" t="s">
        <v>336</v>
      </c>
      <c r="B293" s="642">
        <v>2.835</v>
      </c>
      <c r="C293" s="641"/>
      <c r="D293" s="641" t="s">
        <v>319</v>
      </c>
      <c r="E293" s="641" t="s">
        <v>319</v>
      </c>
      <c r="F293" s="641" t="s">
        <v>319</v>
      </c>
      <c r="G293" s="641" t="s">
        <v>324</v>
      </c>
      <c r="H293" s="575" t="s">
        <v>325</v>
      </c>
      <c r="I293" s="601" t="s">
        <v>388</v>
      </c>
      <c r="J293" s="641" t="s">
        <v>338</v>
      </c>
      <c r="K293" s="641" t="s">
        <v>339</v>
      </c>
      <c r="L293" s="641" t="b">
        <v>0</v>
      </c>
      <c r="M293" s="641" t="s">
        <v>321</v>
      </c>
      <c r="N293" s="641" t="s">
        <v>340</v>
      </c>
      <c r="O293" s="641" t="s">
        <v>341</v>
      </c>
      <c r="P293" s="186"/>
      <c r="Q293" s="186"/>
      <c r="R293" s="186"/>
    </row>
    <row r="294" spans="1:18" x14ac:dyDescent="0.25">
      <c r="A294" s="641" t="s">
        <v>336</v>
      </c>
      <c r="B294" s="642">
        <v>2.835</v>
      </c>
      <c r="C294" s="641"/>
      <c r="D294" s="641" t="s">
        <v>319</v>
      </c>
      <c r="E294" s="641" t="s">
        <v>319</v>
      </c>
      <c r="F294" s="641" t="s">
        <v>319</v>
      </c>
      <c r="G294" s="641" t="s">
        <v>324</v>
      </c>
      <c r="H294" s="575" t="s">
        <v>325</v>
      </c>
      <c r="I294" s="601" t="s">
        <v>389</v>
      </c>
      <c r="J294" s="641" t="s">
        <v>338</v>
      </c>
      <c r="K294" s="641" t="s">
        <v>339</v>
      </c>
      <c r="L294" s="641" t="b">
        <v>0</v>
      </c>
      <c r="M294" s="641" t="s">
        <v>321</v>
      </c>
      <c r="N294" s="641" t="s">
        <v>340</v>
      </c>
      <c r="O294" s="641" t="s">
        <v>341</v>
      </c>
      <c r="P294" s="186"/>
      <c r="Q294" s="186"/>
      <c r="R294" s="186"/>
    </row>
    <row r="295" spans="1:18" x14ac:dyDescent="0.25">
      <c r="A295" s="641" t="s">
        <v>336</v>
      </c>
      <c r="B295" s="642">
        <v>2.835</v>
      </c>
      <c r="C295" s="641"/>
      <c r="D295" s="641" t="s">
        <v>319</v>
      </c>
      <c r="E295" s="641" t="s">
        <v>319</v>
      </c>
      <c r="F295" s="641" t="s">
        <v>319</v>
      </c>
      <c r="G295" s="641" t="s">
        <v>324</v>
      </c>
      <c r="H295" s="575" t="s">
        <v>325</v>
      </c>
      <c r="I295" s="601" t="s">
        <v>390</v>
      </c>
      <c r="J295" s="641" t="s">
        <v>338</v>
      </c>
      <c r="K295" s="641" t="s">
        <v>339</v>
      </c>
      <c r="L295" s="641" t="b">
        <v>0</v>
      </c>
      <c r="M295" s="641" t="s">
        <v>321</v>
      </c>
      <c r="N295" s="641" t="s">
        <v>340</v>
      </c>
      <c r="O295" s="641" t="s">
        <v>341</v>
      </c>
      <c r="P295" s="186"/>
      <c r="Q295" s="186"/>
      <c r="R295" s="186"/>
    </row>
    <row r="296" spans="1:18" x14ac:dyDescent="0.25">
      <c r="A296" s="641" t="s">
        <v>336</v>
      </c>
      <c r="B296" s="642">
        <v>2.835</v>
      </c>
      <c r="C296" s="641"/>
      <c r="D296" s="641" t="s">
        <v>319</v>
      </c>
      <c r="E296" s="641" t="s">
        <v>319</v>
      </c>
      <c r="F296" s="641" t="s">
        <v>319</v>
      </c>
      <c r="G296" s="641" t="s">
        <v>324</v>
      </c>
      <c r="H296" s="575" t="s">
        <v>325</v>
      </c>
      <c r="I296" s="601" t="s">
        <v>391</v>
      </c>
      <c r="J296" s="641" t="s">
        <v>338</v>
      </c>
      <c r="K296" s="641" t="s">
        <v>339</v>
      </c>
      <c r="L296" s="641" t="b">
        <v>0</v>
      </c>
      <c r="M296" s="641" t="s">
        <v>321</v>
      </c>
      <c r="N296" s="641" t="s">
        <v>340</v>
      </c>
      <c r="O296" s="641" t="s">
        <v>341</v>
      </c>
      <c r="P296" s="186"/>
      <c r="Q296" s="186"/>
      <c r="R296" s="186"/>
    </row>
    <row r="297" spans="1:18" x14ac:dyDescent="0.25">
      <c r="A297" s="641" t="s">
        <v>336</v>
      </c>
      <c r="B297" s="642">
        <v>2.9159999999999999</v>
      </c>
      <c r="C297" s="641"/>
      <c r="D297" s="641" t="s">
        <v>319</v>
      </c>
      <c r="E297" s="641" t="s">
        <v>319</v>
      </c>
      <c r="F297" s="641" t="s">
        <v>319</v>
      </c>
      <c r="G297" s="641" t="s">
        <v>324</v>
      </c>
      <c r="H297" s="575" t="s">
        <v>325</v>
      </c>
      <c r="I297" s="601" t="s">
        <v>392</v>
      </c>
      <c r="J297" s="641" t="s">
        <v>338</v>
      </c>
      <c r="K297" s="641" t="s">
        <v>339</v>
      </c>
      <c r="L297" s="641" t="b">
        <v>0</v>
      </c>
      <c r="M297" s="641" t="s">
        <v>321</v>
      </c>
      <c r="N297" s="641" t="s">
        <v>340</v>
      </c>
      <c r="O297" s="641" t="s">
        <v>341</v>
      </c>
      <c r="P297" s="186"/>
      <c r="Q297" s="186"/>
      <c r="R297" s="186"/>
    </row>
    <row r="298" spans="1:18" x14ac:dyDescent="0.25">
      <c r="A298" s="641" t="s">
        <v>336</v>
      </c>
      <c r="B298" s="642">
        <v>2.9159999999999999</v>
      </c>
      <c r="C298" s="641"/>
      <c r="D298" s="641" t="s">
        <v>319</v>
      </c>
      <c r="E298" s="641" t="s">
        <v>319</v>
      </c>
      <c r="F298" s="641" t="s">
        <v>319</v>
      </c>
      <c r="G298" s="641" t="s">
        <v>324</v>
      </c>
      <c r="H298" s="575" t="s">
        <v>325</v>
      </c>
      <c r="I298" s="601" t="s">
        <v>393</v>
      </c>
      <c r="J298" s="641" t="s">
        <v>338</v>
      </c>
      <c r="K298" s="641" t="s">
        <v>339</v>
      </c>
      <c r="L298" s="641" t="b">
        <v>0</v>
      </c>
      <c r="M298" s="641" t="s">
        <v>321</v>
      </c>
      <c r="N298" s="641" t="s">
        <v>340</v>
      </c>
      <c r="O298" s="641" t="s">
        <v>341</v>
      </c>
      <c r="P298" s="186"/>
      <c r="Q298" s="186"/>
      <c r="R298" s="186"/>
    </row>
    <row r="299" spans="1:18" x14ac:dyDescent="0.25">
      <c r="A299" s="641" t="s">
        <v>336</v>
      </c>
      <c r="B299" s="642">
        <v>2.9159999999999999</v>
      </c>
      <c r="C299" s="641"/>
      <c r="D299" s="641" t="s">
        <v>319</v>
      </c>
      <c r="E299" s="641" t="s">
        <v>319</v>
      </c>
      <c r="F299" s="641" t="s">
        <v>319</v>
      </c>
      <c r="G299" s="641" t="s">
        <v>324</v>
      </c>
      <c r="H299" s="575" t="s">
        <v>325</v>
      </c>
      <c r="I299" s="601" t="s">
        <v>394</v>
      </c>
      <c r="J299" s="641" t="s">
        <v>338</v>
      </c>
      <c r="K299" s="641" t="s">
        <v>339</v>
      </c>
      <c r="L299" s="641" t="b">
        <v>0</v>
      </c>
      <c r="M299" s="641" t="s">
        <v>321</v>
      </c>
      <c r="N299" s="641" t="s">
        <v>340</v>
      </c>
      <c r="O299" s="641" t="s">
        <v>341</v>
      </c>
      <c r="P299" s="186"/>
      <c r="Q299" s="186"/>
      <c r="R299" s="186"/>
    </row>
    <row r="300" spans="1:18" x14ac:dyDescent="0.25">
      <c r="A300" s="641" t="s">
        <v>336</v>
      </c>
      <c r="B300" s="642">
        <v>2.9159999999999999</v>
      </c>
      <c r="C300" s="641"/>
      <c r="D300" s="641" t="s">
        <v>319</v>
      </c>
      <c r="E300" s="641" t="s">
        <v>319</v>
      </c>
      <c r="F300" s="641" t="s">
        <v>319</v>
      </c>
      <c r="G300" s="641" t="s">
        <v>324</v>
      </c>
      <c r="H300" s="575" t="s">
        <v>325</v>
      </c>
      <c r="I300" s="601" t="s">
        <v>395</v>
      </c>
      <c r="J300" s="641" t="s">
        <v>338</v>
      </c>
      <c r="K300" s="641" t="s">
        <v>339</v>
      </c>
      <c r="L300" s="641" t="b">
        <v>0</v>
      </c>
      <c r="M300" s="641" t="s">
        <v>321</v>
      </c>
      <c r="N300" s="641" t="s">
        <v>340</v>
      </c>
      <c r="O300" s="641" t="s">
        <v>341</v>
      </c>
      <c r="P300" s="186"/>
      <c r="Q300" s="186"/>
      <c r="R300" s="186"/>
    </row>
    <row r="301" spans="1:18" x14ac:dyDescent="0.25">
      <c r="A301" s="641" t="s">
        <v>336</v>
      </c>
      <c r="B301" s="642">
        <v>2.9159999999999999</v>
      </c>
      <c r="C301" s="641"/>
      <c r="D301" s="641" t="s">
        <v>319</v>
      </c>
      <c r="E301" s="641" t="s">
        <v>319</v>
      </c>
      <c r="F301" s="641" t="s">
        <v>319</v>
      </c>
      <c r="G301" s="641" t="s">
        <v>324</v>
      </c>
      <c r="H301" s="575" t="s">
        <v>325</v>
      </c>
      <c r="I301" s="601" t="s">
        <v>396</v>
      </c>
      <c r="J301" s="641" t="s">
        <v>338</v>
      </c>
      <c r="K301" s="641" t="s">
        <v>339</v>
      </c>
      <c r="L301" s="641" t="b">
        <v>0</v>
      </c>
      <c r="M301" s="641" t="s">
        <v>321</v>
      </c>
      <c r="N301" s="641" t="s">
        <v>340</v>
      </c>
      <c r="O301" s="641" t="s">
        <v>341</v>
      </c>
      <c r="P301" s="186"/>
      <c r="Q301" s="186"/>
      <c r="R301" s="186"/>
    </row>
    <row r="302" spans="1:18" x14ac:dyDescent="0.25">
      <c r="A302" s="641" t="s">
        <v>336</v>
      </c>
      <c r="B302" s="642">
        <v>2.9969999999999999</v>
      </c>
      <c r="C302" s="641"/>
      <c r="D302" s="641" t="s">
        <v>319</v>
      </c>
      <c r="E302" s="641" t="s">
        <v>319</v>
      </c>
      <c r="F302" s="641" t="s">
        <v>319</v>
      </c>
      <c r="G302" s="641" t="s">
        <v>324</v>
      </c>
      <c r="H302" s="575" t="s">
        <v>325</v>
      </c>
      <c r="I302" s="601" t="s">
        <v>397</v>
      </c>
      <c r="J302" s="641" t="s">
        <v>338</v>
      </c>
      <c r="K302" s="641" t="s">
        <v>339</v>
      </c>
      <c r="L302" s="641" t="b">
        <v>0</v>
      </c>
      <c r="M302" s="641" t="s">
        <v>321</v>
      </c>
      <c r="N302" s="641" t="s">
        <v>340</v>
      </c>
      <c r="O302" s="641" t="s">
        <v>341</v>
      </c>
      <c r="P302" s="186"/>
      <c r="Q302" s="186"/>
      <c r="R302" s="186"/>
    </row>
    <row r="303" spans="1:18" x14ac:dyDescent="0.25">
      <c r="A303" s="641" t="s">
        <v>336</v>
      </c>
      <c r="B303" s="642">
        <v>2.9969999999999999</v>
      </c>
      <c r="C303" s="641"/>
      <c r="D303" s="641" t="s">
        <v>319</v>
      </c>
      <c r="E303" s="641" t="s">
        <v>319</v>
      </c>
      <c r="F303" s="641" t="s">
        <v>319</v>
      </c>
      <c r="G303" s="641" t="s">
        <v>324</v>
      </c>
      <c r="H303" s="575" t="s">
        <v>325</v>
      </c>
      <c r="I303" s="601" t="s">
        <v>398</v>
      </c>
      <c r="J303" s="641" t="s">
        <v>338</v>
      </c>
      <c r="K303" s="641" t="s">
        <v>339</v>
      </c>
      <c r="L303" s="641" t="b">
        <v>0</v>
      </c>
      <c r="M303" s="641" t="s">
        <v>321</v>
      </c>
      <c r="N303" s="641" t="s">
        <v>340</v>
      </c>
      <c r="O303" s="641" t="s">
        <v>341</v>
      </c>
      <c r="P303" s="186"/>
      <c r="Q303" s="186"/>
      <c r="R303" s="186"/>
    </row>
    <row r="304" spans="1:18" x14ac:dyDescent="0.25">
      <c r="A304" s="641" t="s">
        <v>336</v>
      </c>
      <c r="B304" s="642">
        <v>2.9969999999999999</v>
      </c>
      <c r="C304" s="641"/>
      <c r="D304" s="641" t="s">
        <v>319</v>
      </c>
      <c r="E304" s="641" t="s">
        <v>319</v>
      </c>
      <c r="F304" s="641" t="s">
        <v>319</v>
      </c>
      <c r="G304" s="641" t="s">
        <v>324</v>
      </c>
      <c r="H304" s="575" t="s">
        <v>325</v>
      </c>
      <c r="I304" s="601" t="s">
        <v>399</v>
      </c>
      <c r="J304" s="641" t="s">
        <v>338</v>
      </c>
      <c r="K304" s="641" t="s">
        <v>339</v>
      </c>
      <c r="L304" s="641" t="b">
        <v>0</v>
      </c>
      <c r="M304" s="641" t="s">
        <v>321</v>
      </c>
      <c r="N304" s="641" t="s">
        <v>340</v>
      </c>
      <c r="O304" s="641" t="s">
        <v>341</v>
      </c>
      <c r="P304" s="186"/>
      <c r="Q304" s="186"/>
      <c r="R304" s="186"/>
    </row>
    <row r="305" spans="1:18" x14ac:dyDescent="0.25">
      <c r="A305" s="641" t="s">
        <v>336</v>
      </c>
      <c r="B305" s="642">
        <v>2.9969999999999999</v>
      </c>
      <c r="C305" s="641"/>
      <c r="D305" s="641" t="s">
        <v>319</v>
      </c>
      <c r="E305" s="641" t="s">
        <v>319</v>
      </c>
      <c r="F305" s="641" t="s">
        <v>319</v>
      </c>
      <c r="G305" s="641" t="s">
        <v>324</v>
      </c>
      <c r="H305" s="575" t="s">
        <v>325</v>
      </c>
      <c r="I305" s="601" t="s">
        <v>400</v>
      </c>
      <c r="J305" s="641" t="s">
        <v>338</v>
      </c>
      <c r="K305" s="641" t="s">
        <v>339</v>
      </c>
      <c r="L305" s="641" t="b">
        <v>0</v>
      </c>
      <c r="M305" s="641" t="s">
        <v>321</v>
      </c>
      <c r="N305" s="641" t="s">
        <v>340</v>
      </c>
      <c r="O305" s="641" t="s">
        <v>341</v>
      </c>
      <c r="P305" s="186"/>
      <c r="Q305" s="186"/>
      <c r="R305" s="186"/>
    </row>
    <row r="306" spans="1:18" x14ac:dyDescent="0.25">
      <c r="A306" s="641" t="s">
        <v>336</v>
      </c>
      <c r="B306" s="642">
        <v>2.9969999999999999</v>
      </c>
      <c r="C306" s="641"/>
      <c r="D306" s="641" t="s">
        <v>319</v>
      </c>
      <c r="E306" s="641" t="s">
        <v>319</v>
      </c>
      <c r="F306" s="641" t="s">
        <v>319</v>
      </c>
      <c r="G306" s="641" t="s">
        <v>324</v>
      </c>
      <c r="H306" s="575" t="s">
        <v>325</v>
      </c>
      <c r="I306" s="601" t="s">
        <v>401</v>
      </c>
      <c r="J306" s="641" t="s">
        <v>338</v>
      </c>
      <c r="K306" s="641" t="s">
        <v>339</v>
      </c>
      <c r="L306" s="641" t="b">
        <v>0</v>
      </c>
      <c r="M306" s="641" t="s">
        <v>321</v>
      </c>
      <c r="N306" s="641" t="s">
        <v>340</v>
      </c>
      <c r="O306" s="641" t="s">
        <v>341</v>
      </c>
      <c r="P306" s="186"/>
      <c r="Q306" s="186"/>
      <c r="R306" s="186"/>
    </row>
    <row r="307" spans="1:18" x14ac:dyDescent="0.25">
      <c r="A307" s="641" t="s">
        <v>336</v>
      </c>
      <c r="B307" s="642">
        <v>3.24</v>
      </c>
      <c r="C307" s="641"/>
      <c r="D307" s="641" t="s">
        <v>319</v>
      </c>
      <c r="E307" s="641" t="s">
        <v>319</v>
      </c>
      <c r="F307" s="641" t="s">
        <v>319</v>
      </c>
      <c r="G307" s="641" t="s">
        <v>324</v>
      </c>
      <c r="H307" s="575" t="s">
        <v>325</v>
      </c>
      <c r="I307" s="601" t="s">
        <v>402</v>
      </c>
      <c r="J307" s="641" t="s">
        <v>338</v>
      </c>
      <c r="K307" s="641" t="s">
        <v>339</v>
      </c>
      <c r="L307" s="641" t="b">
        <v>0</v>
      </c>
      <c r="M307" s="641" t="s">
        <v>321</v>
      </c>
      <c r="N307" s="641" t="s">
        <v>340</v>
      </c>
      <c r="O307" s="641" t="s">
        <v>341</v>
      </c>
      <c r="P307" s="186"/>
      <c r="Q307" s="186"/>
      <c r="R307" s="186"/>
    </row>
    <row r="308" spans="1:18" x14ac:dyDescent="0.25">
      <c r="A308" s="641" t="s">
        <v>336</v>
      </c>
      <c r="B308" s="642">
        <v>3.24</v>
      </c>
      <c r="C308" s="641"/>
      <c r="D308" s="641" t="s">
        <v>319</v>
      </c>
      <c r="E308" s="641" t="s">
        <v>319</v>
      </c>
      <c r="F308" s="641" t="s">
        <v>319</v>
      </c>
      <c r="G308" s="641" t="s">
        <v>324</v>
      </c>
      <c r="H308" s="575" t="s">
        <v>325</v>
      </c>
      <c r="I308" s="601" t="s">
        <v>403</v>
      </c>
      <c r="J308" s="641" t="s">
        <v>338</v>
      </c>
      <c r="K308" s="641" t="s">
        <v>339</v>
      </c>
      <c r="L308" s="641" t="b">
        <v>0</v>
      </c>
      <c r="M308" s="641" t="s">
        <v>321</v>
      </c>
      <c r="N308" s="641" t="s">
        <v>340</v>
      </c>
      <c r="O308" s="641" t="s">
        <v>341</v>
      </c>
      <c r="P308" s="186"/>
      <c r="Q308" s="186"/>
      <c r="R308" s="186"/>
    </row>
    <row r="309" spans="1:18" x14ac:dyDescent="0.25">
      <c r="A309" s="641" t="s">
        <v>336</v>
      </c>
      <c r="B309" s="642">
        <v>3.24</v>
      </c>
      <c r="C309" s="641"/>
      <c r="D309" s="641" t="s">
        <v>319</v>
      </c>
      <c r="E309" s="641" t="s">
        <v>319</v>
      </c>
      <c r="F309" s="641" t="s">
        <v>319</v>
      </c>
      <c r="G309" s="641" t="s">
        <v>324</v>
      </c>
      <c r="H309" s="575" t="s">
        <v>325</v>
      </c>
      <c r="I309" s="601" t="s">
        <v>404</v>
      </c>
      <c r="J309" s="641" t="s">
        <v>338</v>
      </c>
      <c r="K309" s="641" t="s">
        <v>339</v>
      </c>
      <c r="L309" s="641" t="b">
        <v>0</v>
      </c>
      <c r="M309" s="641" t="s">
        <v>321</v>
      </c>
      <c r="N309" s="641" t="s">
        <v>340</v>
      </c>
      <c r="O309" s="641" t="s">
        <v>341</v>
      </c>
      <c r="P309" s="186"/>
      <c r="Q309" s="186"/>
      <c r="R309" s="186"/>
    </row>
    <row r="310" spans="1:18" x14ac:dyDescent="0.25">
      <c r="A310" s="641" t="s">
        <v>336</v>
      </c>
      <c r="B310" s="642">
        <v>3.24</v>
      </c>
      <c r="C310" s="641"/>
      <c r="D310" s="641" t="s">
        <v>319</v>
      </c>
      <c r="E310" s="641" t="s">
        <v>319</v>
      </c>
      <c r="F310" s="641" t="s">
        <v>319</v>
      </c>
      <c r="G310" s="641" t="s">
        <v>324</v>
      </c>
      <c r="H310" s="575" t="s">
        <v>325</v>
      </c>
      <c r="I310" s="601" t="s">
        <v>405</v>
      </c>
      <c r="J310" s="641" t="s">
        <v>338</v>
      </c>
      <c r="K310" s="641" t="s">
        <v>339</v>
      </c>
      <c r="L310" s="641" t="b">
        <v>0</v>
      </c>
      <c r="M310" s="641" t="s">
        <v>321</v>
      </c>
      <c r="N310" s="641" t="s">
        <v>340</v>
      </c>
      <c r="O310" s="641" t="s">
        <v>341</v>
      </c>
      <c r="P310" s="186"/>
      <c r="Q310" s="186"/>
      <c r="R310" s="186"/>
    </row>
    <row r="311" spans="1:18" x14ac:dyDescent="0.25">
      <c r="A311" s="641" t="s">
        <v>336</v>
      </c>
      <c r="B311" s="642">
        <v>3.24</v>
      </c>
      <c r="C311" s="641"/>
      <c r="D311" s="641" t="s">
        <v>319</v>
      </c>
      <c r="E311" s="641" t="s">
        <v>319</v>
      </c>
      <c r="F311" s="641" t="s">
        <v>319</v>
      </c>
      <c r="G311" s="641" t="s">
        <v>324</v>
      </c>
      <c r="H311" s="575" t="s">
        <v>325</v>
      </c>
      <c r="I311" s="601" t="s">
        <v>406</v>
      </c>
      <c r="J311" s="641" t="s">
        <v>338</v>
      </c>
      <c r="K311" s="641" t="s">
        <v>339</v>
      </c>
      <c r="L311" s="641" t="b">
        <v>0</v>
      </c>
      <c r="M311" s="641" t="s">
        <v>321</v>
      </c>
      <c r="N311" s="641" t="s">
        <v>340</v>
      </c>
      <c r="O311" s="641" t="s">
        <v>341</v>
      </c>
      <c r="P311" s="186"/>
      <c r="Q311" s="186"/>
      <c r="R311" s="186"/>
    </row>
    <row r="312" spans="1:18" x14ac:dyDescent="0.25">
      <c r="A312" s="641" t="s">
        <v>336</v>
      </c>
      <c r="B312" s="642">
        <v>3.24</v>
      </c>
      <c r="C312" s="641"/>
      <c r="D312" s="641" t="s">
        <v>319</v>
      </c>
      <c r="E312" s="641" t="s">
        <v>319</v>
      </c>
      <c r="F312" s="641" t="s">
        <v>319</v>
      </c>
      <c r="G312" s="641" t="s">
        <v>324</v>
      </c>
      <c r="H312" s="575" t="s">
        <v>325</v>
      </c>
      <c r="I312" s="601" t="s">
        <v>407</v>
      </c>
      <c r="J312" s="641" t="s">
        <v>338</v>
      </c>
      <c r="K312" s="641" t="s">
        <v>339</v>
      </c>
      <c r="L312" s="641" t="b">
        <v>0</v>
      </c>
      <c r="M312" s="641" t="s">
        <v>321</v>
      </c>
      <c r="N312" s="641" t="s">
        <v>340</v>
      </c>
      <c r="O312" s="641" t="s">
        <v>341</v>
      </c>
      <c r="P312" s="186"/>
      <c r="Q312" s="186"/>
      <c r="R312" s="186"/>
    </row>
    <row r="313" spans="1:18" x14ac:dyDescent="0.25">
      <c r="A313" s="641" t="s">
        <v>336</v>
      </c>
      <c r="B313" s="642">
        <v>3.24</v>
      </c>
      <c r="C313" s="641"/>
      <c r="D313" s="641" t="s">
        <v>319</v>
      </c>
      <c r="E313" s="641" t="s">
        <v>319</v>
      </c>
      <c r="F313" s="641" t="s">
        <v>319</v>
      </c>
      <c r="G313" s="641" t="s">
        <v>324</v>
      </c>
      <c r="H313" s="575" t="s">
        <v>325</v>
      </c>
      <c r="I313" s="601" t="s">
        <v>408</v>
      </c>
      <c r="J313" s="641" t="s">
        <v>338</v>
      </c>
      <c r="K313" s="641" t="s">
        <v>339</v>
      </c>
      <c r="L313" s="641" t="b">
        <v>0</v>
      </c>
      <c r="M313" s="641" t="s">
        <v>321</v>
      </c>
      <c r="N313" s="641" t="s">
        <v>340</v>
      </c>
      <c r="O313" s="641" t="s">
        <v>341</v>
      </c>
      <c r="P313" s="186"/>
      <c r="Q313" s="186"/>
      <c r="R313" s="186"/>
    </row>
    <row r="314" spans="1:18" x14ac:dyDescent="0.25">
      <c r="A314" s="641" t="s">
        <v>336</v>
      </c>
      <c r="B314" s="642">
        <v>3.24</v>
      </c>
      <c r="C314" s="641"/>
      <c r="D314" s="641" t="s">
        <v>319</v>
      </c>
      <c r="E314" s="641" t="s">
        <v>319</v>
      </c>
      <c r="F314" s="641" t="s">
        <v>319</v>
      </c>
      <c r="G314" s="641" t="s">
        <v>324</v>
      </c>
      <c r="H314" s="575" t="s">
        <v>325</v>
      </c>
      <c r="I314" s="601" t="s">
        <v>409</v>
      </c>
      <c r="J314" s="641" t="s">
        <v>338</v>
      </c>
      <c r="K314" s="641" t="s">
        <v>339</v>
      </c>
      <c r="L314" s="641" t="b">
        <v>0</v>
      </c>
      <c r="M314" s="641" t="s">
        <v>321</v>
      </c>
      <c r="N314" s="641" t="s">
        <v>340</v>
      </c>
      <c r="O314" s="641" t="s">
        <v>341</v>
      </c>
      <c r="P314" s="186"/>
      <c r="Q314" s="186"/>
      <c r="R314" s="186"/>
    </row>
    <row r="315" spans="1:18" x14ac:dyDescent="0.25">
      <c r="A315" s="641" t="s">
        <v>336</v>
      </c>
      <c r="B315" s="642">
        <v>3.24</v>
      </c>
      <c r="C315" s="641"/>
      <c r="D315" s="641" t="s">
        <v>319</v>
      </c>
      <c r="E315" s="641" t="s">
        <v>319</v>
      </c>
      <c r="F315" s="641" t="s">
        <v>319</v>
      </c>
      <c r="G315" s="641" t="s">
        <v>324</v>
      </c>
      <c r="H315" s="575" t="s">
        <v>325</v>
      </c>
      <c r="I315" s="601" t="s">
        <v>410</v>
      </c>
      <c r="J315" s="641" t="s">
        <v>338</v>
      </c>
      <c r="K315" s="641" t="s">
        <v>339</v>
      </c>
      <c r="L315" s="641" t="b">
        <v>0</v>
      </c>
      <c r="M315" s="641" t="s">
        <v>321</v>
      </c>
      <c r="N315" s="641" t="s">
        <v>340</v>
      </c>
      <c r="O315" s="641" t="s">
        <v>341</v>
      </c>
      <c r="P315" s="186"/>
      <c r="Q315" s="186"/>
      <c r="R315" s="186"/>
    </row>
    <row r="316" spans="1:18" x14ac:dyDescent="0.25">
      <c r="A316" s="641" t="s">
        <v>336</v>
      </c>
      <c r="B316" s="642">
        <v>3.24</v>
      </c>
      <c r="C316" s="641"/>
      <c r="D316" s="641" t="s">
        <v>319</v>
      </c>
      <c r="E316" s="641" t="s">
        <v>319</v>
      </c>
      <c r="F316" s="641" t="s">
        <v>319</v>
      </c>
      <c r="G316" s="641" t="s">
        <v>324</v>
      </c>
      <c r="H316" s="575" t="s">
        <v>325</v>
      </c>
      <c r="I316" s="601" t="s">
        <v>411</v>
      </c>
      <c r="J316" s="641" t="s">
        <v>338</v>
      </c>
      <c r="K316" s="641" t="s">
        <v>339</v>
      </c>
      <c r="L316" s="641" t="b">
        <v>0</v>
      </c>
      <c r="M316" s="641" t="s">
        <v>321</v>
      </c>
      <c r="N316" s="641" t="s">
        <v>340</v>
      </c>
      <c r="O316" s="641" t="s">
        <v>341</v>
      </c>
      <c r="P316" s="186"/>
      <c r="Q316" s="186"/>
      <c r="R316" s="186"/>
    </row>
    <row r="317" spans="1:18" x14ac:dyDescent="0.25">
      <c r="A317" s="641" t="s">
        <v>336</v>
      </c>
      <c r="B317" s="642">
        <v>3.24</v>
      </c>
      <c r="C317" s="641"/>
      <c r="D317" s="641" t="s">
        <v>319</v>
      </c>
      <c r="E317" s="641" t="s">
        <v>319</v>
      </c>
      <c r="F317" s="641" t="s">
        <v>319</v>
      </c>
      <c r="G317" s="641" t="s">
        <v>324</v>
      </c>
      <c r="H317" s="575" t="s">
        <v>325</v>
      </c>
      <c r="I317" s="601" t="s">
        <v>412</v>
      </c>
      <c r="J317" s="641" t="s">
        <v>338</v>
      </c>
      <c r="K317" s="641" t="s">
        <v>339</v>
      </c>
      <c r="L317" s="641" t="b">
        <v>0</v>
      </c>
      <c r="M317" s="641" t="s">
        <v>321</v>
      </c>
      <c r="N317" s="641" t="s">
        <v>340</v>
      </c>
      <c r="O317" s="641" t="s">
        <v>341</v>
      </c>
      <c r="P317" s="186"/>
      <c r="Q317" s="186"/>
      <c r="R317" s="186"/>
    </row>
    <row r="318" spans="1:18" x14ac:dyDescent="0.25">
      <c r="A318" s="641" t="s">
        <v>336</v>
      </c>
      <c r="B318" s="642">
        <v>3.24</v>
      </c>
      <c r="C318" s="641"/>
      <c r="D318" s="641" t="s">
        <v>319</v>
      </c>
      <c r="E318" s="641" t="s">
        <v>319</v>
      </c>
      <c r="F318" s="641" t="s">
        <v>319</v>
      </c>
      <c r="G318" s="641" t="s">
        <v>324</v>
      </c>
      <c r="H318" s="575" t="s">
        <v>325</v>
      </c>
      <c r="I318" s="601" t="s">
        <v>413</v>
      </c>
      <c r="J318" s="641" t="s">
        <v>338</v>
      </c>
      <c r="K318" s="641" t="s">
        <v>339</v>
      </c>
      <c r="L318" s="641" t="b">
        <v>0</v>
      </c>
      <c r="M318" s="641" t="s">
        <v>321</v>
      </c>
      <c r="N318" s="641" t="s">
        <v>340</v>
      </c>
      <c r="O318" s="641" t="s">
        <v>341</v>
      </c>
      <c r="P318" s="186"/>
      <c r="Q318" s="186"/>
      <c r="R318" s="186"/>
    </row>
    <row r="319" spans="1:18" x14ac:dyDescent="0.25">
      <c r="A319" s="641" t="s">
        <v>336</v>
      </c>
      <c r="B319" s="642">
        <v>3.24</v>
      </c>
      <c r="C319" s="641"/>
      <c r="D319" s="641" t="s">
        <v>319</v>
      </c>
      <c r="E319" s="641" t="s">
        <v>319</v>
      </c>
      <c r="F319" s="641" t="s">
        <v>319</v>
      </c>
      <c r="G319" s="641" t="s">
        <v>324</v>
      </c>
      <c r="H319" s="575" t="s">
        <v>325</v>
      </c>
      <c r="I319" s="601" t="s">
        <v>414</v>
      </c>
      <c r="J319" s="641" t="s">
        <v>338</v>
      </c>
      <c r="K319" s="641" t="s">
        <v>339</v>
      </c>
      <c r="L319" s="641" t="b">
        <v>0</v>
      </c>
      <c r="M319" s="641" t="s">
        <v>321</v>
      </c>
      <c r="N319" s="641" t="s">
        <v>340</v>
      </c>
      <c r="O319" s="641" t="s">
        <v>341</v>
      </c>
      <c r="P319" s="186"/>
      <c r="Q319" s="186"/>
      <c r="R319" s="186"/>
    </row>
    <row r="320" spans="1:18" x14ac:dyDescent="0.25">
      <c r="A320" s="641" t="s">
        <v>336</v>
      </c>
      <c r="B320" s="642">
        <v>3.24</v>
      </c>
      <c r="C320" s="641"/>
      <c r="D320" s="641" t="s">
        <v>319</v>
      </c>
      <c r="E320" s="641" t="s">
        <v>319</v>
      </c>
      <c r="F320" s="641" t="s">
        <v>319</v>
      </c>
      <c r="G320" s="641" t="s">
        <v>324</v>
      </c>
      <c r="H320" s="575" t="s">
        <v>325</v>
      </c>
      <c r="I320" s="601" t="s">
        <v>415</v>
      </c>
      <c r="J320" s="641" t="s">
        <v>338</v>
      </c>
      <c r="K320" s="641" t="s">
        <v>339</v>
      </c>
      <c r="L320" s="641" t="b">
        <v>0</v>
      </c>
      <c r="M320" s="641" t="s">
        <v>321</v>
      </c>
      <c r="N320" s="641" t="s">
        <v>340</v>
      </c>
      <c r="O320" s="641" t="s">
        <v>341</v>
      </c>
      <c r="P320" s="186"/>
      <c r="Q320" s="186"/>
      <c r="R320" s="186"/>
    </row>
    <row r="321" spans="1:18" x14ac:dyDescent="0.25">
      <c r="A321" s="641" t="s">
        <v>336</v>
      </c>
      <c r="B321" s="642">
        <v>3.24</v>
      </c>
      <c r="C321" s="641"/>
      <c r="D321" s="641" t="s">
        <v>319</v>
      </c>
      <c r="E321" s="641" t="s">
        <v>319</v>
      </c>
      <c r="F321" s="641" t="s">
        <v>319</v>
      </c>
      <c r="G321" s="641" t="s">
        <v>324</v>
      </c>
      <c r="H321" s="575" t="s">
        <v>325</v>
      </c>
      <c r="I321" s="601" t="s">
        <v>416</v>
      </c>
      <c r="J321" s="641" t="s">
        <v>338</v>
      </c>
      <c r="K321" s="641" t="s">
        <v>339</v>
      </c>
      <c r="L321" s="641" t="b">
        <v>0</v>
      </c>
      <c r="M321" s="641" t="s">
        <v>321</v>
      </c>
      <c r="N321" s="641" t="s">
        <v>340</v>
      </c>
      <c r="O321" s="641" t="s">
        <v>341</v>
      </c>
      <c r="P321" s="186"/>
      <c r="Q321" s="186"/>
      <c r="R321" s="186"/>
    </row>
    <row r="322" spans="1:18" x14ac:dyDescent="0.25">
      <c r="A322" s="186" t="s">
        <v>191</v>
      </c>
      <c r="B322" s="400">
        <v>1</v>
      </c>
      <c r="C322" s="186"/>
      <c r="D322" s="186" t="s">
        <v>319</v>
      </c>
      <c r="E322" s="186" t="s">
        <v>319</v>
      </c>
      <c r="F322" s="186" t="s">
        <v>319</v>
      </c>
      <c r="G322" s="186" t="s">
        <v>321</v>
      </c>
      <c r="H322" s="186" t="s">
        <v>322</v>
      </c>
      <c r="I322" s="186" t="s">
        <v>518</v>
      </c>
      <c r="J322" s="186"/>
      <c r="K322" s="186"/>
      <c r="L322" s="186"/>
      <c r="M322" s="186"/>
      <c r="N322" s="186"/>
      <c r="O322" s="186"/>
      <c r="P322" s="186"/>
      <c r="Q322" s="186"/>
      <c r="R322" s="186"/>
    </row>
    <row r="323" spans="1:18" x14ac:dyDescent="0.25">
      <c r="A323" s="638" t="s">
        <v>191</v>
      </c>
      <c r="B323" s="637">
        <v>2.63</v>
      </c>
      <c r="C323" s="638"/>
      <c r="D323" s="638" t="s">
        <v>319</v>
      </c>
      <c r="E323" s="638" t="s">
        <v>319</v>
      </c>
      <c r="F323" s="638" t="s">
        <v>319</v>
      </c>
      <c r="G323" s="638" t="s">
        <v>321</v>
      </c>
      <c r="H323" s="638" t="s">
        <v>322</v>
      </c>
      <c r="I323" s="638" t="s">
        <v>341</v>
      </c>
      <c r="J323" s="186"/>
      <c r="K323" s="186"/>
      <c r="L323" s="186"/>
      <c r="M323" s="186"/>
      <c r="N323" s="186"/>
      <c r="O323" s="186"/>
      <c r="P323" s="186"/>
      <c r="Q323" s="186"/>
      <c r="R323" s="186"/>
    </row>
    <row r="324" spans="1:18" x14ac:dyDescent="0.25">
      <c r="A324" s="186" t="s">
        <v>341</v>
      </c>
      <c r="B324" s="400">
        <v>0.88</v>
      </c>
      <c r="C324" s="186"/>
      <c r="D324" s="186" t="s">
        <v>319</v>
      </c>
      <c r="E324" s="186" t="s">
        <v>319</v>
      </c>
      <c r="F324" s="186" t="s">
        <v>319</v>
      </c>
      <c r="G324" s="186" t="s">
        <v>321</v>
      </c>
      <c r="H324" s="186" t="s">
        <v>322</v>
      </c>
      <c r="I324" s="186" t="s">
        <v>341</v>
      </c>
      <c r="J324" s="186" t="s">
        <v>324</v>
      </c>
      <c r="K324" s="186" t="s">
        <v>325</v>
      </c>
      <c r="L324" s="186" t="s">
        <v>337</v>
      </c>
      <c r="M324" s="186"/>
      <c r="N324" s="186"/>
      <c r="O324" s="186"/>
      <c r="P324" s="186"/>
      <c r="Q324" s="186"/>
      <c r="R324" s="186"/>
    </row>
    <row r="325" spans="1:18" x14ac:dyDescent="0.25">
      <c r="A325" s="186" t="s">
        <v>341</v>
      </c>
      <c r="B325" s="400">
        <v>0.96</v>
      </c>
      <c r="C325" s="186"/>
      <c r="D325" s="186" t="s">
        <v>319</v>
      </c>
      <c r="E325" s="186" t="s">
        <v>319</v>
      </c>
      <c r="F325" s="186" t="s">
        <v>319</v>
      </c>
      <c r="G325" s="186" t="s">
        <v>321</v>
      </c>
      <c r="H325" s="186" t="s">
        <v>322</v>
      </c>
      <c r="I325" s="186" t="s">
        <v>341</v>
      </c>
      <c r="J325" s="186" t="s">
        <v>324</v>
      </c>
      <c r="K325" s="186" t="s">
        <v>325</v>
      </c>
      <c r="L325" s="186" t="s">
        <v>841</v>
      </c>
      <c r="M325" s="186"/>
      <c r="N325" s="186"/>
      <c r="O325" s="186"/>
      <c r="P325" s="186"/>
      <c r="Q325" s="186"/>
      <c r="R325" s="186"/>
    </row>
    <row r="326" spans="1:18" x14ac:dyDescent="0.25">
      <c r="A326" s="186" t="s">
        <v>341</v>
      </c>
      <c r="B326" s="400">
        <v>0.96</v>
      </c>
      <c r="C326" s="186"/>
      <c r="D326" s="186" t="s">
        <v>319</v>
      </c>
      <c r="E326" s="186" t="s">
        <v>319</v>
      </c>
      <c r="F326" s="186" t="s">
        <v>319</v>
      </c>
      <c r="G326" s="186" t="s">
        <v>321</v>
      </c>
      <c r="H326" s="186" t="s">
        <v>322</v>
      </c>
      <c r="I326" s="186" t="s">
        <v>341</v>
      </c>
      <c r="J326" s="186" t="s">
        <v>324</v>
      </c>
      <c r="K326" s="186" t="s">
        <v>325</v>
      </c>
      <c r="L326" s="186" t="s">
        <v>842</v>
      </c>
      <c r="M326" s="186"/>
      <c r="N326" s="186"/>
      <c r="O326" s="186"/>
      <c r="P326" s="186"/>
      <c r="Q326" s="186"/>
      <c r="R326" s="186"/>
    </row>
    <row r="327" spans="1:18" x14ac:dyDescent="0.25">
      <c r="A327" s="186" t="s">
        <v>341</v>
      </c>
      <c r="B327" s="400">
        <v>0.96</v>
      </c>
      <c r="C327" s="186"/>
      <c r="D327" s="186" t="s">
        <v>319</v>
      </c>
      <c r="E327" s="186" t="s">
        <v>319</v>
      </c>
      <c r="F327" s="186" t="s">
        <v>319</v>
      </c>
      <c r="G327" s="186" t="s">
        <v>321</v>
      </c>
      <c r="H327" s="186" t="s">
        <v>322</v>
      </c>
      <c r="I327" s="186" t="s">
        <v>341</v>
      </c>
      <c r="J327" s="186" t="s">
        <v>324</v>
      </c>
      <c r="K327" s="186" t="s">
        <v>325</v>
      </c>
      <c r="L327" s="186" t="s">
        <v>843</v>
      </c>
      <c r="M327" s="186"/>
      <c r="N327" s="186"/>
      <c r="O327" s="186"/>
      <c r="P327" s="186"/>
      <c r="Q327" s="186"/>
      <c r="R327" s="186"/>
    </row>
    <row r="328" spans="1:18" x14ac:dyDescent="0.25">
      <c r="A328" s="186" t="s">
        <v>341</v>
      </c>
      <c r="B328" s="400">
        <v>1</v>
      </c>
      <c r="C328" s="186"/>
      <c r="D328" s="186" t="s">
        <v>319</v>
      </c>
      <c r="E328" s="186" t="s">
        <v>319</v>
      </c>
      <c r="F328" s="186" t="s">
        <v>319</v>
      </c>
      <c r="G328" s="186" t="s">
        <v>321</v>
      </c>
      <c r="H328" s="186" t="s">
        <v>322</v>
      </c>
      <c r="I328" s="186" t="s">
        <v>341</v>
      </c>
      <c r="J328" s="186" t="s">
        <v>324</v>
      </c>
      <c r="K328" s="186" t="s">
        <v>325</v>
      </c>
      <c r="L328" s="186" t="s">
        <v>844</v>
      </c>
      <c r="M328" s="186"/>
      <c r="N328" s="186"/>
      <c r="O328" s="186"/>
      <c r="P328" s="186"/>
      <c r="Q328" s="186"/>
      <c r="R328" s="186"/>
    </row>
    <row r="329" spans="1:18" x14ac:dyDescent="0.25">
      <c r="A329" s="186" t="s">
        <v>341</v>
      </c>
      <c r="B329" s="400">
        <v>1.07</v>
      </c>
      <c r="C329" s="186"/>
      <c r="D329" s="186" t="s">
        <v>319</v>
      </c>
      <c r="E329" s="186" t="s">
        <v>319</v>
      </c>
      <c r="F329" s="186" t="s">
        <v>319</v>
      </c>
      <c r="G329" s="186" t="s">
        <v>321</v>
      </c>
      <c r="H329" s="186" t="s">
        <v>322</v>
      </c>
      <c r="I329" s="186" t="s">
        <v>341</v>
      </c>
      <c r="J329" s="186" t="s">
        <v>324</v>
      </c>
      <c r="K329" s="186" t="s">
        <v>325</v>
      </c>
      <c r="L329" s="186" t="s">
        <v>845</v>
      </c>
      <c r="M329" s="186"/>
      <c r="N329" s="186"/>
      <c r="O329" s="186"/>
      <c r="P329" s="186"/>
      <c r="Q329" s="186"/>
      <c r="R329" s="186"/>
    </row>
    <row r="330" spans="1:18" x14ac:dyDescent="0.25">
      <c r="A330" s="186" t="s">
        <v>341</v>
      </c>
      <c r="B330" s="400">
        <v>1.07</v>
      </c>
      <c r="C330" s="186"/>
      <c r="D330" s="186" t="s">
        <v>319</v>
      </c>
      <c r="E330" s="186" t="s">
        <v>319</v>
      </c>
      <c r="F330" s="186" t="s">
        <v>319</v>
      </c>
      <c r="G330" s="186" t="s">
        <v>321</v>
      </c>
      <c r="H330" s="186" t="s">
        <v>322</v>
      </c>
      <c r="I330" s="186" t="s">
        <v>341</v>
      </c>
      <c r="J330" s="186" t="s">
        <v>324</v>
      </c>
      <c r="K330" s="186" t="s">
        <v>325</v>
      </c>
      <c r="L330" s="186" t="s">
        <v>846</v>
      </c>
      <c r="M330" s="186"/>
      <c r="N330" s="186"/>
      <c r="O330" s="186"/>
      <c r="P330" s="186"/>
      <c r="Q330" s="186"/>
      <c r="R330" s="186"/>
    </row>
    <row r="331" spans="1:18" x14ac:dyDescent="0.25">
      <c r="A331" s="186" t="s">
        <v>341</v>
      </c>
      <c r="B331" s="400">
        <v>1.4</v>
      </c>
      <c r="C331" s="186"/>
      <c r="D331" s="186" t="s">
        <v>319</v>
      </c>
      <c r="E331" s="186" t="s">
        <v>319</v>
      </c>
      <c r="F331" s="186" t="s">
        <v>319</v>
      </c>
      <c r="G331" s="186" t="s">
        <v>321</v>
      </c>
      <c r="H331" s="186" t="s">
        <v>322</v>
      </c>
      <c r="I331" s="186" t="s">
        <v>341</v>
      </c>
      <c r="J331" s="186" t="s">
        <v>324</v>
      </c>
      <c r="K331" s="186" t="s">
        <v>325</v>
      </c>
      <c r="L331" s="186" t="s">
        <v>847</v>
      </c>
      <c r="M331" s="186"/>
      <c r="N331" s="186"/>
      <c r="O331" s="186"/>
      <c r="P331" s="186"/>
      <c r="Q331" s="186"/>
      <c r="R331" s="186"/>
    </row>
    <row r="332" spans="1:18" x14ac:dyDescent="0.25">
      <c r="A332" s="186" t="s">
        <v>341</v>
      </c>
      <c r="B332" s="400">
        <v>1.4</v>
      </c>
      <c r="C332" s="186"/>
      <c r="D332" s="186" t="s">
        <v>319</v>
      </c>
      <c r="E332" s="186" t="s">
        <v>319</v>
      </c>
      <c r="F332" s="186" t="s">
        <v>319</v>
      </c>
      <c r="G332" s="186" t="s">
        <v>321</v>
      </c>
      <c r="H332" s="186" t="s">
        <v>322</v>
      </c>
      <c r="I332" s="186" t="s">
        <v>341</v>
      </c>
      <c r="J332" s="186" t="s">
        <v>324</v>
      </c>
      <c r="K332" s="186" t="s">
        <v>325</v>
      </c>
      <c r="L332" s="186" t="s">
        <v>848</v>
      </c>
      <c r="M332" s="186"/>
      <c r="N332" s="186"/>
      <c r="O332" s="186"/>
      <c r="P332" s="186"/>
      <c r="Q332" s="186"/>
      <c r="R332" s="186"/>
    </row>
    <row r="333" spans="1:18" x14ac:dyDescent="0.25">
      <c r="A333" s="186" t="s">
        <v>341</v>
      </c>
      <c r="B333" s="400">
        <v>1.98</v>
      </c>
      <c r="C333" s="186"/>
      <c r="D333" s="186" t="s">
        <v>319</v>
      </c>
      <c r="E333" s="186" t="s">
        <v>319</v>
      </c>
      <c r="F333" s="186" t="s">
        <v>319</v>
      </c>
      <c r="G333" s="186" t="s">
        <v>321</v>
      </c>
      <c r="H333" s="186" t="s">
        <v>322</v>
      </c>
      <c r="I333" s="186" t="s">
        <v>341</v>
      </c>
      <c r="J333" s="186" t="s">
        <v>324</v>
      </c>
      <c r="K333" s="186" t="s">
        <v>325</v>
      </c>
      <c r="L333" s="186" t="s">
        <v>849</v>
      </c>
      <c r="M333" s="186"/>
      <c r="N333" s="186"/>
      <c r="O333" s="186"/>
      <c r="P333" s="186"/>
      <c r="Q333" s="186"/>
      <c r="R333" s="186"/>
    </row>
    <row r="334" spans="1:18" x14ac:dyDescent="0.25">
      <c r="A334" s="186" t="s">
        <v>341</v>
      </c>
      <c r="B334" s="400">
        <v>2.2480000000000002</v>
      </c>
      <c r="C334" s="186"/>
      <c r="D334" s="186" t="s">
        <v>319</v>
      </c>
      <c r="E334" s="186" t="s">
        <v>319</v>
      </c>
      <c r="F334" s="186" t="s">
        <v>319</v>
      </c>
      <c r="G334" s="186" t="s">
        <v>321</v>
      </c>
      <c r="H334" s="186" t="s">
        <v>322</v>
      </c>
      <c r="I334" s="186" t="s">
        <v>341</v>
      </c>
      <c r="J334" s="186" t="s">
        <v>324</v>
      </c>
      <c r="K334" s="186" t="s">
        <v>325</v>
      </c>
      <c r="L334" s="186" t="s">
        <v>850</v>
      </c>
      <c r="M334" s="186"/>
      <c r="N334" s="186"/>
      <c r="O334" s="186"/>
      <c r="P334" s="186"/>
      <c r="Q334" s="186"/>
      <c r="R334" s="186"/>
    </row>
    <row r="335" spans="1:18" x14ac:dyDescent="0.25">
      <c r="A335" s="186" t="s">
        <v>341</v>
      </c>
      <c r="B335" s="400">
        <v>2.3849999999999998</v>
      </c>
      <c r="C335" s="186"/>
      <c r="D335" s="186" t="s">
        <v>319</v>
      </c>
      <c r="E335" s="186" t="s">
        <v>319</v>
      </c>
      <c r="F335" s="186" t="s">
        <v>319</v>
      </c>
      <c r="G335" s="186" t="s">
        <v>321</v>
      </c>
      <c r="H335" s="186" t="s">
        <v>322</v>
      </c>
      <c r="I335" s="186" t="s">
        <v>341</v>
      </c>
      <c r="J335" s="186" t="s">
        <v>324</v>
      </c>
      <c r="K335" s="186" t="s">
        <v>325</v>
      </c>
      <c r="L335" s="186" t="s">
        <v>851</v>
      </c>
      <c r="M335" s="186"/>
      <c r="N335" s="186"/>
      <c r="O335" s="186"/>
      <c r="P335" s="186"/>
      <c r="Q335" s="186"/>
      <c r="R335" s="186"/>
    </row>
    <row r="336" spans="1:18" x14ac:dyDescent="0.25">
      <c r="A336" s="186" t="s">
        <v>341</v>
      </c>
      <c r="B336" s="400">
        <v>2.3849999999999998</v>
      </c>
      <c r="C336" s="186"/>
      <c r="D336" s="186" t="s">
        <v>319</v>
      </c>
      <c r="E336" s="186" t="s">
        <v>319</v>
      </c>
      <c r="F336" s="186" t="s">
        <v>319</v>
      </c>
      <c r="G336" s="186" t="s">
        <v>321</v>
      </c>
      <c r="H336" s="186" t="s">
        <v>322</v>
      </c>
      <c r="I336" s="186" t="s">
        <v>341</v>
      </c>
      <c r="J336" s="186" t="s">
        <v>324</v>
      </c>
      <c r="K336" s="186" t="s">
        <v>325</v>
      </c>
      <c r="L336" s="186" t="s">
        <v>852</v>
      </c>
      <c r="M336" s="186"/>
      <c r="N336" s="186"/>
      <c r="O336" s="186"/>
      <c r="P336" s="186"/>
      <c r="Q336" s="186"/>
      <c r="R336" s="186"/>
    </row>
    <row r="337" spans="1:18" x14ac:dyDescent="0.25">
      <c r="A337" s="186" t="s">
        <v>341</v>
      </c>
      <c r="B337" s="400">
        <v>2.3849999999999998</v>
      </c>
      <c r="C337" s="186"/>
      <c r="D337" s="186" t="s">
        <v>319</v>
      </c>
      <c r="E337" s="186" t="s">
        <v>319</v>
      </c>
      <c r="F337" s="186" t="s">
        <v>319</v>
      </c>
      <c r="G337" s="186" t="s">
        <v>321</v>
      </c>
      <c r="H337" s="186" t="s">
        <v>322</v>
      </c>
      <c r="I337" s="186" t="s">
        <v>341</v>
      </c>
      <c r="J337" s="186" t="s">
        <v>324</v>
      </c>
      <c r="K337" s="186" t="s">
        <v>325</v>
      </c>
      <c r="L337" s="186" t="s">
        <v>853</v>
      </c>
      <c r="M337" s="186"/>
      <c r="N337" s="186"/>
      <c r="O337" s="186"/>
      <c r="P337" s="186"/>
      <c r="Q337" s="186"/>
      <c r="R337" s="186"/>
    </row>
    <row r="338" spans="1:18" x14ac:dyDescent="0.25">
      <c r="A338" s="186" t="s">
        <v>341</v>
      </c>
      <c r="B338" s="400">
        <v>2.3849999999999998</v>
      </c>
      <c r="C338" s="186"/>
      <c r="D338" s="186" t="s">
        <v>319</v>
      </c>
      <c r="E338" s="186" t="s">
        <v>319</v>
      </c>
      <c r="F338" s="186" t="s">
        <v>319</v>
      </c>
      <c r="G338" s="186" t="s">
        <v>321</v>
      </c>
      <c r="H338" s="186" t="s">
        <v>322</v>
      </c>
      <c r="I338" s="186" t="s">
        <v>341</v>
      </c>
      <c r="J338" s="186" t="s">
        <v>324</v>
      </c>
      <c r="K338" s="186" t="s">
        <v>325</v>
      </c>
      <c r="L338" s="186" t="s">
        <v>854</v>
      </c>
      <c r="M338" s="186"/>
      <c r="N338" s="186"/>
      <c r="O338" s="186"/>
      <c r="P338" s="186"/>
      <c r="Q338" s="186"/>
      <c r="R338" s="186"/>
    </row>
    <row r="339" spans="1:18" x14ac:dyDescent="0.25">
      <c r="A339" s="186" t="s">
        <v>341</v>
      </c>
      <c r="B339" s="400">
        <v>2.3849999999999998</v>
      </c>
      <c r="C339" s="186"/>
      <c r="D339" s="186" t="s">
        <v>319</v>
      </c>
      <c r="E339" s="186" t="s">
        <v>319</v>
      </c>
      <c r="F339" s="186" t="s">
        <v>319</v>
      </c>
      <c r="G339" s="186" t="s">
        <v>321</v>
      </c>
      <c r="H339" s="186" t="s">
        <v>322</v>
      </c>
      <c r="I339" s="186" t="s">
        <v>341</v>
      </c>
      <c r="J339" s="186" t="s">
        <v>324</v>
      </c>
      <c r="K339" s="186" t="s">
        <v>325</v>
      </c>
      <c r="L339" s="186" t="s">
        <v>855</v>
      </c>
      <c r="M339" s="186"/>
      <c r="N339" s="186"/>
      <c r="O339" s="186"/>
      <c r="P339" s="186"/>
      <c r="Q339" s="186"/>
      <c r="R339" s="186"/>
    </row>
    <row r="340" spans="1:18" x14ac:dyDescent="0.25">
      <c r="A340" s="186" t="s">
        <v>341</v>
      </c>
      <c r="B340" s="400">
        <v>1</v>
      </c>
      <c r="C340" s="186"/>
      <c r="D340" s="186" t="s">
        <v>319</v>
      </c>
      <c r="E340" s="186" t="s">
        <v>319</v>
      </c>
      <c r="F340" s="186" t="s">
        <v>319</v>
      </c>
      <c r="G340" s="186" t="s">
        <v>321</v>
      </c>
      <c r="H340" s="186" t="s">
        <v>322</v>
      </c>
      <c r="I340" s="186" t="s">
        <v>341</v>
      </c>
      <c r="J340" s="186" t="s">
        <v>856</v>
      </c>
      <c r="K340" s="186" t="s">
        <v>325</v>
      </c>
      <c r="L340" s="186" t="s">
        <v>857</v>
      </c>
      <c r="M340" s="186"/>
      <c r="N340" s="186"/>
      <c r="O340" s="186"/>
      <c r="P340" s="186"/>
      <c r="Q340" s="186"/>
      <c r="R340" s="186"/>
    </row>
    <row r="341" spans="1:18" x14ac:dyDescent="0.25">
      <c r="A341" s="186" t="s">
        <v>341</v>
      </c>
      <c r="B341" s="400">
        <v>1.1000000000000001</v>
      </c>
      <c r="C341" s="186"/>
      <c r="D341" s="186" t="s">
        <v>319</v>
      </c>
      <c r="E341" s="186" t="s">
        <v>319</v>
      </c>
      <c r="F341" s="186" t="s">
        <v>319</v>
      </c>
      <c r="G341" s="186" t="s">
        <v>321</v>
      </c>
      <c r="H341" s="186" t="s">
        <v>322</v>
      </c>
      <c r="I341" s="186" t="s">
        <v>341</v>
      </c>
      <c r="J341" s="186" t="s">
        <v>856</v>
      </c>
      <c r="K341" s="186" t="s">
        <v>325</v>
      </c>
      <c r="L341" s="186" t="s">
        <v>858</v>
      </c>
      <c r="M341" s="186"/>
      <c r="N341" s="186"/>
      <c r="O341" s="186"/>
      <c r="P341" s="186"/>
      <c r="Q341" s="186"/>
      <c r="R341" s="186"/>
    </row>
    <row r="342" spans="1:18" x14ac:dyDescent="0.25">
      <c r="A342" s="186" t="s">
        <v>341</v>
      </c>
      <c r="B342" s="400">
        <v>1.2</v>
      </c>
      <c r="C342" s="186"/>
      <c r="D342" s="186" t="s">
        <v>319</v>
      </c>
      <c r="E342" s="186" t="s">
        <v>319</v>
      </c>
      <c r="F342" s="186" t="s">
        <v>319</v>
      </c>
      <c r="G342" s="186" t="s">
        <v>321</v>
      </c>
      <c r="H342" s="186" t="s">
        <v>322</v>
      </c>
      <c r="I342" s="186" t="s">
        <v>341</v>
      </c>
      <c r="J342" s="186" t="s">
        <v>856</v>
      </c>
      <c r="K342" s="186" t="s">
        <v>325</v>
      </c>
      <c r="L342" s="186" t="s">
        <v>859</v>
      </c>
      <c r="M342" s="186"/>
      <c r="N342" s="186"/>
      <c r="O342" s="186"/>
      <c r="P342" s="186"/>
      <c r="Q342" s="186"/>
      <c r="R342" s="186"/>
    </row>
    <row r="343" spans="1:18" x14ac:dyDescent="0.25">
      <c r="A343" s="186" t="s">
        <v>341</v>
      </c>
      <c r="B343" s="400">
        <v>1.35</v>
      </c>
      <c r="C343" s="186"/>
      <c r="D343" s="186" t="s">
        <v>319</v>
      </c>
      <c r="E343" s="186" t="s">
        <v>319</v>
      </c>
      <c r="F343" s="186" t="s">
        <v>319</v>
      </c>
      <c r="G343" s="186" t="s">
        <v>321</v>
      </c>
      <c r="H343" s="186" t="s">
        <v>322</v>
      </c>
      <c r="I343" s="186" t="s">
        <v>341</v>
      </c>
      <c r="J343" s="186" t="s">
        <v>856</v>
      </c>
      <c r="K343" s="186" t="s">
        <v>325</v>
      </c>
      <c r="L343" s="186" t="s">
        <v>860</v>
      </c>
      <c r="M343" s="186"/>
      <c r="N343" s="186"/>
      <c r="O343" s="186"/>
      <c r="P343" s="186"/>
      <c r="Q343" s="186"/>
      <c r="R343" s="186"/>
    </row>
    <row r="344" spans="1:18" x14ac:dyDescent="0.25">
      <c r="A344" s="186" t="s">
        <v>341</v>
      </c>
      <c r="B344" s="400">
        <v>0.93</v>
      </c>
      <c r="C344" s="186"/>
      <c r="D344" s="186" t="s">
        <v>319</v>
      </c>
      <c r="E344" s="186" t="s">
        <v>319</v>
      </c>
      <c r="F344" s="186" t="s">
        <v>319</v>
      </c>
      <c r="G344" s="186" t="s">
        <v>321</v>
      </c>
      <c r="H344" s="186" t="s">
        <v>322</v>
      </c>
      <c r="I344" s="186" t="s">
        <v>341</v>
      </c>
      <c r="J344" s="186" t="s">
        <v>861</v>
      </c>
      <c r="K344" s="186" t="s">
        <v>325</v>
      </c>
      <c r="L344" s="186" t="s">
        <v>862</v>
      </c>
      <c r="M344" s="186"/>
      <c r="N344" s="186"/>
      <c r="O344" s="186"/>
      <c r="P344" s="186"/>
      <c r="Q344" s="186"/>
      <c r="R344" s="186"/>
    </row>
    <row r="345" spans="1:18" x14ac:dyDescent="0.25">
      <c r="A345" s="186" t="s">
        <v>341</v>
      </c>
      <c r="B345" s="400">
        <v>0.93</v>
      </c>
      <c r="C345" s="186"/>
      <c r="D345" s="186" t="s">
        <v>319</v>
      </c>
      <c r="E345" s="186" t="s">
        <v>319</v>
      </c>
      <c r="F345" s="186" t="s">
        <v>319</v>
      </c>
      <c r="G345" s="186" t="s">
        <v>321</v>
      </c>
      <c r="H345" s="186" t="s">
        <v>322</v>
      </c>
      <c r="I345" s="186" t="s">
        <v>341</v>
      </c>
      <c r="J345" s="186" t="s">
        <v>861</v>
      </c>
      <c r="K345" s="186" t="s">
        <v>325</v>
      </c>
      <c r="L345" s="186" t="s">
        <v>431</v>
      </c>
      <c r="M345" s="186"/>
      <c r="N345" s="186"/>
      <c r="O345" s="186"/>
      <c r="P345" s="186"/>
      <c r="Q345" s="186"/>
      <c r="R345" s="186"/>
    </row>
    <row r="346" spans="1:18" x14ac:dyDescent="0.25">
      <c r="A346" s="186" t="s">
        <v>341</v>
      </c>
      <c r="B346" s="400">
        <v>0.94</v>
      </c>
      <c r="C346" s="186"/>
      <c r="D346" s="186" t="s">
        <v>319</v>
      </c>
      <c r="E346" s="186" t="s">
        <v>319</v>
      </c>
      <c r="F346" s="186" t="s">
        <v>319</v>
      </c>
      <c r="G346" s="186" t="s">
        <v>321</v>
      </c>
      <c r="H346" s="186" t="s">
        <v>322</v>
      </c>
      <c r="I346" s="186" t="s">
        <v>341</v>
      </c>
      <c r="J346" s="186" t="s">
        <v>861</v>
      </c>
      <c r="K346" s="186" t="s">
        <v>325</v>
      </c>
      <c r="L346" s="186" t="s">
        <v>432</v>
      </c>
      <c r="M346" s="186"/>
      <c r="N346" s="186"/>
      <c r="O346" s="186"/>
      <c r="P346" s="186"/>
      <c r="Q346" s="186"/>
      <c r="R346" s="186"/>
    </row>
    <row r="347" spans="1:18" x14ac:dyDescent="0.25">
      <c r="A347" s="186" t="s">
        <v>341</v>
      </c>
      <c r="B347" s="400">
        <v>0.94</v>
      </c>
      <c r="C347" s="186"/>
      <c r="D347" s="186" t="s">
        <v>319</v>
      </c>
      <c r="E347" s="186" t="s">
        <v>319</v>
      </c>
      <c r="F347" s="186" t="s">
        <v>319</v>
      </c>
      <c r="G347" s="186" t="s">
        <v>321</v>
      </c>
      <c r="H347" s="186" t="s">
        <v>322</v>
      </c>
      <c r="I347" s="186" t="s">
        <v>341</v>
      </c>
      <c r="J347" s="186" t="s">
        <v>861</v>
      </c>
      <c r="K347" s="186" t="s">
        <v>325</v>
      </c>
      <c r="L347" s="186" t="s">
        <v>433</v>
      </c>
      <c r="M347" s="186"/>
      <c r="N347" s="186"/>
      <c r="O347" s="186"/>
      <c r="P347" s="186"/>
      <c r="Q347" s="186"/>
      <c r="R347" s="186"/>
    </row>
    <row r="348" spans="1:18" x14ac:dyDescent="0.25">
      <c r="A348" s="186" t="s">
        <v>341</v>
      </c>
      <c r="B348" s="400">
        <v>0.95</v>
      </c>
      <c r="C348" s="186"/>
      <c r="D348" s="186" t="s">
        <v>319</v>
      </c>
      <c r="E348" s="186" t="s">
        <v>319</v>
      </c>
      <c r="F348" s="186" t="s">
        <v>319</v>
      </c>
      <c r="G348" s="186" t="s">
        <v>321</v>
      </c>
      <c r="H348" s="186" t="s">
        <v>322</v>
      </c>
      <c r="I348" s="186" t="s">
        <v>341</v>
      </c>
      <c r="J348" s="186" t="s">
        <v>861</v>
      </c>
      <c r="K348" s="186" t="s">
        <v>325</v>
      </c>
      <c r="L348" s="186" t="s">
        <v>434</v>
      </c>
      <c r="M348" s="186"/>
      <c r="N348" s="186"/>
      <c r="O348" s="186"/>
      <c r="P348" s="186"/>
      <c r="Q348" s="186"/>
      <c r="R348" s="186"/>
    </row>
    <row r="349" spans="1:18" x14ac:dyDescent="0.25">
      <c r="A349" s="186" t="s">
        <v>341</v>
      </c>
      <c r="B349" s="400">
        <v>0.95</v>
      </c>
      <c r="C349" s="186"/>
      <c r="D349" s="186" t="s">
        <v>319</v>
      </c>
      <c r="E349" s="186" t="s">
        <v>319</v>
      </c>
      <c r="F349" s="186" t="s">
        <v>319</v>
      </c>
      <c r="G349" s="186" t="s">
        <v>321</v>
      </c>
      <c r="H349" s="186" t="s">
        <v>322</v>
      </c>
      <c r="I349" s="186" t="s">
        <v>341</v>
      </c>
      <c r="J349" s="186" t="s">
        <v>861</v>
      </c>
      <c r="K349" s="186" t="s">
        <v>325</v>
      </c>
      <c r="L349" s="186" t="s">
        <v>435</v>
      </c>
      <c r="M349" s="186"/>
      <c r="N349" s="186"/>
      <c r="O349" s="186"/>
      <c r="P349" s="186"/>
      <c r="Q349" s="186"/>
      <c r="R349" s="186"/>
    </row>
    <row r="350" spans="1:18" x14ac:dyDescent="0.25">
      <c r="A350" s="186" t="s">
        <v>341</v>
      </c>
      <c r="B350" s="400">
        <v>0.96</v>
      </c>
      <c r="C350" s="186"/>
      <c r="D350" s="186" t="s">
        <v>319</v>
      </c>
      <c r="E350" s="186" t="s">
        <v>319</v>
      </c>
      <c r="F350" s="186" t="s">
        <v>319</v>
      </c>
      <c r="G350" s="186" t="s">
        <v>321</v>
      </c>
      <c r="H350" s="186" t="s">
        <v>322</v>
      </c>
      <c r="I350" s="186" t="s">
        <v>341</v>
      </c>
      <c r="J350" s="186" t="s">
        <v>861</v>
      </c>
      <c r="K350" s="186" t="s">
        <v>325</v>
      </c>
      <c r="L350" s="186" t="s">
        <v>436</v>
      </c>
      <c r="M350" s="186"/>
      <c r="N350" s="186"/>
      <c r="O350" s="186"/>
      <c r="P350" s="186"/>
      <c r="Q350" s="186"/>
      <c r="R350" s="186"/>
    </row>
    <row r="351" spans="1:18" x14ac:dyDescent="0.25">
      <c r="A351" s="186" t="s">
        <v>341</v>
      </c>
      <c r="B351" s="400">
        <v>0.96</v>
      </c>
      <c r="C351" s="186"/>
      <c r="D351" s="186" t="s">
        <v>319</v>
      </c>
      <c r="E351" s="186" t="s">
        <v>319</v>
      </c>
      <c r="F351" s="186" t="s">
        <v>319</v>
      </c>
      <c r="G351" s="186" t="s">
        <v>321</v>
      </c>
      <c r="H351" s="186" t="s">
        <v>322</v>
      </c>
      <c r="I351" s="186" t="s">
        <v>341</v>
      </c>
      <c r="J351" s="186" t="s">
        <v>861</v>
      </c>
      <c r="K351" s="186" t="s">
        <v>325</v>
      </c>
      <c r="L351" s="186" t="s">
        <v>451</v>
      </c>
      <c r="M351" s="186"/>
      <c r="N351" s="186"/>
      <c r="O351" s="186"/>
      <c r="P351" s="186"/>
      <c r="Q351" s="186"/>
      <c r="R351" s="186"/>
    </row>
    <row r="352" spans="1:18" x14ac:dyDescent="0.25">
      <c r="A352" s="186" t="s">
        <v>341</v>
      </c>
      <c r="B352" s="400">
        <v>0.97</v>
      </c>
      <c r="C352" s="186"/>
      <c r="D352" s="186" t="s">
        <v>319</v>
      </c>
      <c r="E352" s="186" t="s">
        <v>319</v>
      </c>
      <c r="F352" s="186" t="s">
        <v>319</v>
      </c>
      <c r="G352" s="186" t="s">
        <v>321</v>
      </c>
      <c r="H352" s="186" t="s">
        <v>322</v>
      </c>
      <c r="I352" s="186" t="s">
        <v>341</v>
      </c>
      <c r="J352" s="186" t="s">
        <v>861</v>
      </c>
      <c r="K352" s="186" t="s">
        <v>325</v>
      </c>
      <c r="L352" s="186" t="s">
        <v>452</v>
      </c>
      <c r="M352" s="186"/>
      <c r="N352" s="186"/>
      <c r="O352" s="186"/>
      <c r="P352" s="186"/>
      <c r="Q352" s="186"/>
      <c r="R352" s="186"/>
    </row>
    <row r="353" spans="1:18" x14ac:dyDescent="0.25">
      <c r="A353" s="186" t="s">
        <v>341</v>
      </c>
      <c r="B353" s="400">
        <v>0.97</v>
      </c>
      <c r="C353" s="186"/>
      <c r="D353" s="186" t="s">
        <v>319</v>
      </c>
      <c r="E353" s="186" t="s">
        <v>319</v>
      </c>
      <c r="F353" s="186" t="s">
        <v>319</v>
      </c>
      <c r="G353" s="186" t="s">
        <v>321</v>
      </c>
      <c r="H353" s="186" t="s">
        <v>322</v>
      </c>
      <c r="I353" s="186" t="s">
        <v>341</v>
      </c>
      <c r="J353" s="186" t="s">
        <v>861</v>
      </c>
      <c r="K353" s="186" t="s">
        <v>325</v>
      </c>
      <c r="L353" s="186" t="s">
        <v>453</v>
      </c>
      <c r="M353" s="186"/>
      <c r="N353" s="186"/>
      <c r="O353" s="186"/>
      <c r="P353" s="186"/>
      <c r="Q353" s="186"/>
      <c r="R353" s="186"/>
    </row>
    <row r="354" spans="1:18" x14ac:dyDescent="0.25">
      <c r="A354" s="186" t="s">
        <v>341</v>
      </c>
      <c r="B354" s="400">
        <v>0.98</v>
      </c>
      <c r="C354" s="186"/>
      <c r="D354" s="186" t="s">
        <v>319</v>
      </c>
      <c r="E354" s="186" t="s">
        <v>319</v>
      </c>
      <c r="F354" s="186" t="s">
        <v>319</v>
      </c>
      <c r="G354" s="186" t="s">
        <v>321</v>
      </c>
      <c r="H354" s="186" t="s">
        <v>322</v>
      </c>
      <c r="I354" s="186" t="s">
        <v>341</v>
      </c>
      <c r="J354" s="186" t="s">
        <v>861</v>
      </c>
      <c r="K354" s="186" t="s">
        <v>325</v>
      </c>
      <c r="L354" s="186" t="s">
        <v>454</v>
      </c>
      <c r="M354" s="186"/>
      <c r="N354" s="186"/>
      <c r="O354" s="186"/>
      <c r="P354" s="186"/>
      <c r="Q354" s="186"/>
      <c r="R354" s="186"/>
    </row>
    <row r="355" spans="1:18" x14ac:dyDescent="0.25">
      <c r="A355" s="186" t="s">
        <v>341</v>
      </c>
      <c r="B355" s="400">
        <v>0.98</v>
      </c>
      <c r="C355" s="186"/>
      <c r="D355" s="186" t="s">
        <v>319</v>
      </c>
      <c r="E355" s="186" t="s">
        <v>319</v>
      </c>
      <c r="F355" s="186" t="s">
        <v>319</v>
      </c>
      <c r="G355" s="186" t="s">
        <v>321</v>
      </c>
      <c r="H355" s="186" t="s">
        <v>322</v>
      </c>
      <c r="I355" s="186" t="s">
        <v>341</v>
      </c>
      <c r="J355" s="186" t="s">
        <v>861</v>
      </c>
      <c r="K355" s="186" t="s">
        <v>325</v>
      </c>
      <c r="L355" s="186" t="s">
        <v>455</v>
      </c>
      <c r="M355" s="186"/>
      <c r="N355" s="186"/>
      <c r="O355" s="186"/>
      <c r="P355" s="186"/>
      <c r="Q355" s="186"/>
      <c r="R355" s="186"/>
    </row>
    <row r="356" spans="1:18" x14ac:dyDescent="0.25">
      <c r="A356" s="186" t="s">
        <v>341</v>
      </c>
      <c r="B356" s="400">
        <v>0.98</v>
      </c>
      <c r="C356" s="186"/>
      <c r="D356" s="186" t="s">
        <v>319</v>
      </c>
      <c r="E356" s="186" t="s">
        <v>319</v>
      </c>
      <c r="F356" s="186" t="s">
        <v>319</v>
      </c>
      <c r="G356" s="186" t="s">
        <v>321</v>
      </c>
      <c r="H356" s="186" t="s">
        <v>322</v>
      </c>
      <c r="I356" s="186" t="s">
        <v>341</v>
      </c>
      <c r="J356" s="186" t="s">
        <v>861</v>
      </c>
      <c r="K356" s="186" t="s">
        <v>325</v>
      </c>
      <c r="L356" s="186" t="s">
        <v>456</v>
      </c>
      <c r="M356" s="186"/>
      <c r="N356" s="186"/>
      <c r="O356" s="186"/>
      <c r="P356" s="186"/>
      <c r="Q356" s="186"/>
      <c r="R356" s="186"/>
    </row>
    <row r="357" spans="1:18" x14ac:dyDescent="0.25">
      <c r="A357" s="186" t="s">
        <v>341</v>
      </c>
      <c r="B357" s="400">
        <v>0.99</v>
      </c>
      <c r="C357" s="186"/>
      <c r="D357" s="186" t="s">
        <v>319</v>
      </c>
      <c r="E357" s="186" t="s">
        <v>319</v>
      </c>
      <c r="F357" s="186" t="s">
        <v>319</v>
      </c>
      <c r="G357" s="186" t="s">
        <v>321</v>
      </c>
      <c r="H357" s="186" t="s">
        <v>322</v>
      </c>
      <c r="I357" s="186" t="s">
        <v>341</v>
      </c>
      <c r="J357" s="186" t="s">
        <v>861</v>
      </c>
      <c r="K357" s="186" t="s">
        <v>325</v>
      </c>
      <c r="L357" s="186" t="s">
        <v>457</v>
      </c>
      <c r="M357" s="186"/>
      <c r="N357" s="186"/>
      <c r="O357" s="186"/>
      <c r="P357" s="186"/>
      <c r="Q357" s="186"/>
      <c r="R357" s="186"/>
    </row>
    <row r="358" spans="1:18" x14ac:dyDescent="0.25">
      <c r="A358" s="186" t="s">
        <v>341</v>
      </c>
      <c r="B358" s="400">
        <v>0.99</v>
      </c>
      <c r="C358" s="186"/>
      <c r="D358" s="186" t="s">
        <v>319</v>
      </c>
      <c r="E358" s="186" t="s">
        <v>319</v>
      </c>
      <c r="F358" s="186" t="s">
        <v>319</v>
      </c>
      <c r="G358" s="186" t="s">
        <v>321</v>
      </c>
      <c r="H358" s="186" t="s">
        <v>322</v>
      </c>
      <c r="I358" s="186" t="s">
        <v>341</v>
      </c>
      <c r="J358" s="186" t="s">
        <v>861</v>
      </c>
      <c r="K358" s="186" t="s">
        <v>325</v>
      </c>
      <c r="L358" s="186" t="s">
        <v>458</v>
      </c>
      <c r="M358" s="186"/>
      <c r="N358" s="186"/>
      <c r="O358" s="186"/>
      <c r="P358" s="186"/>
      <c r="Q358" s="186"/>
      <c r="R358" s="186"/>
    </row>
    <row r="359" spans="1:18" x14ac:dyDescent="0.25">
      <c r="A359" s="186" t="s">
        <v>341</v>
      </c>
      <c r="B359" s="400">
        <v>1</v>
      </c>
      <c r="C359" s="186"/>
      <c r="D359" s="186" t="s">
        <v>319</v>
      </c>
      <c r="E359" s="186" t="s">
        <v>319</v>
      </c>
      <c r="F359" s="186" t="s">
        <v>319</v>
      </c>
      <c r="G359" s="186" t="s">
        <v>321</v>
      </c>
      <c r="H359" s="186" t="s">
        <v>322</v>
      </c>
      <c r="I359" s="186" t="s">
        <v>341</v>
      </c>
      <c r="J359" s="186" t="s">
        <v>861</v>
      </c>
      <c r="K359" s="186" t="s">
        <v>325</v>
      </c>
      <c r="L359" s="186" t="s">
        <v>459</v>
      </c>
      <c r="M359" s="186"/>
      <c r="N359" s="186"/>
      <c r="O359" s="186"/>
      <c r="P359" s="186"/>
      <c r="Q359" s="186"/>
      <c r="R359" s="186"/>
    </row>
    <row r="360" spans="1:18" x14ac:dyDescent="0.25">
      <c r="A360" s="186" t="s">
        <v>341</v>
      </c>
      <c r="B360" s="400">
        <v>1</v>
      </c>
      <c r="C360" s="186"/>
      <c r="D360" s="186" t="s">
        <v>319</v>
      </c>
      <c r="E360" s="186" t="s">
        <v>319</v>
      </c>
      <c r="F360" s="186" t="s">
        <v>319</v>
      </c>
      <c r="G360" s="186" t="s">
        <v>321</v>
      </c>
      <c r="H360" s="186" t="s">
        <v>322</v>
      </c>
      <c r="I360" s="186" t="s">
        <v>341</v>
      </c>
      <c r="J360" s="186" t="s">
        <v>861</v>
      </c>
      <c r="K360" s="186" t="s">
        <v>325</v>
      </c>
      <c r="L360" s="186" t="s">
        <v>460</v>
      </c>
      <c r="M360" s="186"/>
      <c r="N360" s="186"/>
      <c r="O360" s="186"/>
      <c r="P360" s="186"/>
      <c r="Q360" s="186"/>
      <c r="R360" s="186"/>
    </row>
    <row r="361" spans="1:18" x14ac:dyDescent="0.25">
      <c r="A361" s="186" t="s">
        <v>341</v>
      </c>
      <c r="B361" s="400">
        <v>1</v>
      </c>
      <c r="C361" s="186"/>
      <c r="D361" s="186" t="s">
        <v>319</v>
      </c>
      <c r="E361" s="186" t="s">
        <v>319</v>
      </c>
      <c r="F361" s="186" t="s">
        <v>319</v>
      </c>
      <c r="G361" s="186" t="s">
        <v>321</v>
      </c>
      <c r="H361" s="186" t="s">
        <v>322</v>
      </c>
      <c r="I361" s="186" t="s">
        <v>341</v>
      </c>
      <c r="J361" s="186" t="s">
        <v>861</v>
      </c>
      <c r="K361" s="186" t="s">
        <v>325</v>
      </c>
      <c r="L361" s="186" t="s">
        <v>461</v>
      </c>
      <c r="M361" s="186"/>
      <c r="N361" s="186"/>
      <c r="O361" s="186"/>
      <c r="P361" s="186"/>
      <c r="Q361" s="186"/>
      <c r="R361" s="186"/>
    </row>
    <row r="362" spans="1:18" x14ac:dyDescent="0.25">
      <c r="A362" s="186" t="s">
        <v>341</v>
      </c>
      <c r="B362" s="400">
        <v>1</v>
      </c>
      <c r="C362" s="186"/>
      <c r="D362" s="186" t="s">
        <v>319</v>
      </c>
      <c r="E362" s="186" t="s">
        <v>319</v>
      </c>
      <c r="F362" s="186" t="s">
        <v>319</v>
      </c>
      <c r="G362" s="186" t="s">
        <v>321</v>
      </c>
      <c r="H362" s="186" t="s">
        <v>322</v>
      </c>
      <c r="I362" s="186" t="s">
        <v>341</v>
      </c>
      <c r="J362" s="186" t="s">
        <v>861</v>
      </c>
      <c r="K362" s="186" t="s">
        <v>325</v>
      </c>
      <c r="L362" s="186" t="s">
        <v>462</v>
      </c>
      <c r="M362" s="186"/>
      <c r="N362" s="186"/>
      <c r="O362" s="186"/>
      <c r="P362" s="186"/>
      <c r="Q362" s="186"/>
      <c r="R362" s="186"/>
    </row>
    <row r="363" spans="1:18" x14ac:dyDescent="0.25">
      <c r="A363" s="186" t="s">
        <v>341</v>
      </c>
      <c r="B363" s="400">
        <v>1</v>
      </c>
      <c r="C363" s="186"/>
      <c r="D363" s="186" t="s">
        <v>319</v>
      </c>
      <c r="E363" s="186" t="s">
        <v>319</v>
      </c>
      <c r="F363" s="186" t="s">
        <v>319</v>
      </c>
      <c r="G363" s="186" t="s">
        <v>321</v>
      </c>
      <c r="H363" s="186" t="s">
        <v>322</v>
      </c>
      <c r="I363" s="186" t="s">
        <v>341</v>
      </c>
      <c r="J363" s="186" t="s">
        <v>861</v>
      </c>
      <c r="K363" s="186" t="s">
        <v>325</v>
      </c>
      <c r="L363" s="186" t="s">
        <v>463</v>
      </c>
      <c r="M363" s="186"/>
      <c r="N363" s="186"/>
      <c r="O363" s="186"/>
      <c r="P363" s="186"/>
      <c r="Q363" s="186"/>
      <c r="R363" s="186"/>
    </row>
    <row r="364" spans="1:18" x14ac:dyDescent="0.25">
      <c r="A364" s="186" t="s">
        <v>341</v>
      </c>
      <c r="B364" s="400">
        <v>1</v>
      </c>
      <c r="C364" s="186"/>
      <c r="D364" s="186" t="s">
        <v>319</v>
      </c>
      <c r="E364" s="186" t="s">
        <v>319</v>
      </c>
      <c r="F364" s="186" t="s">
        <v>319</v>
      </c>
      <c r="G364" s="186" t="s">
        <v>321</v>
      </c>
      <c r="H364" s="186" t="s">
        <v>322</v>
      </c>
      <c r="I364" s="186" t="s">
        <v>341</v>
      </c>
      <c r="J364" s="186" t="s">
        <v>861</v>
      </c>
      <c r="K364" s="186" t="s">
        <v>325</v>
      </c>
      <c r="L364" s="186" t="s">
        <v>464</v>
      </c>
      <c r="M364" s="186"/>
      <c r="N364" s="186"/>
      <c r="O364" s="186"/>
      <c r="P364" s="186"/>
      <c r="Q364" s="186"/>
      <c r="R364" s="186"/>
    </row>
    <row r="365" spans="1:18" x14ac:dyDescent="0.25">
      <c r="A365" s="186" t="s">
        <v>341</v>
      </c>
      <c r="B365" s="400">
        <v>1</v>
      </c>
      <c r="C365" s="186"/>
      <c r="D365" s="186" t="s">
        <v>319</v>
      </c>
      <c r="E365" s="186" t="s">
        <v>319</v>
      </c>
      <c r="F365" s="186" t="s">
        <v>319</v>
      </c>
      <c r="G365" s="186" t="s">
        <v>321</v>
      </c>
      <c r="H365" s="186" t="s">
        <v>322</v>
      </c>
      <c r="I365" s="186" t="s">
        <v>341</v>
      </c>
      <c r="J365" s="186" t="s">
        <v>861</v>
      </c>
      <c r="K365" s="186" t="s">
        <v>325</v>
      </c>
      <c r="L365" s="186" t="s">
        <v>465</v>
      </c>
      <c r="M365" s="186"/>
      <c r="N365" s="186"/>
      <c r="O365" s="186"/>
      <c r="P365" s="186"/>
      <c r="Q365" s="186"/>
      <c r="R365" s="186"/>
    </row>
    <row r="366" spans="1:18" x14ac:dyDescent="0.25">
      <c r="A366" s="186" t="s">
        <v>341</v>
      </c>
      <c r="B366" s="400">
        <v>1</v>
      </c>
      <c r="C366" s="186"/>
      <c r="D366" s="186" t="s">
        <v>319</v>
      </c>
      <c r="E366" s="186" t="s">
        <v>319</v>
      </c>
      <c r="F366" s="186" t="s">
        <v>319</v>
      </c>
      <c r="G366" s="186" t="s">
        <v>321</v>
      </c>
      <c r="H366" s="186" t="s">
        <v>322</v>
      </c>
      <c r="I366" s="186" t="s">
        <v>341</v>
      </c>
      <c r="J366" s="186" t="s">
        <v>861</v>
      </c>
      <c r="K366" s="186" t="s">
        <v>325</v>
      </c>
      <c r="L366" s="186" t="s">
        <v>466</v>
      </c>
      <c r="M366" s="186"/>
      <c r="N366" s="186"/>
      <c r="O366" s="186"/>
      <c r="P366" s="186"/>
      <c r="Q366" s="186"/>
      <c r="R366" s="186"/>
    </row>
    <row r="367" spans="1:18" x14ac:dyDescent="0.25">
      <c r="A367" s="186" t="s">
        <v>341</v>
      </c>
      <c r="B367" s="400">
        <v>1</v>
      </c>
      <c r="C367" s="186"/>
      <c r="D367" s="186" t="s">
        <v>319</v>
      </c>
      <c r="E367" s="186" t="s">
        <v>319</v>
      </c>
      <c r="F367" s="186" t="s">
        <v>319</v>
      </c>
      <c r="G367" s="186" t="s">
        <v>321</v>
      </c>
      <c r="H367" s="186" t="s">
        <v>322</v>
      </c>
      <c r="I367" s="186" t="s">
        <v>341</v>
      </c>
      <c r="J367" s="186" t="s">
        <v>861</v>
      </c>
      <c r="K367" s="186" t="s">
        <v>325</v>
      </c>
      <c r="L367" s="186" t="s">
        <v>467</v>
      </c>
      <c r="M367" s="186"/>
      <c r="N367" s="186"/>
      <c r="O367" s="186"/>
      <c r="P367" s="186"/>
      <c r="Q367" s="186"/>
      <c r="R367" s="186"/>
    </row>
    <row r="368" spans="1:18" x14ac:dyDescent="0.25">
      <c r="A368" s="186" t="s">
        <v>341</v>
      </c>
      <c r="B368" s="400">
        <v>1</v>
      </c>
      <c r="C368" s="186"/>
      <c r="D368" s="186" t="s">
        <v>319</v>
      </c>
      <c r="E368" s="186" t="s">
        <v>319</v>
      </c>
      <c r="F368" s="186" t="s">
        <v>319</v>
      </c>
      <c r="G368" s="186" t="s">
        <v>321</v>
      </c>
      <c r="H368" s="186" t="s">
        <v>322</v>
      </c>
      <c r="I368" s="186" t="s">
        <v>341</v>
      </c>
      <c r="J368" s="186" t="s">
        <v>861</v>
      </c>
      <c r="K368" s="186" t="s">
        <v>325</v>
      </c>
      <c r="L368" s="186" t="s">
        <v>468</v>
      </c>
      <c r="M368" s="186"/>
      <c r="N368" s="186"/>
      <c r="O368" s="186"/>
      <c r="P368" s="186"/>
      <c r="Q368" s="186"/>
      <c r="R368" s="186"/>
    </row>
    <row r="369" spans="1:18" x14ac:dyDescent="0.25">
      <c r="A369" s="186" t="s">
        <v>341</v>
      </c>
      <c r="B369" s="400">
        <v>1</v>
      </c>
      <c r="C369" s="186"/>
      <c r="D369" s="186" t="s">
        <v>319</v>
      </c>
      <c r="E369" s="186" t="s">
        <v>319</v>
      </c>
      <c r="F369" s="186" t="s">
        <v>319</v>
      </c>
      <c r="G369" s="186" t="s">
        <v>321</v>
      </c>
      <c r="H369" s="186" t="s">
        <v>322</v>
      </c>
      <c r="I369" s="186" t="s">
        <v>341</v>
      </c>
      <c r="J369" s="186" t="s">
        <v>861</v>
      </c>
      <c r="K369" s="186" t="s">
        <v>325</v>
      </c>
      <c r="L369" s="186" t="s">
        <v>469</v>
      </c>
      <c r="M369" s="186"/>
      <c r="N369" s="186"/>
      <c r="O369" s="186"/>
      <c r="P369" s="186"/>
      <c r="Q369" s="186"/>
      <c r="R369" s="186"/>
    </row>
    <row r="370" spans="1:18" x14ac:dyDescent="0.25">
      <c r="A370" s="186" t="s">
        <v>341</v>
      </c>
      <c r="B370" s="400">
        <v>1</v>
      </c>
      <c r="C370" s="186"/>
      <c r="D370" s="186" t="s">
        <v>319</v>
      </c>
      <c r="E370" s="186" t="s">
        <v>319</v>
      </c>
      <c r="F370" s="186" t="s">
        <v>319</v>
      </c>
      <c r="G370" s="186" t="s">
        <v>321</v>
      </c>
      <c r="H370" s="186" t="s">
        <v>322</v>
      </c>
      <c r="I370" s="186" t="s">
        <v>341</v>
      </c>
      <c r="J370" s="186" t="s">
        <v>861</v>
      </c>
      <c r="K370" s="186" t="s">
        <v>325</v>
      </c>
      <c r="L370" s="186" t="s">
        <v>863</v>
      </c>
      <c r="M370" s="186"/>
      <c r="N370" s="186"/>
      <c r="O370" s="186"/>
      <c r="P370" s="186"/>
      <c r="Q370" s="186"/>
      <c r="R370" s="186"/>
    </row>
    <row r="371" spans="1:18" x14ac:dyDescent="0.25">
      <c r="A371" s="186" t="s">
        <v>191</v>
      </c>
      <c r="B371" s="400">
        <v>1.25</v>
      </c>
      <c r="C371" s="186"/>
      <c r="D371" s="186" t="s">
        <v>319</v>
      </c>
      <c r="E371" s="186" t="s">
        <v>319</v>
      </c>
      <c r="F371" s="186" t="s">
        <v>319</v>
      </c>
      <c r="G371" s="186" t="s">
        <v>321</v>
      </c>
      <c r="H371" s="186" t="s">
        <v>322</v>
      </c>
      <c r="I371" s="186" t="s">
        <v>519</v>
      </c>
      <c r="J371" s="186"/>
      <c r="K371" s="186"/>
      <c r="L371" s="186"/>
      <c r="M371" s="186"/>
      <c r="N371" s="186"/>
      <c r="O371" s="186"/>
      <c r="P371" s="186"/>
      <c r="Q371" s="186"/>
      <c r="R371" s="186"/>
    </row>
    <row r="372" spans="1:18" x14ac:dyDescent="0.25">
      <c r="A372" s="638" t="s">
        <v>191</v>
      </c>
      <c r="B372" s="637">
        <v>1.25</v>
      </c>
      <c r="C372" s="638"/>
      <c r="D372" s="638" t="s">
        <v>319</v>
      </c>
      <c r="E372" s="638" t="s">
        <v>319</v>
      </c>
      <c r="F372" s="638" t="s">
        <v>319</v>
      </c>
      <c r="G372" s="638" t="s">
        <v>321</v>
      </c>
      <c r="H372" s="638" t="s">
        <v>322</v>
      </c>
      <c r="I372" s="638" t="s">
        <v>521</v>
      </c>
      <c r="J372" s="186"/>
      <c r="K372" s="186"/>
      <c r="L372" s="186"/>
      <c r="M372" s="186"/>
      <c r="N372" s="186"/>
      <c r="O372" s="186"/>
      <c r="P372" s="186"/>
      <c r="Q372" s="186"/>
      <c r="R372" s="186"/>
    </row>
    <row r="373" spans="1:18" x14ac:dyDescent="0.25">
      <c r="A373" s="186" t="s">
        <v>191</v>
      </c>
      <c r="B373" s="400">
        <v>1.5</v>
      </c>
      <c r="C373" s="186"/>
      <c r="D373" s="186" t="s">
        <v>319</v>
      </c>
      <c r="E373" s="186" t="s">
        <v>319</v>
      </c>
      <c r="F373" s="186" t="s">
        <v>319</v>
      </c>
      <c r="G373" s="186" t="s">
        <v>321</v>
      </c>
      <c r="H373" s="186" t="s">
        <v>322</v>
      </c>
      <c r="I373" s="186" t="s">
        <v>520</v>
      </c>
      <c r="J373" s="186"/>
      <c r="K373" s="186"/>
      <c r="L373" s="186"/>
      <c r="M373" s="186"/>
      <c r="N373" s="186"/>
      <c r="O373" s="186"/>
      <c r="P373" s="186"/>
      <c r="Q373" s="186"/>
      <c r="R373" s="186"/>
    </row>
    <row r="374" spans="1:18" x14ac:dyDescent="0.25">
      <c r="A374" s="186" t="s">
        <v>191</v>
      </c>
      <c r="B374" s="400">
        <v>1.1000000000000001</v>
      </c>
      <c r="C374" s="186"/>
      <c r="D374" s="186" t="s">
        <v>319</v>
      </c>
      <c r="E374" s="186" t="s">
        <v>319</v>
      </c>
      <c r="F374" s="186" t="s">
        <v>319</v>
      </c>
      <c r="G374" s="186" t="s">
        <v>321</v>
      </c>
      <c r="H374" s="186" t="s">
        <v>322</v>
      </c>
      <c r="I374" s="186" t="s">
        <v>522</v>
      </c>
      <c r="J374" s="186"/>
      <c r="K374" s="186"/>
      <c r="L374" s="186"/>
      <c r="M374" s="186"/>
      <c r="N374" s="186"/>
      <c r="O374" s="186"/>
      <c r="P374" s="186"/>
      <c r="Q374" s="186"/>
      <c r="R374" s="186"/>
    </row>
    <row r="375" spans="1:18" x14ac:dyDescent="0.25">
      <c r="A375" s="638" t="s">
        <v>864</v>
      </c>
      <c r="B375" s="637">
        <v>5.0000000000000001E-4</v>
      </c>
      <c r="C375" s="638"/>
      <c r="D375" s="638" t="s">
        <v>319</v>
      </c>
      <c r="E375" s="638" t="s">
        <v>319</v>
      </c>
      <c r="F375" s="638" t="s">
        <v>319</v>
      </c>
      <c r="G375" s="638" t="s">
        <v>865</v>
      </c>
      <c r="H375" s="638"/>
      <c r="I375" s="638">
        <v>0</v>
      </c>
      <c r="J375" s="186"/>
      <c r="K375" s="186"/>
      <c r="L375" s="186"/>
      <c r="M375" s="186"/>
      <c r="N375" s="186"/>
      <c r="O375" s="186"/>
      <c r="P375" s="186"/>
      <c r="Q375" s="186"/>
      <c r="R375" s="186"/>
    </row>
    <row r="376" spans="1:18" x14ac:dyDescent="0.25">
      <c r="A376" s="638" t="s">
        <v>864</v>
      </c>
      <c r="B376" s="637">
        <v>0.2263</v>
      </c>
      <c r="C376" s="638"/>
      <c r="D376" s="638" t="s">
        <v>319</v>
      </c>
      <c r="E376" s="638" t="s">
        <v>319</v>
      </c>
      <c r="F376" s="638" t="s">
        <v>319</v>
      </c>
      <c r="G376" s="638" t="s">
        <v>865</v>
      </c>
      <c r="H376" s="638"/>
      <c r="I376" s="638">
        <v>500</v>
      </c>
      <c r="J376" s="186"/>
      <c r="K376" s="186"/>
      <c r="L376" s="186"/>
      <c r="M376" s="186"/>
      <c r="N376" s="186"/>
      <c r="O376" s="186"/>
      <c r="P376" s="186"/>
      <c r="Q376" s="186"/>
      <c r="R376" s="186"/>
    </row>
    <row r="377" spans="1:18" x14ac:dyDescent="0.25">
      <c r="A377" s="638" t="s">
        <v>864</v>
      </c>
      <c r="B377" s="637">
        <v>0.27900000000000003</v>
      </c>
      <c r="C377" s="638"/>
      <c r="D377" s="638" t="s">
        <v>319</v>
      </c>
      <c r="E377" s="638" t="s">
        <v>319</v>
      </c>
      <c r="F377" s="638" t="s">
        <v>319</v>
      </c>
      <c r="G377" s="638" t="s">
        <v>865</v>
      </c>
      <c r="H377" s="638"/>
      <c r="I377" s="638">
        <v>1500</v>
      </c>
      <c r="J377" s="186"/>
      <c r="K377" s="186"/>
      <c r="L377" s="186"/>
      <c r="M377" s="186"/>
      <c r="N377" s="186"/>
      <c r="O377" s="186"/>
      <c r="P377" s="186"/>
      <c r="Q377" s="186"/>
      <c r="R377" s="186"/>
    </row>
    <row r="378" spans="1:18" x14ac:dyDescent="0.25">
      <c r="A378" s="638" t="s">
        <v>864</v>
      </c>
      <c r="B378" s="637">
        <v>0.33160000000000001</v>
      </c>
      <c r="C378" s="638"/>
      <c r="D378" s="638" t="s">
        <v>319</v>
      </c>
      <c r="E378" s="638" t="s">
        <v>319</v>
      </c>
      <c r="F378" s="638" t="s">
        <v>319</v>
      </c>
      <c r="G378" s="638" t="s">
        <v>865</v>
      </c>
      <c r="H378" s="638"/>
      <c r="I378" s="638">
        <v>2500</v>
      </c>
      <c r="J378" s="186"/>
      <c r="K378" s="186"/>
      <c r="L378" s="186"/>
      <c r="M378" s="186"/>
      <c r="N378" s="186"/>
      <c r="O378" s="186"/>
      <c r="P378" s="186"/>
      <c r="Q378" s="186"/>
      <c r="R378" s="186"/>
    </row>
    <row r="379" spans="1:18" x14ac:dyDescent="0.25">
      <c r="A379" s="638" t="s">
        <v>864</v>
      </c>
      <c r="B379" s="637">
        <v>0.38419999999999999</v>
      </c>
      <c r="C379" s="638"/>
      <c r="D379" s="638" t="s">
        <v>319</v>
      </c>
      <c r="E379" s="638" t="s">
        <v>319</v>
      </c>
      <c r="F379" s="638" t="s">
        <v>319</v>
      </c>
      <c r="G379" s="638" t="s">
        <v>865</v>
      </c>
      <c r="H379" s="638"/>
      <c r="I379" s="638">
        <v>3500</v>
      </c>
      <c r="J379" s="186"/>
      <c r="K379" s="186"/>
      <c r="L379" s="186"/>
      <c r="M379" s="186"/>
      <c r="N379" s="186"/>
      <c r="O379" s="186"/>
      <c r="P379" s="186"/>
      <c r="Q379" s="186"/>
      <c r="R379" s="186"/>
    </row>
    <row r="380" spans="1:18" x14ac:dyDescent="0.25">
      <c r="A380" s="638" t="s">
        <v>864</v>
      </c>
      <c r="B380" s="637">
        <v>0.48870000000000002</v>
      </c>
      <c r="C380" s="638"/>
      <c r="D380" s="638" t="s">
        <v>319</v>
      </c>
      <c r="E380" s="638" t="s">
        <v>319</v>
      </c>
      <c r="F380" s="638" t="s">
        <v>319</v>
      </c>
      <c r="G380" s="638" t="s">
        <v>865</v>
      </c>
      <c r="H380" s="638"/>
      <c r="I380" s="638">
        <v>4500</v>
      </c>
      <c r="J380" s="186"/>
      <c r="K380" s="186"/>
      <c r="L380" s="186"/>
      <c r="M380" s="186"/>
      <c r="N380" s="186"/>
      <c r="O380" s="186"/>
      <c r="P380" s="186"/>
      <c r="Q380" s="186"/>
      <c r="R380" s="186"/>
    </row>
    <row r="381" spans="1:18" x14ac:dyDescent="0.25">
      <c r="A381" s="638" t="s">
        <v>864</v>
      </c>
      <c r="B381" s="637">
        <v>0.59230000000000005</v>
      </c>
      <c r="C381" s="638"/>
      <c r="D381" s="638" t="s">
        <v>319</v>
      </c>
      <c r="E381" s="638" t="s">
        <v>319</v>
      </c>
      <c r="F381" s="638" t="s">
        <v>319</v>
      </c>
      <c r="G381" s="638" t="s">
        <v>865</v>
      </c>
      <c r="H381" s="638"/>
      <c r="I381" s="638">
        <v>5500</v>
      </c>
      <c r="J381" s="186"/>
      <c r="K381" s="186"/>
      <c r="L381" s="186"/>
      <c r="M381" s="186"/>
      <c r="N381" s="186"/>
      <c r="O381" s="186"/>
      <c r="P381" s="186"/>
      <c r="Q381" s="186"/>
      <c r="R381" s="186"/>
    </row>
    <row r="382" spans="1:18" x14ac:dyDescent="0.25">
      <c r="A382" s="638" t="s">
        <v>864</v>
      </c>
      <c r="B382" s="637">
        <v>0.69510000000000005</v>
      </c>
      <c r="C382" s="638"/>
      <c r="D382" s="638" t="s">
        <v>319</v>
      </c>
      <c r="E382" s="638" t="s">
        <v>319</v>
      </c>
      <c r="F382" s="638" t="s">
        <v>319</v>
      </c>
      <c r="G382" s="638" t="s">
        <v>865</v>
      </c>
      <c r="H382" s="638"/>
      <c r="I382" s="638">
        <v>6500</v>
      </c>
      <c r="J382" s="186"/>
      <c r="K382" s="186"/>
      <c r="L382" s="186"/>
      <c r="M382" s="186"/>
      <c r="N382" s="186"/>
      <c r="O382" s="186"/>
      <c r="P382" s="186"/>
      <c r="Q382" s="186"/>
      <c r="R382" s="186"/>
    </row>
    <row r="383" spans="1:18" x14ac:dyDescent="0.25">
      <c r="A383" s="638" t="s">
        <v>864</v>
      </c>
      <c r="B383" s="637">
        <v>0.79720000000000002</v>
      </c>
      <c r="C383" s="638"/>
      <c r="D383" s="638" t="s">
        <v>319</v>
      </c>
      <c r="E383" s="638" t="s">
        <v>319</v>
      </c>
      <c r="F383" s="638" t="s">
        <v>319</v>
      </c>
      <c r="G383" s="638" t="s">
        <v>865</v>
      </c>
      <c r="H383" s="638"/>
      <c r="I383" s="638">
        <v>7500</v>
      </c>
      <c r="J383" s="186"/>
      <c r="K383" s="186"/>
      <c r="L383" s="186"/>
      <c r="M383" s="186"/>
      <c r="N383" s="186"/>
      <c r="O383" s="186"/>
      <c r="P383" s="186"/>
      <c r="Q383" s="186"/>
      <c r="R383" s="186"/>
    </row>
    <row r="384" spans="1:18" x14ac:dyDescent="0.25">
      <c r="A384" s="638" t="s">
        <v>864</v>
      </c>
      <c r="B384" s="637">
        <v>0.89890000000000003</v>
      </c>
      <c r="C384" s="638"/>
      <c r="D384" s="638" t="s">
        <v>319</v>
      </c>
      <c r="E384" s="638" t="s">
        <v>319</v>
      </c>
      <c r="F384" s="638" t="s">
        <v>319</v>
      </c>
      <c r="G384" s="638" t="s">
        <v>865</v>
      </c>
      <c r="H384" s="638"/>
      <c r="I384" s="638">
        <v>8500</v>
      </c>
      <c r="J384" s="186"/>
      <c r="K384" s="186"/>
      <c r="L384" s="186"/>
      <c r="M384" s="186"/>
      <c r="N384" s="186"/>
      <c r="O384" s="186"/>
      <c r="P384" s="186"/>
      <c r="Q384" s="186"/>
      <c r="R384" s="186"/>
    </row>
    <row r="385" spans="1:18" x14ac:dyDescent="0.25">
      <c r="A385" s="638" t="s">
        <v>864</v>
      </c>
      <c r="B385" s="637">
        <v>1</v>
      </c>
      <c r="C385" s="638"/>
      <c r="D385" s="638" t="s">
        <v>319</v>
      </c>
      <c r="E385" s="638" t="s">
        <v>319</v>
      </c>
      <c r="F385" s="638" t="s">
        <v>319</v>
      </c>
      <c r="G385" s="638" t="s">
        <v>865</v>
      </c>
      <c r="H385" s="638"/>
      <c r="I385" s="638">
        <v>9500</v>
      </c>
      <c r="J385" s="186"/>
      <c r="K385" s="186"/>
      <c r="L385" s="186"/>
      <c r="M385" s="186"/>
      <c r="N385" s="186"/>
      <c r="O385" s="186"/>
      <c r="P385" s="186"/>
      <c r="Q385" s="186"/>
      <c r="R385" s="186"/>
    </row>
    <row r="386" spans="1:18" x14ac:dyDescent="0.25">
      <c r="A386" s="638" t="s">
        <v>864</v>
      </c>
      <c r="B386" s="637">
        <v>1.1007</v>
      </c>
      <c r="C386" s="638"/>
      <c r="D386" s="638" t="s">
        <v>319</v>
      </c>
      <c r="E386" s="638" t="s">
        <v>319</v>
      </c>
      <c r="F386" s="638" t="s">
        <v>319</v>
      </c>
      <c r="G386" s="638" t="s">
        <v>865</v>
      </c>
      <c r="H386" s="638"/>
      <c r="I386" s="638">
        <v>10500</v>
      </c>
      <c r="J386" s="186"/>
      <c r="K386" s="186"/>
      <c r="L386" s="186"/>
      <c r="M386" s="186"/>
      <c r="N386" s="186"/>
      <c r="O386" s="186"/>
      <c r="P386" s="186"/>
      <c r="Q386" s="186"/>
      <c r="R386" s="186"/>
    </row>
    <row r="387" spans="1:18" x14ac:dyDescent="0.25">
      <c r="A387" s="638" t="s">
        <v>864</v>
      </c>
      <c r="B387" s="637">
        <v>1.2011000000000001</v>
      </c>
      <c r="C387" s="638"/>
      <c r="D387" s="638" t="s">
        <v>319</v>
      </c>
      <c r="E387" s="638" t="s">
        <v>319</v>
      </c>
      <c r="F387" s="638" t="s">
        <v>319</v>
      </c>
      <c r="G387" s="638" t="s">
        <v>865</v>
      </c>
      <c r="H387" s="638"/>
      <c r="I387" s="638">
        <v>11500</v>
      </c>
      <c r="J387" s="186"/>
      <c r="K387" s="186"/>
      <c r="L387" s="186"/>
      <c r="M387" s="186"/>
      <c r="N387" s="186"/>
      <c r="O387" s="186"/>
      <c r="P387" s="186"/>
      <c r="Q387" s="186"/>
      <c r="R387" s="186"/>
    </row>
    <row r="388" spans="1:18" x14ac:dyDescent="0.25">
      <c r="A388" s="638" t="s">
        <v>864</v>
      </c>
      <c r="B388" s="637">
        <v>1.3010999999999999</v>
      </c>
      <c r="C388" s="638"/>
      <c r="D388" s="638" t="s">
        <v>319</v>
      </c>
      <c r="E388" s="638" t="s">
        <v>319</v>
      </c>
      <c r="F388" s="638" t="s">
        <v>319</v>
      </c>
      <c r="G388" s="638" t="s">
        <v>865</v>
      </c>
      <c r="H388" s="638"/>
      <c r="I388" s="638">
        <v>12500</v>
      </c>
      <c r="J388" s="186"/>
      <c r="K388" s="186"/>
      <c r="L388" s="186"/>
      <c r="M388" s="186"/>
      <c r="N388" s="186"/>
      <c r="O388" s="186"/>
      <c r="P388" s="186"/>
      <c r="Q388" s="186"/>
      <c r="R388" s="186"/>
    </row>
    <row r="389" spans="1:18" x14ac:dyDescent="0.25">
      <c r="A389" s="638" t="s">
        <v>864</v>
      </c>
      <c r="B389" s="637">
        <v>1.4007000000000001</v>
      </c>
      <c r="C389" s="638"/>
      <c r="D389" s="638" t="s">
        <v>319</v>
      </c>
      <c r="E389" s="638" t="s">
        <v>319</v>
      </c>
      <c r="F389" s="638" t="s">
        <v>319</v>
      </c>
      <c r="G389" s="638" t="s">
        <v>865</v>
      </c>
      <c r="H389" s="638"/>
      <c r="I389" s="638">
        <v>13500</v>
      </c>
      <c r="J389" s="186"/>
      <c r="K389" s="186"/>
      <c r="L389" s="186"/>
      <c r="M389" s="186"/>
      <c r="N389" s="186"/>
      <c r="O389" s="186"/>
      <c r="P389" s="186"/>
      <c r="Q389" s="186"/>
      <c r="R389" s="186"/>
    </row>
    <row r="390" spans="1:18" x14ac:dyDescent="0.25">
      <c r="A390" s="638" t="s">
        <v>864</v>
      </c>
      <c r="B390" s="637">
        <v>1.5001</v>
      </c>
      <c r="C390" s="638"/>
      <c r="D390" s="638" t="s">
        <v>319</v>
      </c>
      <c r="E390" s="638" t="s">
        <v>319</v>
      </c>
      <c r="F390" s="638" t="s">
        <v>319</v>
      </c>
      <c r="G390" s="638" t="s">
        <v>865</v>
      </c>
      <c r="H390" s="638"/>
      <c r="I390" s="638">
        <v>14500</v>
      </c>
      <c r="J390" s="186"/>
      <c r="K390" s="186"/>
      <c r="L390" s="186"/>
      <c r="M390" s="186"/>
      <c r="N390" s="186"/>
      <c r="O390" s="186"/>
      <c r="P390" s="186"/>
      <c r="Q390" s="186"/>
      <c r="R390" s="186"/>
    </row>
    <row r="391" spans="1:18" x14ac:dyDescent="0.25">
      <c r="A391" s="638" t="s">
        <v>864</v>
      </c>
      <c r="B391" s="637">
        <v>1.5992999999999999</v>
      </c>
      <c r="C391" s="638"/>
      <c r="D391" s="638" t="s">
        <v>319</v>
      </c>
      <c r="E391" s="638" t="s">
        <v>319</v>
      </c>
      <c r="F391" s="638" t="s">
        <v>319</v>
      </c>
      <c r="G391" s="638" t="s">
        <v>865</v>
      </c>
      <c r="H391" s="638"/>
      <c r="I391" s="638">
        <v>15500</v>
      </c>
      <c r="J391" s="186"/>
      <c r="K391" s="186"/>
      <c r="L391" s="186"/>
      <c r="M391" s="186"/>
      <c r="N391" s="186"/>
      <c r="O391" s="186"/>
      <c r="P391" s="186"/>
      <c r="Q391" s="186"/>
      <c r="R391" s="186"/>
    </row>
    <row r="392" spans="1:18" x14ac:dyDescent="0.25">
      <c r="A392" s="638" t="s">
        <v>864</v>
      </c>
      <c r="B392" s="637">
        <v>1.6981999999999999</v>
      </c>
      <c r="C392" s="638"/>
      <c r="D392" s="638" t="s">
        <v>319</v>
      </c>
      <c r="E392" s="638" t="s">
        <v>319</v>
      </c>
      <c r="F392" s="638" t="s">
        <v>319</v>
      </c>
      <c r="G392" s="638" t="s">
        <v>865</v>
      </c>
      <c r="H392" s="638"/>
      <c r="I392" s="638">
        <v>16500</v>
      </c>
      <c r="J392" s="186"/>
      <c r="K392" s="186"/>
      <c r="L392" s="186"/>
      <c r="M392" s="186"/>
      <c r="N392" s="186"/>
      <c r="O392" s="186"/>
      <c r="P392" s="186"/>
      <c r="Q392" s="186"/>
      <c r="R392" s="186"/>
    </row>
    <row r="393" spans="1:18" x14ac:dyDescent="0.25">
      <c r="A393" s="638" t="s">
        <v>864</v>
      </c>
      <c r="B393" s="637">
        <v>1.7968</v>
      </c>
      <c r="C393" s="638"/>
      <c r="D393" s="638" t="s">
        <v>319</v>
      </c>
      <c r="E393" s="638" t="s">
        <v>319</v>
      </c>
      <c r="F393" s="638" t="s">
        <v>319</v>
      </c>
      <c r="G393" s="638" t="s">
        <v>865</v>
      </c>
      <c r="H393" s="638"/>
      <c r="I393" s="638">
        <v>17500</v>
      </c>
      <c r="J393" s="186"/>
      <c r="K393" s="186"/>
      <c r="L393" s="186"/>
      <c r="M393" s="186"/>
      <c r="N393" s="186"/>
      <c r="O393" s="186"/>
      <c r="P393" s="186"/>
      <c r="Q393" s="186"/>
      <c r="R393" s="186"/>
    </row>
    <row r="394" spans="1:18" x14ac:dyDescent="0.25">
      <c r="A394" s="638" t="s">
        <v>864</v>
      </c>
      <c r="B394" s="637">
        <v>1.8953</v>
      </c>
      <c r="C394" s="638"/>
      <c r="D394" s="638" t="s">
        <v>319</v>
      </c>
      <c r="E394" s="638" t="s">
        <v>319</v>
      </c>
      <c r="F394" s="638" t="s">
        <v>319</v>
      </c>
      <c r="G394" s="638" t="s">
        <v>865</v>
      </c>
      <c r="H394" s="638"/>
      <c r="I394" s="638">
        <v>18500</v>
      </c>
      <c r="J394" s="186"/>
      <c r="K394" s="186"/>
      <c r="L394" s="186"/>
      <c r="M394" s="186"/>
      <c r="N394" s="186"/>
      <c r="O394" s="186"/>
      <c r="P394" s="186"/>
      <c r="Q394" s="186"/>
      <c r="R394" s="186"/>
    </row>
    <row r="395" spans="1:18" x14ac:dyDescent="0.25">
      <c r="A395" s="638" t="s">
        <v>864</v>
      </c>
      <c r="B395" s="637">
        <v>1.9935</v>
      </c>
      <c r="C395" s="638"/>
      <c r="D395" s="638" t="s">
        <v>319</v>
      </c>
      <c r="E395" s="638" t="s">
        <v>319</v>
      </c>
      <c r="F395" s="638" t="s">
        <v>319</v>
      </c>
      <c r="G395" s="638" t="s">
        <v>865</v>
      </c>
      <c r="H395" s="638"/>
      <c r="I395" s="638">
        <v>19500</v>
      </c>
      <c r="J395" s="186"/>
      <c r="K395" s="186"/>
      <c r="L395" s="186"/>
      <c r="M395" s="186"/>
      <c r="N395" s="186"/>
      <c r="O395" s="186"/>
      <c r="P395" s="186"/>
      <c r="Q395" s="186"/>
      <c r="R395" s="186"/>
    </row>
    <row r="396" spans="1:18" x14ac:dyDescent="0.25">
      <c r="A396" s="638" t="s">
        <v>864</v>
      </c>
      <c r="B396" s="637">
        <v>2.0916000000000001</v>
      </c>
      <c r="C396" s="638"/>
      <c r="D396" s="638" t="s">
        <v>319</v>
      </c>
      <c r="E396" s="638" t="s">
        <v>319</v>
      </c>
      <c r="F396" s="638" t="s">
        <v>319</v>
      </c>
      <c r="G396" s="638" t="s">
        <v>865</v>
      </c>
      <c r="H396" s="638"/>
      <c r="I396" s="638">
        <v>20500</v>
      </c>
      <c r="J396" s="186"/>
      <c r="K396" s="186"/>
      <c r="L396" s="186"/>
      <c r="M396" s="186"/>
      <c r="N396" s="186"/>
      <c r="O396" s="186"/>
      <c r="P396" s="186"/>
      <c r="Q396" s="186"/>
      <c r="R396" s="186"/>
    </row>
    <row r="397" spans="1:18" x14ac:dyDescent="0.25">
      <c r="A397" s="638" t="s">
        <v>864</v>
      </c>
      <c r="B397" s="637">
        <v>2.1894</v>
      </c>
      <c r="C397" s="638"/>
      <c r="D397" s="638" t="s">
        <v>319</v>
      </c>
      <c r="E397" s="638" t="s">
        <v>319</v>
      </c>
      <c r="F397" s="638" t="s">
        <v>319</v>
      </c>
      <c r="G397" s="638" t="s">
        <v>865</v>
      </c>
      <c r="H397" s="638"/>
      <c r="I397" s="638">
        <v>21500</v>
      </c>
      <c r="J397" s="186"/>
      <c r="K397" s="186"/>
      <c r="L397" s="186"/>
      <c r="M397" s="186"/>
      <c r="N397" s="186"/>
      <c r="O397" s="186"/>
      <c r="P397" s="186"/>
      <c r="Q397" s="186"/>
      <c r="R397" s="186"/>
    </row>
    <row r="398" spans="1:18" x14ac:dyDescent="0.25">
      <c r="A398" s="638" t="s">
        <v>864</v>
      </c>
      <c r="B398" s="637">
        <v>2.2871000000000001</v>
      </c>
      <c r="C398" s="638"/>
      <c r="D398" s="638" t="s">
        <v>319</v>
      </c>
      <c r="E398" s="638" t="s">
        <v>319</v>
      </c>
      <c r="F398" s="638" t="s">
        <v>319</v>
      </c>
      <c r="G398" s="638" t="s">
        <v>865</v>
      </c>
      <c r="H398" s="638"/>
      <c r="I398" s="638">
        <v>22500</v>
      </c>
      <c r="J398" s="186"/>
      <c r="K398" s="186"/>
      <c r="L398" s="186"/>
      <c r="M398" s="186"/>
      <c r="N398" s="186"/>
      <c r="O398" s="186"/>
      <c r="P398" s="186"/>
      <c r="Q398" s="186"/>
      <c r="R398" s="186"/>
    </row>
    <row r="399" spans="1:18" x14ac:dyDescent="0.25">
      <c r="A399" s="638" t="s">
        <v>864</v>
      </c>
      <c r="B399" s="637">
        <v>2.3845999999999998</v>
      </c>
      <c r="C399" s="638"/>
      <c r="D399" s="638" t="s">
        <v>319</v>
      </c>
      <c r="E399" s="638" t="s">
        <v>319</v>
      </c>
      <c r="F399" s="638" t="s">
        <v>319</v>
      </c>
      <c r="G399" s="638" t="s">
        <v>865</v>
      </c>
      <c r="H399" s="638"/>
      <c r="I399" s="638">
        <v>23500</v>
      </c>
      <c r="J399" s="186"/>
      <c r="K399" s="186"/>
      <c r="L399" s="186"/>
      <c r="M399" s="186"/>
      <c r="N399" s="186"/>
      <c r="O399" s="186"/>
      <c r="P399" s="186"/>
      <c r="Q399" s="186"/>
      <c r="R399" s="186"/>
    </row>
    <row r="400" spans="1:18" x14ac:dyDescent="0.25">
      <c r="A400" s="638" t="s">
        <v>864</v>
      </c>
      <c r="B400" s="637">
        <v>2.4820000000000002</v>
      </c>
      <c r="C400" s="638"/>
      <c r="D400" s="638" t="s">
        <v>319</v>
      </c>
      <c r="E400" s="638" t="s">
        <v>319</v>
      </c>
      <c r="F400" s="638" t="s">
        <v>319</v>
      </c>
      <c r="G400" s="638" t="s">
        <v>865</v>
      </c>
      <c r="H400" s="638"/>
      <c r="I400" s="638">
        <v>24500</v>
      </c>
      <c r="J400" s="186"/>
      <c r="K400" s="186"/>
      <c r="L400" s="186"/>
      <c r="M400" s="186"/>
      <c r="N400" s="186"/>
      <c r="O400" s="186"/>
      <c r="P400" s="186"/>
      <c r="Q400" s="186"/>
      <c r="R400" s="186"/>
    </row>
    <row r="401" spans="1:18" x14ac:dyDescent="0.25">
      <c r="A401" s="638" t="s">
        <v>864</v>
      </c>
      <c r="B401" s="637">
        <v>2.5792000000000002</v>
      </c>
      <c r="C401" s="638"/>
      <c r="D401" s="638" t="s">
        <v>319</v>
      </c>
      <c r="E401" s="638" t="s">
        <v>319</v>
      </c>
      <c r="F401" s="638" t="s">
        <v>319</v>
      </c>
      <c r="G401" s="638" t="s">
        <v>865</v>
      </c>
      <c r="H401" s="638"/>
      <c r="I401" s="638">
        <v>25500</v>
      </c>
      <c r="J401" s="186"/>
      <c r="K401" s="186"/>
      <c r="L401" s="186"/>
      <c r="M401" s="186"/>
      <c r="N401" s="186"/>
      <c r="O401" s="186"/>
      <c r="P401" s="186"/>
      <c r="Q401" s="186"/>
      <c r="R401" s="186"/>
    </row>
    <row r="402" spans="1:18" x14ac:dyDescent="0.25">
      <c r="A402" s="638" t="s">
        <v>864</v>
      </c>
      <c r="B402" s="637">
        <v>2.6762999999999999</v>
      </c>
      <c r="C402" s="638"/>
      <c r="D402" s="638" t="s">
        <v>319</v>
      </c>
      <c r="E402" s="638" t="s">
        <v>319</v>
      </c>
      <c r="F402" s="638" t="s">
        <v>319</v>
      </c>
      <c r="G402" s="638" t="s">
        <v>865</v>
      </c>
      <c r="H402" s="638"/>
      <c r="I402" s="638">
        <v>26500</v>
      </c>
      <c r="J402" s="186"/>
      <c r="K402" s="186"/>
      <c r="L402" s="186"/>
      <c r="M402" s="186"/>
      <c r="N402" s="186"/>
      <c r="O402" s="186"/>
      <c r="P402" s="186"/>
      <c r="Q402" s="186"/>
      <c r="R402" s="186"/>
    </row>
    <row r="403" spans="1:18" x14ac:dyDescent="0.25">
      <c r="A403" s="638" t="s">
        <v>864</v>
      </c>
      <c r="B403" s="637">
        <v>2.7732000000000001</v>
      </c>
      <c r="C403" s="638"/>
      <c r="D403" s="638" t="s">
        <v>319</v>
      </c>
      <c r="E403" s="638" t="s">
        <v>319</v>
      </c>
      <c r="F403" s="638" t="s">
        <v>319</v>
      </c>
      <c r="G403" s="638" t="s">
        <v>865</v>
      </c>
      <c r="H403" s="638"/>
      <c r="I403" s="638">
        <v>27500</v>
      </c>
      <c r="J403" s="186"/>
      <c r="K403" s="186"/>
      <c r="L403" s="186"/>
      <c r="M403" s="186"/>
      <c r="N403" s="186"/>
      <c r="O403" s="186"/>
      <c r="P403" s="186"/>
      <c r="Q403" s="186"/>
      <c r="R403" s="186"/>
    </row>
    <row r="404" spans="1:18" x14ac:dyDescent="0.25">
      <c r="A404" s="638" t="s">
        <v>864</v>
      </c>
      <c r="B404" s="637">
        <v>2.87</v>
      </c>
      <c r="C404" s="638"/>
      <c r="D404" s="638" t="s">
        <v>319</v>
      </c>
      <c r="E404" s="638" t="s">
        <v>319</v>
      </c>
      <c r="F404" s="638" t="s">
        <v>319</v>
      </c>
      <c r="G404" s="638" t="s">
        <v>865</v>
      </c>
      <c r="H404" s="638"/>
      <c r="I404" s="638">
        <v>28500</v>
      </c>
      <c r="J404" s="186"/>
      <c r="K404" s="186"/>
      <c r="L404" s="186"/>
      <c r="M404" s="186"/>
      <c r="N404" s="186"/>
      <c r="O404" s="186"/>
      <c r="P404" s="186"/>
      <c r="Q404" s="186"/>
      <c r="R404" s="186"/>
    </row>
    <row r="405" spans="1:18" x14ac:dyDescent="0.25">
      <c r="A405" s="638" t="s">
        <v>864</v>
      </c>
      <c r="B405" s="637">
        <v>2.9666999999999999</v>
      </c>
      <c r="C405" s="638"/>
      <c r="D405" s="638" t="s">
        <v>319</v>
      </c>
      <c r="E405" s="638" t="s">
        <v>319</v>
      </c>
      <c r="F405" s="638" t="s">
        <v>319</v>
      </c>
      <c r="G405" s="638" t="s">
        <v>865</v>
      </c>
      <c r="H405" s="638"/>
      <c r="I405" s="638">
        <v>29500</v>
      </c>
      <c r="J405" s="186"/>
      <c r="K405" s="186"/>
      <c r="L405" s="186"/>
      <c r="M405" s="186"/>
      <c r="N405" s="186"/>
      <c r="O405" s="186"/>
      <c r="P405" s="186"/>
      <c r="Q405" s="186"/>
      <c r="R405" s="186"/>
    </row>
    <row r="406" spans="1:18" x14ac:dyDescent="0.25">
      <c r="A406" s="638" t="s">
        <v>864</v>
      </c>
      <c r="B406" s="637">
        <v>3.0632000000000001</v>
      </c>
      <c r="C406" s="638"/>
      <c r="D406" s="638" t="s">
        <v>319</v>
      </c>
      <c r="E406" s="638" t="s">
        <v>319</v>
      </c>
      <c r="F406" s="638" t="s">
        <v>319</v>
      </c>
      <c r="G406" s="638" t="s">
        <v>865</v>
      </c>
      <c r="H406" s="638"/>
      <c r="I406" s="638">
        <v>30500</v>
      </c>
      <c r="J406" s="186"/>
      <c r="K406" s="186"/>
      <c r="L406" s="186"/>
      <c r="M406" s="186"/>
      <c r="N406" s="186"/>
      <c r="O406" s="186"/>
      <c r="P406" s="186"/>
      <c r="Q406" s="186"/>
      <c r="R406" s="186"/>
    </row>
    <row r="407" spans="1:18" x14ac:dyDescent="0.25">
      <c r="A407" s="638" t="s">
        <v>864</v>
      </c>
      <c r="B407" s="637">
        <v>3.1597</v>
      </c>
      <c r="C407" s="638"/>
      <c r="D407" s="638" t="s">
        <v>319</v>
      </c>
      <c r="E407" s="638" t="s">
        <v>319</v>
      </c>
      <c r="F407" s="638" t="s">
        <v>319</v>
      </c>
      <c r="G407" s="638" t="s">
        <v>865</v>
      </c>
      <c r="H407" s="638"/>
      <c r="I407" s="638">
        <v>31500</v>
      </c>
      <c r="J407" s="186"/>
      <c r="K407" s="186"/>
      <c r="L407" s="186"/>
      <c r="M407" s="186"/>
      <c r="N407" s="186"/>
      <c r="O407" s="186"/>
      <c r="P407" s="186"/>
      <c r="Q407" s="186"/>
      <c r="R407" s="186"/>
    </row>
    <row r="408" spans="1:18" x14ac:dyDescent="0.25">
      <c r="A408" s="638" t="s">
        <v>864</v>
      </c>
      <c r="B408" s="637">
        <v>3.2559999999999998</v>
      </c>
      <c r="C408" s="638"/>
      <c r="D408" s="638" t="s">
        <v>319</v>
      </c>
      <c r="E408" s="638" t="s">
        <v>319</v>
      </c>
      <c r="F408" s="638" t="s">
        <v>319</v>
      </c>
      <c r="G408" s="638" t="s">
        <v>865</v>
      </c>
      <c r="H408" s="638"/>
      <c r="I408" s="638">
        <v>32500</v>
      </c>
      <c r="J408" s="186"/>
      <c r="K408" s="186"/>
      <c r="L408" s="186"/>
      <c r="M408" s="186"/>
      <c r="N408" s="186"/>
      <c r="O408" s="186"/>
      <c r="P408" s="186"/>
      <c r="Q408" s="186"/>
      <c r="R408" s="186"/>
    </row>
    <row r="409" spans="1:18" x14ac:dyDescent="0.25">
      <c r="A409" s="638" t="s">
        <v>864</v>
      </c>
      <c r="B409" s="637">
        <v>3.3521999999999998</v>
      </c>
      <c r="C409" s="638"/>
      <c r="D409" s="638" t="s">
        <v>319</v>
      </c>
      <c r="E409" s="638" t="s">
        <v>319</v>
      </c>
      <c r="F409" s="638" t="s">
        <v>319</v>
      </c>
      <c r="G409" s="638" t="s">
        <v>865</v>
      </c>
      <c r="H409" s="638"/>
      <c r="I409" s="638">
        <v>33500</v>
      </c>
      <c r="J409" s="186"/>
      <c r="K409" s="186"/>
      <c r="L409" s="186"/>
      <c r="M409" s="186"/>
      <c r="N409" s="186"/>
      <c r="O409" s="186"/>
      <c r="P409" s="186"/>
      <c r="Q409" s="186"/>
      <c r="R409" s="186"/>
    </row>
    <row r="410" spans="1:18" x14ac:dyDescent="0.25">
      <c r="A410" s="638" t="s">
        <v>864</v>
      </c>
      <c r="B410" s="637">
        <v>3.4483000000000001</v>
      </c>
      <c r="C410" s="638"/>
      <c r="D410" s="638" t="s">
        <v>319</v>
      </c>
      <c r="E410" s="638" t="s">
        <v>319</v>
      </c>
      <c r="F410" s="638" t="s">
        <v>319</v>
      </c>
      <c r="G410" s="638" t="s">
        <v>865</v>
      </c>
      <c r="H410" s="638"/>
      <c r="I410" s="638">
        <v>34500</v>
      </c>
      <c r="J410" s="186"/>
      <c r="K410" s="186"/>
      <c r="L410" s="186"/>
      <c r="M410" s="186"/>
      <c r="N410" s="186"/>
      <c r="O410" s="186"/>
      <c r="P410" s="186"/>
      <c r="Q410" s="186"/>
      <c r="R410" s="186"/>
    </row>
    <row r="411" spans="1:18" x14ac:dyDescent="0.25">
      <c r="A411" s="638" t="s">
        <v>864</v>
      </c>
      <c r="B411" s="637">
        <v>3.5442999999999998</v>
      </c>
      <c r="C411" s="638"/>
      <c r="D411" s="638" t="s">
        <v>319</v>
      </c>
      <c r="E411" s="638" t="s">
        <v>319</v>
      </c>
      <c r="F411" s="638" t="s">
        <v>319</v>
      </c>
      <c r="G411" s="638" t="s">
        <v>865</v>
      </c>
      <c r="H411" s="638"/>
      <c r="I411" s="638">
        <v>35500</v>
      </c>
      <c r="J411" s="186"/>
      <c r="K411" s="186"/>
      <c r="L411" s="186"/>
      <c r="M411" s="186"/>
      <c r="N411" s="186"/>
      <c r="O411" s="186"/>
      <c r="P411" s="186"/>
      <c r="Q411" s="186"/>
      <c r="R411" s="186"/>
    </row>
    <row r="412" spans="1:18" x14ac:dyDescent="0.25">
      <c r="A412" s="638" t="s">
        <v>864</v>
      </c>
      <c r="B412" s="637">
        <v>3.6402000000000001</v>
      </c>
      <c r="C412" s="638"/>
      <c r="D412" s="638" t="s">
        <v>319</v>
      </c>
      <c r="E412" s="638" t="s">
        <v>319</v>
      </c>
      <c r="F412" s="638" t="s">
        <v>319</v>
      </c>
      <c r="G412" s="638" t="s">
        <v>865</v>
      </c>
      <c r="H412" s="638"/>
      <c r="I412" s="638">
        <v>36500</v>
      </c>
      <c r="J412" s="186"/>
      <c r="K412" s="186"/>
      <c r="L412" s="186"/>
      <c r="M412" s="186"/>
      <c r="N412" s="186"/>
      <c r="O412" s="186"/>
      <c r="P412" s="186"/>
      <c r="Q412" s="186"/>
      <c r="R412" s="186"/>
    </row>
    <row r="413" spans="1:18" x14ac:dyDescent="0.25">
      <c r="A413" s="638" t="s">
        <v>864</v>
      </c>
      <c r="B413" s="637">
        <v>3.7360000000000002</v>
      </c>
      <c r="C413" s="638"/>
      <c r="D413" s="638" t="s">
        <v>319</v>
      </c>
      <c r="E413" s="638" t="s">
        <v>319</v>
      </c>
      <c r="F413" s="638" t="s">
        <v>319</v>
      </c>
      <c r="G413" s="638" t="s">
        <v>865</v>
      </c>
      <c r="H413" s="638"/>
      <c r="I413" s="638">
        <v>37500</v>
      </c>
      <c r="J413" s="186"/>
      <c r="K413" s="186"/>
      <c r="L413" s="186"/>
      <c r="M413" s="186"/>
      <c r="N413" s="186"/>
      <c r="O413" s="186"/>
      <c r="P413" s="186"/>
      <c r="Q413" s="186"/>
      <c r="R413" s="186"/>
    </row>
    <row r="414" spans="1:18" x14ac:dyDescent="0.25">
      <c r="A414" s="638" t="s">
        <v>864</v>
      </c>
      <c r="B414" s="637">
        <v>3.8317000000000001</v>
      </c>
      <c r="C414" s="638"/>
      <c r="D414" s="638" t="s">
        <v>319</v>
      </c>
      <c r="E414" s="638" t="s">
        <v>319</v>
      </c>
      <c r="F414" s="638" t="s">
        <v>319</v>
      </c>
      <c r="G414" s="638" t="s">
        <v>865</v>
      </c>
      <c r="H414" s="638"/>
      <c r="I414" s="638">
        <v>38500</v>
      </c>
      <c r="J414" s="186"/>
      <c r="K414" s="186"/>
      <c r="L414" s="186"/>
      <c r="M414" s="186"/>
      <c r="N414" s="186"/>
      <c r="O414" s="186"/>
      <c r="P414" s="186"/>
      <c r="Q414" s="186"/>
      <c r="R414" s="186"/>
    </row>
    <row r="415" spans="1:18" x14ac:dyDescent="0.25">
      <c r="A415" s="638" t="s">
        <v>864</v>
      </c>
      <c r="B415" s="637">
        <v>3.9272999999999998</v>
      </c>
      <c r="C415" s="638"/>
      <c r="D415" s="638" t="s">
        <v>319</v>
      </c>
      <c r="E415" s="638" t="s">
        <v>319</v>
      </c>
      <c r="F415" s="638" t="s">
        <v>319</v>
      </c>
      <c r="G415" s="638" t="s">
        <v>865</v>
      </c>
      <c r="H415" s="638"/>
      <c r="I415" s="638">
        <v>39500</v>
      </c>
      <c r="J415" s="186"/>
      <c r="K415" s="186"/>
      <c r="L415" s="186"/>
      <c r="M415" s="186"/>
      <c r="N415" s="186"/>
      <c r="O415" s="186"/>
      <c r="P415" s="186"/>
      <c r="Q415" s="186"/>
      <c r="R415" s="186"/>
    </row>
    <row r="416" spans="1:18" x14ac:dyDescent="0.25">
      <c r="A416" s="638" t="s">
        <v>864</v>
      </c>
      <c r="B416" s="637">
        <v>4.0228000000000002</v>
      </c>
      <c r="C416" s="638"/>
      <c r="D416" s="638" t="s">
        <v>319</v>
      </c>
      <c r="E416" s="638" t="s">
        <v>319</v>
      </c>
      <c r="F416" s="638" t="s">
        <v>319</v>
      </c>
      <c r="G416" s="638" t="s">
        <v>865</v>
      </c>
      <c r="H416" s="638"/>
      <c r="I416" s="638">
        <v>40500</v>
      </c>
      <c r="J416" s="186"/>
      <c r="K416" s="186"/>
      <c r="L416" s="186"/>
      <c r="M416" s="186"/>
      <c r="N416" s="186"/>
      <c r="O416" s="186"/>
      <c r="P416" s="186"/>
      <c r="Q416" s="186"/>
      <c r="R416" s="186"/>
    </row>
    <row r="417" spans="1:18" x14ac:dyDescent="0.25">
      <c r="A417" s="638" t="s">
        <v>864</v>
      </c>
      <c r="B417" s="637">
        <v>4.1181999999999999</v>
      </c>
      <c r="C417" s="638"/>
      <c r="D417" s="638" t="s">
        <v>319</v>
      </c>
      <c r="E417" s="638" t="s">
        <v>319</v>
      </c>
      <c r="F417" s="638" t="s">
        <v>319</v>
      </c>
      <c r="G417" s="638" t="s">
        <v>865</v>
      </c>
      <c r="H417" s="638"/>
      <c r="I417" s="638">
        <v>41500</v>
      </c>
      <c r="J417" s="186"/>
      <c r="K417" s="186"/>
      <c r="L417" s="186"/>
      <c r="M417" s="186"/>
      <c r="N417" s="186"/>
      <c r="O417" s="186"/>
      <c r="P417" s="186"/>
      <c r="Q417" s="186"/>
      <c r="R417" s="186"/>
    </row>
    <row r="418" spans="1:18" x14ac:dyDescent="0.25">
      <c r="A418" s="638" t="s">
        <v>864</v>
      </c>
      <c r="B418" s="637">
        <v>4.2135999999999996</v>
      </c>
      <c r="C418" s="638"/>
      <c r="D418" s="638" t="s">
        <v>319</v>
      </c>
      <c r="E418" s="638" t="s">
        <v>319</v>
      </c>
      <c r="F418" s="638" t="s">
        <v>319</v>
      </c>
      <c r="G418" s="638" t="s">
        <v>865</v>
      </c>
      <c r="H418" s="638"/>
      <c r="I418" s="638">
        <v>42500</v>
      </c>
      <c r="J418" s="186"/>
      <c r="K418" s="186"/>
      <c r="L418" s="186"/>
      <c r="M418" s="186"/>
      <c r="N418" s="186"/>
      <c r="O418" s="186"/>
      <c r="P418" s="186"/>
      <c r="Q418" s="186"/>
      <c r="R418" s="186"/>
    </row>
    <row r="419" spans="1:18" x14ac:dyDescent="0.25">
      <c r="A419" s="638" t="s">
        <v>864</v>
      </c>
      <c r="B419" s="637">
        <v>4.3087999999999997</v>
      </c>
      <c r="C419" s="638"/>
      <c r="D419" s="638" t="s">
        <v>319</v>
      </c>
      <c r="E419" s="638" t="s">
        <v>319</v>
      </c>
      <c r="F419" s="638" t="s">
        <v>319</v>
      </c>
      <c r="G419" s="638" t="s">
        <v>865</v>
      </c>
      <c r="H419" s="638"/>
      <c r="I419" s="638">
        <v>43500</v>
      </c>
      <c r="J419" s="186"/>
      <c r="K419" s="186"/>
      <c r="L419" s="186"/>
      <c r="M419" s="186"/>
      <c r="N419" s="186"/>
      <c r="O419" s="186"/>
      <c r="P419" s="186"/>
      <c r="Q419" s="186"/>
      <c r="R419" s="186"/>
    </row>
    <row r="420" spans="1:18" x14ac:dyDescent="0.25">
      <c r="A420" s="638" t="s">
        <v>864</v>
      </c>
      <c r="B420" s="637">
        <v>4.4039999999999999</v>
      </c>
      <c r="C420" s="638"/>
      <c r="D420" s="638" t="s">
        <v>319</v>
      </c>
      <c r="E420" s="638" t="s">
        <v>319</v>
      </c>
      <c r="F420" s="638" t="s">
        <v>319</v>
      </c>
      <c r="G420" s="638" t="s">
        <v>865</v>
      </c>
      <c r="H420" s="638"/>
      <c r="I420" s="638">
        <v>44500</v>
      </c>
      <c r="J420" s="186"/>
      <c r="K420" s="186"/>
      <c r="L420" s="186"/>
      <c r="M420" s="186"/>
      <c r="N420" s="186"/>
      <c r="O420" s="186"/>
      <c r="P420" s="186"/>
      <c r="Q420" s="186"/>
      <c r="R420" s="186"/>
    </row>
    <row r="421" spans="1:18" x14ac:dyDescent="0.25">
      <c r="A421" s="638" t="s">
        <v>864</v>
      </c>
      <c r="B421" s="637">
        <v>4.4991000000000003</v>
      </c>
      <c r="C421" s="638"/>
      <c r="D421" s="638" t="s">
        <v>319</v>
      </c>
      <c r="E421" s="638" t="s">
        <v>319</v>
      </c>
      <c r="F421" s="638" t="s">
        <v>319</v>
      </c>
      <c r="G421" s="638" t="s">
        <v>865</v>
      </c>
      <c r="H421" s="638"/>
      <c r="I421" s="638">
        <v>45500</v>
      </c>
      <c r="J421" s="186"/>
      <c r="K421" s="186"/>
      <c r="L421" s="186"/>
      <c r="M421" s="186"/>
      <c r="N421" s="186"/>
      <c r="O421" s="186"/>
      <c r="P421" s="186"/>
      <c r="Q421" s="186"/>
      <c r="R421" s="186"/>
    </row>
    <row r="422" spans="1:18" x14ac:dyDescent="0.25">
      <c r="A422" s="638" t="s">
        <v>864</v>
      </c>
      <c r="B422" s="637">
        <v>4.5941999999999998</v>
      </c>
      <c r="C422" s="638"/>
      <c r="D422" s="638" t="s">
        <v>319</v>
      </c>
      <c r="E422" s="638" t="s">
        <v>319</v>
      </c>
      <c r="F422" s="638" t="s">
        <v>319</v>
      </c>
      <c r="G422" s="638" t="s">
        <v>865</v>
      </c>
      <c r="H422" s="638"/>
      <c r="I422" s="638">
        <v>46500</v>
      </c>
      <c r="J422" s="186"/>
      <c r="K422" s="186"/>
      <c r="L422" s="186"/>
      <c r="M422" s="186"/>
      <c r="N422" s="186"/>
      <c r="O422" s="186"/>
      <c r="P422" s="186"/>
      <c r="Q422" s="186"/>
      <c r="R422" s="186"/>
    </row>
    <row r="423" spans="1:18" x14ac:dyDescent="0.25">
      <c r="A423" s="638" t="s">
        <v>864</v>
      </c>
      <c r="B423" s="637">
        <v>4.6890999999999998</v>
      </c>
      <c r="C423" s="638"/>
      <c r="D423" s="638" t="s">
        <v>319</v>
      </c>
      <c r="E423" s="638" t="s">
        <v>319</v>
      </c>
      <c r="F423" s="638" t="s">
        <v>319</v>
      </c>
      <c r="G423" s="638" t="s">
        <v>865</v>
      </c>
      <c r="H423" s="638"/>
      <c r="I423" s="638">
        <v>47500</v>
      </c>
      <c r="J423" s="186"/>
      <c r="K423" s="186"/>
      <c r="L423" s="186"/>
      <c r="M423" s="186"/>
      <c r="N423" s="186"/>
      <c r="O423" s="186"/>
      <c r="P423" s="186"/>
      <c r="Q423" s="186"/>
      <c r="R423" s="186"/>
    </row>
    <row r="424" spans="1:18" x14ac:dyDescent="0.25">
      <c r="A424" s="638" t="s">
        <v>864</v>
      </c>
      <c r="B424" s="637">
        <v>4.7839999999999998</v>
      </c>
      <c r="C424" s="638"/>
      <c r="D424" s="638" t="s">
        <v>319</v>
      </c>
      <c r="E424" s="638" t="s">
        <v>319</v>
      </c>
      <c r="F424" s="638" t="s">
        <v>319</v>
      </c>
      <c r="G424" s="638" t="s">
        <v>865</v>
      </c>
      <c r="H424" s="638"/>
      <c r="I424" s="638">
        <v>48500</v>
      </c>
      <c r="J424" s="186"/>
      <c r="K424" s="186"/>
      <c r="L424" s="186"/>
      <c r="M424" s="186"/>
      <c r="N424" s="186"/>
      <c r="O424" s="186"/>
      <c r="P424" s="186"/>
      <c r="Q424" s="186"/>
      <c r="R424" s="186"/>
    </row>
    <row r="425" spans="1:18" x14ac:dyDescent="0.25">
      <c r="A425" s="638" t="s">
        <v>864</v>
      </c>
      <c r="B425" s="637">
        <v>4.8788</v>
      </c>
      <c r="C425" s="638"/>
      <c r="D425" s="638" t="s">
        <v>319</v>
      </c>
      <c r="E425" s="638" t="s">
        <v>319</v>
      </c>
      <c r="F425" s="638" t="s">
        <v>319</v>
      </c>
      <c r="G425" s="638" t="s">
        <v>865</v>
      </c>
      <c r="H425" s="638"/>
      <c r="I425" s="638">
        <v>49500</v>
      </c>
      <c r="J425" s="186"/>
      <c r="K425" s="186"/>
      <c r="L425" s="186"/>
      <c r="M425" s="186"/>
      <c r="N425" s="186"/>
      <c r="O425" s="186"/>
      <c r="P425" s="186"/>
      <c r="Q425" s="186"/>
      <c r="R425" s="186"/>
    </row>
    <row r="426" spans="1:18" x14ac:dyDescent="0.25">
      <c r="A426" s="638" t="s">
        <v>864</v>
      </c>
      <c r="B426" s="637">
        <v>5.1627999999999998</v>
      </c>
      <c r="C426" s="638"/>
      <c r="D426" s="638" t="s">
        <v>319</v>
      </c>
      <c r="E426" s="638" t="s">
        <v>319</v>
      </c>
      <c r="F426" s="638" t="s">
        <v>319</v>
      </c>
      <c r="G426" s="638" t="s">
        <v>865</v>
      </c>
      <c r="H426" s="638"/>
      <c r="I426" s="638">
        <v>52500</v>
      </c>
      <c r="J426" s="186"/>
      <c r="K426" s="186"/>
      <c r="L426" s="186"/>
      <c r="M426" s="186"/>
      <c r="N426" s="186"/>
      <c r="O426" s="186"/>
      <c r="P426" s="186"/>
      <c r="Q426" s="186"/>
      <c r="R426" s="186"/>
    </row>
    <row r="427" spans="1:18" x14ac:dyDescent="0.25">
      <c r="A427" s="638" t="s">
        <v>864</v>
      </c>
      <c r="B427" s="637">
        <v>5.6348000000000003</v>
      </c>
      <c r="C427" s="638"/>
      <c r="D427" s="638" t="s">
        <v>319</v>
      </c>
      <c r="E427" s="638" t="s">
        <v>319</v>
      </c>
      <c r="F427" s="638" t="s">
        <v>319</v>
      </c>
      <c r="G427" s="638" t="s">
        <v>865</v>
      </c>
      <c r="H427" s="638"/>
      <c r="I427" s="638">
        <v>57500</v>
      </c>
      <c r="J427" s="186"/>
      <c r="K427" s="186"/>
      <c r="L427" s="186"/>
      <c r="M427" s="186"/>
      <c r="N427" s="186"/>
      <c r="O427" s="186"/>
      <c r="P427" s="186"/>
      <c r="Q427" s="186"/>
      <c r="R427" s="186"/>
    </row>
    <row r="428" spans="1:18" x14ac:dyDescent="0.25">
      <c r="A428" s="638" t="s">
        <v>864</v>
      </c>
      <c r="B428" s="637">
        <v>6.1054000000000004</v>
      </c>
      <c r="C428" s="638"/>
      <c r="D428" s="638" t="s">
        <v>319</v>
      </c>
      <c r="E428" s="638" t="s">
        <v>319</v>
      </c>
      <c r="F428" s="638" t="s">
        <v>319</v>
      </c>
      <c r="G428" s="638" t="s">
        <v>865</v>
      </c>
      <c r="H428" s="638"/>
      <c r="I428" s="638">
        <v>62500</v>
      </c>
      <c r="J428" s="186"/>
      <c r="K428" s="186"/>
      <c r="L428" s="186"/>
      <c r="M428" s="186"/>
      <c r="N428" s="186"/>
      <c r="O428" s="186"/>
      <c r="P428" s="186"/>
      <c r="Q428" s="186"/>
      <c r="R428" s="186"/>
    </row>
    <row r="429" spans="1:18" x14ac:dyDescent="0.25">
      <c r="A429" s="638" t="s">
        <v>864</v>
      </c>
      <c r="B429" s="637">
        <v>6.5746000000000002</v>
      </c>
      <c r="C429" s="638"/>
      <c r="D429" s="638" t="s">
        <v>319</v>
      </c>
      <c r="E429" s="638" t="s">
        <v>319</v>
      </c>
      <c r="F429" s="638" t="s">
        <v>319</v>
      </c>
      <c r="G429" s="638" t="s">
        <v>865</v>
      </c>
      <c r="H429" s="638"/>
      <c r="I429" s="638">
        <v>67500</v>
      </c>
      <c r="J429" s="186"/>
      <c r="K429" s="186"/>
      <c r="L429" s="186"/>
      <c r="M429" s="186"/>
      <c r="N429" s="186"/>
      <c r="O429" s="186"/>
      <c r="P429" s="186"/>
      <c r="Q429" s="186"/>
      <c r="R429" s="186"/>
    </row>
    <row r="430" spans="1:18" x14ac:dyDescent="0.25">
      <c r="A430" s="638" t="s">
        <v>864</v>
      </c>
      <c r="B430" s="637">
        <v>7.0425000000000004</v>
      </c>
      <c r="C430" s="638"/>
      <c r="D430" s="638" t="s">
        <v>319</v>
      </c>
      <c r="E430" s="638" t="s">
        <v>319</v>
      </c>
      <c r="F430" s="638" t="s">
        <v>319</v>
      </c>
      <c r="G430" s="638" t="s">
        <v>865</v>
      </c>
      <c r="H430" s="638"/>
      <c r="I430" s="638">
        <v>72500</v>
      </c>
      <c r="J430" s="186"/>
      <c r="K430" s="186"/>
      <c r="L430" s="186"/>
      <c r="M430" s="186"/>
      <c r="N430" s="186"/>
      <c r="O430" s="186"/>
      <c r="P430" s="186"/>
      <c r="Q430" s="186"/>
      <c r="R430" s="186"/>
    </row>
    <row r="431" spans="1:18" x14ac:dyDescent="0.25">
      <c r="A431" s="638" t="s">
        <v>864</v>
      </c>
      <c r="B431" s="637">
        <v>7.5092999999999996</v>
      </c>
      <c r="C431" s="638"/>
      <c r="D431" s="638" t="s">
        <v>319</v>
      </c>
      <c r="E431" s="638" t="s">
        <v>319</v>
      </c>
      <c r="F431" s="638" t="s">
        <v>319</v>
      </c>
      <c r="G431" s="638" t="s">
        <v>865</v>
      </c>
      <c r="H431" s="638"/>
      <c r="I431" s="638">
        <v>77500</v>
      </c>
      <c r="J431" s="186"/>
      <c r="K431" s="186"/>
      <c r="L431" s="186"/>
      <c r="M431" s="186"/>
      <c r="N431" s="186"/>
      <c r="O431" s="186"/>
      <c r="P431" s="186"/>
      <c r="Q431" s="186"/>
      <c r="R431" s="186"/>
    </row>
    <row r="432" spans="1:18" x14ac:dyDescent="0.25">
      <c r="A432" s="638" t="s">
        <v>864</v>
      </c>
      <c r="B432" s="637">
        <v>7.9062999999999999</v>
      </c>
      <c r="C432" s="638"/>
      <c r="D432" s="638" t="s">
        <v>319</v>
      </c>
      <c r="E432" s="638" t="s">
        <v>319</v>
      </c>
      <c r="F432" s="638" t="s">
        <v>319</v>
      </c>
      <c r="G432" s="638" t="s">
        <v>865</v>
      </c>
      <c r="H432" s="638"/>
      <c r="I432" s="638">
        <v>82500</v>
      </c>
      <c r="J432" s="186"/>
      <c r="K432" s="186"/>
      <c r="L432" s="186"/>
      <c r="M432" s="186"/>
      <c r="N432" s="186"/>
      <c r="O432" s="186"/>
      <c r="P432" s="186"/>
      <c r="Q432" s="186"/>
      <c r="R432" s="186"/>
    </row>
    <row r="433" spans="1:18" x14ac:dyDescent="0.25">
      <c r="A433" s="638" t="s">
        <v>864</v>
      </c>
      <c r="B433" s="637">
        <v>8.3003</v>
      </c>
      <c r="C433" s="638"/>
      <c r="D433" s="638" t="s">
        <v>319</v>
      </c>
      <c r="E433" s="638" t="s">
        <v>319</v>
      </c>
      <c r="F433" s="638" t="s">
        <v>319</v>
      </c>
      <c r="G433" s="638" t="s">
        <v>865</v>
      </c>
      <c r="H433" s="638"/>
      <c r="I433" s="638">
        <v>87500</v>
      </c>
      <c r="J433" s="186"/>
      <c r="K433" s="186"/>
      <c r="L433" s="186"/>
      <c r="M433" s="186"/>
      <c r="N433" s="186"/>
      <c r="O433" s="186"/>
      <c r="P433" s="186"/>
      <c r="Q433" s="186"/>
      <c r="R433" s="186"/>
    </row>
    <row r="434" spans="1:18" x14ac:dyDescent="0.25">
      <c r="A434" s="638" t="s">
        <v>864</v>
      </c>
      <c r="B434" s="637">
        <v>8.6913999999999998</v>
      </c>
      <c r="C434" s="638"/>
      <c r="D434" s="638" t="s">
        <v>319</v>
      </c>
      <c r="E434" s="638" t="s">
        <v>319</v>
      </c>
      <c r="F434" s="638" t="s">
        <v>319</v>
      </c>
      <c r="G434" s="638" t="s">
        <v>865</v>
      </c>
      <c r="H434" s="638"/>
      <c r="I434" s="638">
        <v>92500</v>
      </c>
      <c r="J434" s="186"/>
      <c r="K434" s="186"/>
      <c r="L434" s="186"/>
      <c r="M434" s="186"/>
      <c r="N434" s="186"/>
      <c r="O434" s="186"/>
      <c r="P434" s="186"/>
      <c r="Q434" s="186"/>
      <c r="R434" s="186"/>
    </row>
    <row r="435" spans="1:18" x14ac:dyDescent="0.25">
      <c r="A435" s="638" t="s">
        <v>864</v>
      </c>
      <c r="B435" s="637">
        <v>9.0799000000000003</v>
      </c>
      <c r="C435" s="638"/>
      <c r="D435" s="638" t="s">
        <v>319</v>
      </c>
      <c r="E435" s="638" t="s">
        <v>319</v>
      </c>
      <c r="F435" s="638" t="s">
        <v>319</v>
      </c>
      <c r="G435" s="638" t="s">
        <v>865</v>
      </c>
      <c r="H435" s="638"/>
      <c r="I435" s="638">
        <v>97500</v>
      </c>
      <c r="J435" s="186"/>
      <c r="K435" s="186"/>
      <c r="L435" s="186"/>
      <c r="M435" s="186"/>
      <c r="N435" s="186"/>
      <c r="O435" s="186"/>
      <c r="P435" s="186"/>
      <c r="Q435" s="186"/>
      <c r="R435" s="186"/>
    </row>
    <row r="436" spans="1:18" x14ac:dyDescent="0.25">
      <c r="A436" s="638" t="s">
        <v>864</v>
      </c>
      <c r="B436" s="637">
        <v>9.2114999999999991</v>
      </c>
      <c r="C436" s="638"/>
      <c r="D436" s="638" t="s">
        <v>319</v>
      </c>
      <c r="E436" s="638" t="s">
        <v>319</v>
      </c>
      <c r="F436" s="638" t="s">
        <v>319</v>
      </c>
      <c r="G436" s="638" t="s">
        <v>865</v>
      </c>
      <c r="H436" s="638"/>
      <c r="I436" s="638">
        <v>100000</v>
      </c>
      <c r="J436" s="186"/>
      <c r="K436" s="186"/>
      <c r="L436" s="186"/>
      <c r="M436" s="186"/>
      <c r="N436" s="186"/>
      <c r="O436" s="186"/>
      <c r="P436" s="186"/>
      <c r="Q436" s="186"/>
      <c r="R436" s="186"/>
    </row>
    <row r="437" spans="1:18" x14ac:dyDescent="0.25">
      <c r="A437" s="638" t="s">
        <v>864</v>
      </c>
      <c r="B437" s="637">
        <v>7.4999999999999997E-3</v>
      </c>
      <c r="C437" s="638"/>
      <c r="D437" s="638" t="s">
        <v>319</v>
      </c>
      <c r="E437" s="638" t="s">
        <v>319</v>
      </c>
      <c r="F437" s="638" t="s">
        <v>319</v>
      </c>
      <c r="G437" s="638" t="s">
        <v>866</v>
      </c>
      <c r="H437" s="638" t="s">
        <v>867</v>
      </c>
      <c r="I437" s="638">
        <v>100000</v>
      </c>
      <c r="J437" s="186"/>
      <c r="K437" s="186"/>
      <c r="L437" s="186"/>
      <c r="M437" s="186"/>
      <c r="N437" s="186"/>
      <c r="O437" s="186"/>
      <c r="P437" s="186"/>
      <c r="Q437" s="186"/>
      <c r="R437" s="186"/>
    </row>
    <row r="438" spans="1:18" x14ac:dyDescent="0.25">
      <c r="A438" s="641" t="s">
        <v>417</v>
      </c>
      <c r="B438" s="629">
        <v>1</v>
      </c>
      <c r="C438" s="641"/>
      <c r="D438" s="641" t="s">
        <v>319</v>
      </c>
      <c r="E438" s="641" t="s">
        <v>319</v>
      </c>
      <c r="F438" s="641" t="s">
        <v>319</v>
      </c>
      <c r="G438" s="641" t="s">
        <v>418</v>
      </c>
      <c r="H438" s="575" t="s">
        <v>325</v>
      </c>
      <c r="I438" s="575" t="s">
        <v>419</v>
      </c>
      <c r="J438" s="641"/>
      <c r="K438" s="641"/>
      <c r="L438" s="641"/>
      <c r="M438" s="641"/>
      <c r="N438" s="641"/>
      <c r="O438" s="641"/>
      <c r="P438" s="186"/>
      <c r="Q438" s="186"/>
      <c r="R438" s="186"/>
    </row>
    <row r="439" spans="1:18" x14ac:dyDescent="0.25">
      <c r="A439" s="641" t="s">
        <v>417</v>
      </c>
      <c r="B439" s="629">
        <v>0.8</v>
      </c>
      <c r="C439" s="641"/>
      <c r="D439" s="641" t="s">
        <v>319</v>
      </c>
      <c r="E439" s="641" t="s">
        <v>319</v>
      </c>
      <c r="F439" s="641" t="s">
        <v>319</v>
      </c>
      <c r="G439" s="641" t="s">
        <v>418</v>
      </c>
      <c r="H439" s="575" t="s">
        <v>325</v>
      </c>
      <c r="I439" s="575" t="s">
        <v>420</v>
      </c>
      <c r="J439" s="641"/>
      <c r="K439" s="641"/>
      <c r="L439" s="641"/>
      <c r="M439" s="641"/>
      <c r="N439" s="641"/>
      <c r="O439" s="641"/>
      <c r="P439" s="186"/>
      <c r="Q439" s="186"/>
      <c r="R439" s="186"/>
    </row>
    <row r="440" spans="1:18" x14ac:dyDescent="0.25">
      <c r="A440" s="641" t="s">
        <v>417</v>
      </c>
      <c r="B440" s="629">
        <v>0.77500000000000002</v>
      </c>
      <c r="C440" s="641"/>
      <c r="D440" s="641" t="s">
        <v>319</v>
      </c>
      <c r="E440" s="641" t="s">
        <v>319</v>
      </c>
      <c r="F440" s="641" t="s">
        <v>319</v>
      </c>
      <c r="G440" s="641" t="s">
        <v>418</v>
      </c>
      <c r="H440" s="575" t="s">
        <v>325</v>
      </c>
      <c r="I440" s="575" t="s">
        <v>421</v>
      </c>
      <c r="J440" s="641"/>
      <c r="K440" s="641"/>
      <c r="L440" s="641"/>
      <c r="M440" s="641"/>
      <c r="N440" s="641"/>
      <c r="O440" s="641"/>
      <c r="P440" s="186"/>
      <c r="Q440" s="186"/>
      <c r="R440" s="186"/>
    </row>
    <row r="441" spans="1:18" x14ac:dyDescent="0.25">
      <c r="A441" s="641" t="s">
        <v>417</v>
      </c>
      <c r="B441" s="629">
        <v>0.75</v>
      </c>
      <c r="C441" s="641"/>
      <c r="D441" s="641" t="s">
        <v>319</v>
      </c>
      <c r="E441" s="641" t="s">
        <v>319</v>
      </c>
      <c r="F441" s="641" t="s">
        <v>319</v>
      </c>
      <c r="G441" s="641" t="s">
        <v>418</v>
      </c>
      <c r="H441" s="575" t="s">
        <v>325</v>
      </c>
      <c r="I441" s="575" t="s">
        <v>422</v>
      </c>
      <c r="J441" s="641"/>
      <c r="K441" s="641"/>
      <c r="L441" s="641"/>
      <c r="M441" s="641"/>
      <c r="N441" s="641"/>
      <c r="O441" s="641"/>
      <c r="P441" s="186"/>
      <c r="Q441" s="186"/>
      <c r="R441" s="186"/>
    </row>
    <row r="442" spans="1:18" x14ac:dyDescent="0.25">
      <c r="A442" s="641" t="s">
        <v>417</v>
      </c>
      <c r="B442" s="629">
        <v>0.7</v>
      </c>
      <c r="C442" s="641"/>
      <c r="D442" s="641" t="s">
        <v>319</v>
      </c>
      <c r="E442" s="641" t="s">
        <v>319</v>
      </c>
      <c r="F442" s="641" t="s">
        <v>319</v>
      </c>
      <c r="G442" s="641" t="s">
        <v>418</v>
      </c>
      <c r="H442" s="575" t="s">
        <v>325</v>
      </c>
      <c r="I442" s="575" t="s">
        <v>423</v>
      </c>
      <c r="J442" s="641"/>
      <c r="K442" s="641"/>
      <c r="L442" s="641"/>
      <c r="M442" s="641"/>
      <c r="N442" s="641"/>
      <c r="O442" s="641"/>
      <c r="P442" s="186"/>
      <c r="Q442" s="186"/>
      <c r="R442" s="186"/>
    </row>
    <row r="443" spans="1:18" x14ac:dyDescent="0.25">
      <c r="A443" s="641" t="s">
        <v>417</v>
      </c>
      <c r="B443" s="629">
        <v>0.7</v>
      </c>
      <c r="C443" s="641"/>
      <c r="D443" s="641" t="s">
        <v>319</v>
      </c>
      <c r="E443" s="641" t="s">
        <v>319</v>
      </c>
      <c r="F443" s="641" t="s">
        <v>319</v>
      </c>
      <c r="G443" s="641" t="s">
        <v>418</v>
      </c>
      <c r="H443" s="575" t="s">
        <v>325</v>
      </c>
      <c r="I443" s="575" t="s">
        <v>424</v>
      </c>
      <c r="J443" s="641"/>
      <c r="K443" s="641"/>
      <c r="L443" s="641"/>
      <c r="M443" s="641"/>
      <c r="N443" s="641"/>
      <c r="O443" s="641"/>
      <c r="P443" s="186"/>
      <c r="Q443" s="186"/>
      <c r="R443" s="186"/>
    </row>
    <row r="444" spans="1:18" x14ac:dyDescent="0.25">
      <c r="A444" s="641" t="s">
        <v>417</v>
      </c>
      <c r="B444" s="629">
        <v>0.65</v>
      </c>
      <c r="C444" s="641"/>
      <c r="D444" s="641" t="s">
        <v>319</v>
      </c>
      <c r="E444" s="641" t="s">
        <v>319</v>
      </c>
      <c r="F444" s="641" t="s">
        <v>319</v>
      </c>
      <c r="G444" s="641" t="s">
        <v>418</v>
      </c>
      <c r="H444" s="575" t="s">
        <v>325</v>
      </c>
      <c r="I444" s="575" t="s">
        <v>425</v>
      </c>
      <c r="J444" s="641"/>
      <c r="K444" s="641"/>
      <c r="L444" s="641"/>
      <c r="M444" s="641"/>
      <c r="N444" s="641"/>
      <c r="O444" s="641"/>
      <c r="P444" s="186"/>
      <c r="Q444" s="186"/>
      <c r="R444" s="186"/>
    </row>
    <row r="445" spans="1:18" x14ac:dyDescent="0.25">
      <c r="A445" s="641" t="s">
        <v>417</v>
      </c>
      <c r="B445" s="629">
        <v>0.65</v>
      </c>
      <c r="C445" s="641"/>
      <c r="D445" s="641" t="s">
        <v>319</v>
      </c>
      <c r="E445" s="641" t="s">
        <v>319</v>
      </c>
      <c r="F445" s="641" t="s">
        <v>319</v>
      </c>
      <c r="G445" s="641" t="s">
        <v>418</v>
      </c>
      <c r="H445" s="575" t="s">
        <v>325</v>
      </c>
      <c r="I445" s="575" t="s">
        <v>426</v>
      </c>
      <c r="J445" s="641"/>
      <c r="K445" s="641"/>
      <c r="L445" s="641"/>
      <c r="M445" s="641"/>
      <c r="N445" s="641"/>
      <c r="O445" s="641"/>
      <c r="P445" s="186"/>
      <c r="Q445" s="186"/>
      <c r="R445" s="186"/>
    </row>
    <row r="446" spans="1:18" x14ac:dyDescent="0.25">
      <c r="A446" s="641" t="s">
        <v>417</v>
      </c>
      <c r="B446" s="629">
        <v>0.65</v>
      </c>
      <c r="C446" s="641"/>
      <c r="D446" s="641" t="s">
        <v>319</v>
      </c>
      <c r="E446" s="641" t="s">
        <v>319</v>
      </c>
      <c r="F446" s="641" t="s">
        <v>319</v>
      </c>
      <c r="G446" s="641" t="s">
        <v>418</v>
      </c>
      <c r="H446" s="575" t="s">
        <v>325</v>
      </c>
      <c r="I446" s="575" t="s">
        <v>427</v>
      </c>
      <c r="J446" s="641"/>
      <c r="K446" s="641"/>
      <c r="L446" s="641"/>
      <c r="M446" s="641"/>
      <c r="N446" s="641"/>
      <c r="O446" s="641"/>
      <c r="P446" s="186"/>
      <c r="Q446" s="186"/>
      <c r="R446" s="186"/>
    </row>
    <row r="447" spans="1:18" x14ac:dyDescent="0.25">
      <c r="A447" s="641" t="s">
        <v>417</v>
      </c>
      <c r="B447" s="629">
        <v>0.6</v>
      </c>
      <c r="C447" s="641"/>
      <c r="D447" s="641" t="s">
        <v>319</v>
      </c>
      <c r="E447" s="641" t="s">
        <v>319</v>
      </c>
      <c r="F447" s="641" t="s">
        <v>319</v>
      </c>
      <c r="G447" s="641" t="s">
        <v>418</v>
      </c>
      <c r="H447" s="575" t="s">
        <v>325</v>
      </c>
      <c r="I447" s="575" t="s">
        <v>428</v>
      </c>
      <c r="J447" s="641"/>
      <c r="K447" s="641"/>
      <c r="L447" s="641"/>
      <c r="M447" s="641"/>
      <c r="N447" s="641"/>
      <c r="O447" s="641"/>
      <c r="P447" s="186"/>
      <c r="Q447" s="186"/>
      <c r="R447" s="186"/>
    </row>
    <row r="448" spans="1:18" x14ac:dyDescent="0.25">
      <c r="A448" s="641" t="s">
        <v>417</v>
      </c>
      <c r="B448" s="629">
        <v>0.6</v>
      </c>
      <c r="C448" s="641"/>
      <c r="D448" s="641" t="s">
        <v>319</v>
      </c>
      <c r="E448" s="641" t="s">
        <v>319</v>
      </c>
      <c r="F448" s="641" t="s">
        <v>319</v>
      </c>
      <c r="G448" s="641" t="s">
        <v>418</v>
      </c>
      <c r="H448" s="575" t="s">
        <v>325</v>
      </c>
      <c r="I448" s="575" t="s">
        <v>429</v>
      </c>
      <c r="J448" s="641"/>
      <c r="K448" s="641"/>
      <c r="L448" s="641"/>
      <c r="M448" s="641"/>
      <c r="N448" s="641"/>
      <c r="O448" s="641"/>
      <c r="P448" s="186"/>
      <c r="Q448" s="186"/>
      <c r="R448" s="186"/>
    </row>
    <row r="449" spans="1:18" x14ac:dyDescent="0.25">
      <c r="A449" s="641" t="s">
        <v>417</v>
      </c>
      <c r="B449" s="629">
        <v>0.6</v>
      </c>
      <c r="C449" s="641"/>
      <c r="D449" s="641" t="s">
        <v>319</v>
      </c>
      <c r="E449" s="641" t="s">
        <v>319</v>
      </c>
      <c r="F449" s="641" t="s">
        <v>319</v>
      </c>
      <c r="G449" s="641" t="s">
        <v>418</v>
      </c>
      <c r="H449" s="575" t="s">
        <v>325</v>
      </c>
      <c r="I449" s="575" t="s">
        <v>430</v>
      </c>
      <c r="J449" s="641"/>
      <c r="K449" s="641"/>
      <c r="L449" s="641"/>
      <c r="M449" s="641"/>
      <c r="N449" s="641"/>
      <c r="O449" s="641"/>
      <c r="P449" s="186"/>
      <c r="Q449" s="186"/>
      <c r="R449" s="186"/>
    </row>
    <row r="450" spans="1:18" x14ac:dyDescent="0.25">
      <c r="A450" s="641" t="s">
        <v>417</v>
      </c>
      <c r="B450" s="629">
        <v>0.6</v>
      </c>
      <c r="C450" s="641"/>
      <c r="D450" s="641" t="s">
        <v>319</v>
      </c>
      <c r="E450" s="641" t="s">
        <v>319</v>
      </c>
      <c r="F450" s="641" t="s">
        <v>319</v>
      </c>
      <c r="G450" s="641" t="s">
        <v>418</v>
      </c>
      <c r="H450" s="575" t="s">
        <v>325</v>
      </c>
      <c r="I450" s="575" t="s">
        <v>431</v>
      </c>
      <c r="J450" s="641"/>
      <c r="K450" s="641"/>
      <c r="L450" s="641"/>
      <c r="M450" s="641"/>
      <c r="N450" s="641"/>
      <c r="O450" s="641"/>
      <c r="P450" s="186"/>
      <c r="Q450" s="186"/>
      <c r="R450" s="186"/>
    </row>
    <row r="451" spans="1:18" x14ac:dyDescent="0.25">
      <c r="A451" s="641" t="s">
        <v>417</v>
      </c>
      <c r="B451" s="629">
        <v>0.6</v>
      </c>
      <c r="C451" s="641"/>
      <c r="D451" s="641" t="s">
        <v>319</v>
      </c>
      <c r="E451" s="641" t="s">
        <v>319</v>
      </c>
      <c r="F451" s="641" t="s">
        <v>319</v>
      </c>
      <c r="G451" s="641" t="s">
        <v>418</v>
      </c>
      <c r="H451" s="575" t="s">
        <v>325</v>
      </c>
      <c r="I451" s="575" t="s">
        <v>432</v>
      </c>
      <c r="J451" s="641"/>
      <c r="K451" s="641"/>
      <c r="L451" s="641"/>
      <c r="M451" s="641"/>
      <c r="N451" s="641"/>
      <c r="O451" s="641"/>
      <c r="P451" s="186"/>
      <c r="Q451" s="186"/>
      <c r="R451" s="186"/>
    </row>
    <row r="452" spans="1:18" x14ac:dyDescent="0.25">
      <c r="A452" s="641" t="s">
        <v>417</v>
      </c>
      <c r="B452" s="629">
        <v>0.6</v>
      </c>
      <c r="C452" s="641"/>
      <c r="D452" s="641" t="s">
        <v>319</v>
      </c>
      <c r="E452" s="641" t="s">
        <v>319</v>
      </c>
      <c r="F452" s="641" t="s">
        <v>319</v>
      </c>
      <c r="G452" s="641" t="s">
        <v>418</v>
      </c>
      <c r="H452" s="575" t="s">
        <v>325</v>
      </c>
      <c r="I452" s="575" t="s">
        <v>433</v>
      </c>
      <c r="J452" s="641"/>
      <c r="K452" s="641"/>
      <c r="L452" s="641"/>
      <c r="M452" s="641"/>
      <c r="N452" s="641"/>
      <c r="O452" s="641"/>
      <c r="P452" s="186"/>
      <c r="Q452" s="186"/>
      <c r="R452" s="186"/>
    </row>
    <row r="453" spans="1:18" x14ac:dyDescent="0.25">
      <c r="A453" s="641" t="s">
        <v>417</v>
      </c>
      <c r="B453" s="629">
        <v>0.6</v>
      </c>
      <c r="C453" s="641"/>
      <c r="D453" s="641" t="s">
        <v>319</v>
      </c>
      <c r="E453" s="641" t="s">
        <v>319</v>
      </c>
      <c r="F453" s="641" t="s">
        <v>319</v>
      </c>
      <c r="G453" s="641" t="s">
        <v>418</v>
      </c>
      <c r="H453" s="575" t="s">
        <v>325</v>
      </c>
      <c r="I453" s="575" t="s">
        <v>434</v>
      </c>
      <c r="J453" s="641"/>
      <c r="K453" s="641"/>
      <c r="L453" s="641"/>
      <c r="M453" s="641"/>
      <c r="N453" s="641"/>
      <c r="O453" s="641"/>
      <c r="P453" s="186"/>
      <c r="Q453" s="186"/>
      <c r="R453" s="186"/>
    </row>
    <row r="454" spans="1:18" x14ac:dyDescent="0.25">
      <c r="A454" s="641" t="s">
        <v>417</v>
      </c>
      <c r="B454" s="629">
        <v>0.6</v>
      </c>
      <c r="C454" s="641"/>
      <c r="D454" s="641" t="s">
        <v>319</v>
      </c>
      <c r="E454" s="641" t="s">
        <v>319</v>
      </c>
      <c r="F454" s="641" t="s">
        <v>319</v>
      </c>
      <c r="G454" s="641" t="s">
        <v>418</v>
      </c>
      <c r="H454" s="575" t="s">
        <v>325</v>
      </c>
      <c r="I454" s="575" t="s">
        <v>435</v>
      </c>
      <c r="J454" s="641"/>
      <c r="K454" s="641"/>
      <c r="L454" s="641"/>
      <c r="M454" s="641"/>
      <c r="N454" s="641"/>
      <c r="O454" s="641"/>
      <c r="P454" s="186"/>
      <c r="Q454" s="186"/>
      <c r="R454" s="186"/>
    </row>
    <row r="455" spans="1:18" x14ac:dyDescent="0.25">
      <c r="A455" s="641" t="s">
        <v>417</v>
      </c>
      <c r="B455" s="629">
        <v>0.6</v>
      </c>
      <c r="C455" s="641"/>
      <c r="D455" s="641" t="s">
        <v>319</v>
      </c>
      <c r="E455" s="641" t="s">
        <v>319</v>
      </c>
      <c r="F455" s="641" t="s">
        <v>319</v>
      </c>
      <c r="G455" s="641" t="s">
        <v>418</v>
      </c>
      <c r="H455" s="575" t="s">
        <v>325</v>
      </c>
      <c r="I455" s="575" t="s">
        <v>436</v>
      </c>
      <c r="J455" s="641"/>
      <c r="K455" s="641"/>
      <c r="L455" s="641"/>
      <c r="M455" s="641"/>
      <c r="N455" s="641"/>
      <c r="O455" s="641"/>
      <c r="P455" s="186"/>
      <c r="Q455" s="186"/>
      <c r="R455" s="186"/>
    </row>
    <row r="456" spans="1:18" x14ac:dyDescent="0.25">
      <c r="A456" s="641" t="s">
        <v>417</v>
      </c>
      <c r="B456" s="629">
        <v>0.5</v>
      </c>
      <c r="C456" s="641"/>
      <c r="D456" s="641" t="s">
        <v>319</v>
      </c>
      <c r="E456" s="641" t="s">
        <v>319</v>
      </c>
      <c r="F456" s="641" t="s">
        <v>319</v>
      </c>
      <c r="G456" s="641" t="s">
        <v>418</v>
      </c>
      <c r="H456" s="575" t="s">
        <v>325</v>
      </c>
      <c r="I456" s="575" t="s">
        <v>437</v>
      </c>
      <c r="J456" s="641"/>
      <c r="K456" s="641"/>
      <c r="L456" s="641"/>
      <c r="M456" s="641"/>
      <c r="N456" s="641"/>
      <c r="O456" s="641"/>
      <c r="P456" s="186"/>
      <c r="Q456" s="186"/>
      <c r="R456" s="186"/>
    </row>
    <row r="457" spans="1:18" x14ac:dyDescent="0.25">
      <c r="A457" s="641" t="s">
        <v>417</v>
      </c>
      <c r="B457" s="629">
        <v>0.5</v>
      </c>
      <c r="C457" s="641"/>
      <c r="D457" s="641" t="s">
        <v>319</v>
      </c>
      <c r="E457" s="641" t="s">
        <v>319</v>
      </c>
      <c r="F457" s="641" t="s">
        <v>319</v>
      </c>
      <c r="G457" s="641" t="s">
        <v>418</v>
      </c>
      <c r="H457" s="575" t="s">
        <v>325</v>
      </c>
      <c r="I457" s="575" t="s">
        <v>438</v>
      </c>
      <c r="J457" s="641"/>
      <c r="K457" s="641"/>
      <c r="L457" s="641"/>
      <c r="M457" s="641"/>
      <c r="N457" s="641"/>
      <c r="O457" s="641"/>
      <c r="P457" s="186"/>
      <c r="Q457" s="186"/>
      <c r="R457" s="186"/>
    </row>
    <row r="458" spans="1:18" x14ac:dyDescent="0.25">
      <c r="A458" s="641" t="s">
        <v>417</v>
      </c>
      <c r="B458" s="629">
        <v>0.5</v>
      </c>
      <c r="C458" s="641"/>
      <c r="D458" s="641" t="s">
        <v>319</v>
      </c>
      <c r="E458" s="641" t="s">
        <v>319</v>
      </c>
      <c r="F458" s="641" t="s">
        <v>319</v>
      </c>
      <c r="G458" s="641" t="s">
        <v>418</v>
      </c>
      <c r="H458" s="575" t="s">
        <v>325</v>
      </c>
      <c r="I458" s="575" t="s">
        <v>439</v>
      </c>
      <c r="J458" s="641"/>
      <c r="K458" s="641"/>
      <c r="L458" s="641"/>
      <c r="M458" s="641"/>
      <c r="N458" s="641"/>
      <c r="O458" s="641"/>
      <c r="P458" s="186"/>
      <c r="Q458" s="186"/>
      <c r="R458" s="186"/>
    </row>
    <row r="459" spans="1:18" x14ac:dyDescent="0.25">
      <c r="A459" s="641" t="s">
        <v>417</v>
      </c>
      <c r="B459" s="629">
        <v>0.5</v>
      </c>
      <c r="C459" s="641"/>
      <c r="D459" s="641" t="s">
        <v>319</v>
      </c>
      <c r="E459" s="641" t="s">
        <v>319</v>
      </c>
      <c r="F459" s="641" t="s">
        <v>319</v>
      </c>
      <c r="G459" s="641" t="s">
        <v>418</v>
      </c>
      <c r="H459" s="575" t="s">
        <v>325</v>
      </c>
      <c r="I459" s="575" t="s">
        <v>440</v>
      </c>
      <c r="J459" s="641"/>
      <c r="K459" s="641"/>
      <c r="L459" s="641"/>
      <c r="M459" s="641"/>
      <c r="N459" s="641"/>
      <c r="O459" s="641"/>
      <c r="P459" s="186"/>
      <c r="Q459" s="186"/>
      <c r="R459" s="186"/>
    </row>
    <row r="460" spans="1:18" x14ac:dyDescent="0.25">
      <c r="A460" s="641" t="s">
        <v>417</v>
      </c>
      <c r="B460" s="629">
        <v>0.5</v>
      </c>
      <c r="C460" s="641"/>
      <c r="D460" s="641" t="s">
        <v>319</v>
      </c>
      <c r="E460" s="641" t="s">
        <v>319</v>
      </c>
      <c r="F460" s="641" t="s">
        <v>319</v>
      </c>
      <c r="G460" s="641" t="s">
        <v>418</v>
      </c>
      <c r="H460" s="575" t="s">
        <v>325</v>
      </c>
      <c r="I460" s="575" t="s">
        <v>441</v>
      </c>
      <c r="J460" s="641"/>
      <c r="K460" s="641"/>
      <c r="L460" s="641"/>
      <c r="M460" s="641"/>
      <c r="N460" s="641"/>
      <c r="O460" s="641"/>
      <c r="P460" s="186"/>
      <c r="Q460" s="186"/>
      <c r="R460" s="186"/>
    </row>
    <row r="461" spans="1:18" x14ac:dyDescent="0.25">
      <c r="A461" s="641" t="s">
        <v>417</v>
      </c>
      <c r="B461" s="629">
        <v>0.5</v>
      </c>
      <c r="C461" s="641"/>
      <c r="D461" s="641" t="s">
        <v>319</v>
      </c>
      <c r="E461" s="641" t="s">
        <v>319</v>
      </c>
      <c r="F461" s="641" t="s">
        <v>319</v>
      </c>
      <c r="G461" s="641" t="s">
        <v>418</v>
      </c>
      <c r="H461" s="575" t="s">
        <v>325</v>
      </c>
      <c r="I461" s="575" t="s">
        <v>442</v>
      </c>
      <c r="J461" s="641"/>
      <c r="K461" s="641"/>
      <c r="L461" s="641"/>
      <c r="M461" s="641"/>
      <c r="N461" s="641"/>
      <c r="O461" s="641"/>
      <c r="P461" s="186"/>
      <c r="Q461" s="186"/>
      <c r="R461" s="186"/>
    </row>
    <row r="462" spans="1:18" x14ac:dyDescent="0.25">
      <c r="A462" s="641" t="s">
        <v>417</v>
      </c>
      <c r="B462" s="629">
        <v>0.5</v>
      </c>
      <c r="C462" s="641"/>
      <c r="D462" s="641" t="s">
        <v>319</v>
      </c>
      <c r="E462" s="641" t="s">
        <v>319</v>
      </c>
      <c r="F462" s="641" t="s">
        <v>319</v>
      </c>
      <c r="G462" s="641" t="s">
        <v>418</v>
      </c>
      <c r="H462" s="575" t="s">
        <v>325</v>
      </c>
      <c r="I462" s="575" t="s">
        <v>443</v>
      </c>
      <c r="J462" s="641"/>
      <c r="K462" s="641"/>
      <c r="L462" s="641"/>
      <c r="M462" s="641"/>
      <c r="N462" s="641"/>
      <c r="O462" s="641"/>
      <c r="P462" s="186"/>
      <c r="Q462" s="186"/>
      <c r="R462" s="186"/>
    </row>
    <row r="463" spans="1:18" x14ac:dyDescent="0.25">
      <c r="A463" s="641" t="s">
        <v>417</v>
      </c>
      <c r="B463" s="629">
        <v>0.5</v>
      </c>
      <c r="C463" s="641"/>
      <c r="D463" s="641" t="s">
        <v>319</v>
      </c>
      <c r="E463" s="641" t="s">
        <v>319</v>
      </c>
      <c r="F463" s="641" t="s">
        <v>319</v>
      </c>
      <c r="G463" s="641" t="s">
        <v>418</v>
      </c>
      <c r="H463" s="575" t="s">
        <v>325</v>
      </c>
      <c r="I463" s="575" t="s">
        <v>444</v>
      </c>
      <c r="J463" s="641"/>
      <c r="K463" s="641"/>
      <c r="L463" s="641"/>
      <c r="M463" s="641"/>
      <c r="N463" s="641"/>
      <c r="O463" s="641"/>
      <c r="P463" s="186"/>
      <c r="Q463" s="186"/>
      <c r="R463" s="186"/>
    </row>
    <row r="464" spans="1:18" x14ac:dyDescent="0.25">
      <c r="A464" s="641" t="s">
        <v>417</v>
      </c>
      <c r="B464" s="629">
        <v>0.5</v>
      </c>
      <c r="C464" s="641"/>
      <c r="D464" s="641" t="s">
        <v>319</v>
      </c>
      <c r="E464" s="641" t="s">
        <v>319</v>
      </c>
      <c r="F464" s="641" t="s">
        <v>319</v>
      </c>
      <c r="G464" s="641" t="s">
        <v>418</v>
      </c>
      <c r="H464" s="575" t="s">
        <v>325</v>
      </c>
      <c r="I464" s="575" t="s">
        <v>445</v>
      </c>
      <c r="J464" s="641"/>
      <c r="K464" s="641"/>
      <c r="L464" s="641"/>
      <c r="M464" s="641"/>
      <c r="N464" s="641"/>
      <c r="O464" s="641"/>
      <c r="P464" s="186"/>
      <c r="Q464" s="186"/>
      <c r="R464" s="186"/>
    </row>
    <row r="465" spans="1:18" x14ac:dyDescent="0.25">
      <c r="A465" s="641" t="s">
        <v>417</v>
      </c>
      <c r="B465" s="629">
        <v>0.5</v>
      </c>
      <c r="C465" s="641"/>
      <c r="D465" s="641" t="s">
        <v>319</v>
      </c>
      <c r="E465" s="641" t="s">
        <v>319</v>
      </c>
      <c r="F465" s="641" t="s">
        <v>319</v>
      </c>
      <c r="G465" s="641" t="s">
        <v>418</v>
      </c>
      <c r="H465" s="575" t="s">
        <v>325</v>
      </c>
      <c r="I465" s="575" t="s">
        <v>446</v>
      </c>
      <c r="J465" s="641"/>
      <c r="K465" s="641"/>
      <c r="L465" s="641"/>
      <c r="M465" s="641"/>
      <c r="N465" s="641"/>
      <c r="O465" s="641"/>
      <c r="P465" s="186"/>
      <c r="Q465" s="186"/>
      <c r="R465" s="186"/>
    </row>
    <row r="466" spans="1:18" x14ac:dyDescent="0.25">
      <c r="A466" s="641" t="s">
        <v>417</v>
      </c>
      <c r="B466" s="629">
        <v>0.5</v>
      </c>
      <c r="C466" s="641"/>
      <c r="D466" s="641" t="s">
        <v>319</v>
      </c>
      <c r="E466" s="641" t="s">
        <v>319</v>
      </c>
      <c r="F466" s="641" t="s">
        <v>319</v>
      </c>
      <c r="G466" s="641" t="s">
        <v>418</v>
      </c>
      <c r="H466" s="575" t="s">
        <v>325</v>
      </c>
      <c r="I466" s="575" t="s">
        <v>447</v>
      </c>
      <c r="J466" s="641"/>
      <c r="K466" s="641"/>
      <c r="L466" s="641"/>
      <c r="M466" s="641"/>
      <c r="N466" s="641"/>
      <c r="O466" s="641"/>
      <c r="P466" s="186"/>
      <c r="Q466" s="186"/>
      <c r="R466" s="186"/>
    </row>
    <row r="467" spans="1:18" x14ac:dyDescent="0.25">
      <c r="A467" s="575" t="s">
        <v>448</v>
      </c>
      <c r="B467" s="643">
        <v>3.4550000000000001</v>
      </c>
      <c r="C467" s="575"/>
      <c r="D467" s="575" t="s">
        <v>319</v>
      </c>
      <c r="E467" s="575" t="s">
        <v>319</v>
      </c>
      <c r="F467" s="575" t="s">
        <v>319</v>
      </c>
      <c r="G467" s="575" t="s">
        <v>449</v>
      </c>
      <c r="H467" s="575" t="s">
        <v>325</v>
      </c>
      <c r="I467" s="601" t="s">
        <v>450</v>
      </c>
      <c r="J467" s="186"/>
      <c r="K467" s="186"/>
      <c r="L467" s="186"/>
      <c r="M467" s="186"/>
      <c r="N467" s="186"/>
      <c r="O467" s="186"/>
      <c r="P467" s="186"/>
      <c r="Q467" s="186"/>
      <c r="R467" s="186"/>
    </row>
    <row r="468" spans="1:18" x14ac:dyDescent="0.25">
      <c r="A468" s="575" t="s">
        <v>448</v>
      </c>
      <c r="B468" s="643">
        <v>3.2149999999999999</v>
      </c>
      <c r="C468" s="575"/>
      <c r="D468" s="575" t="s">
        <v>319</v>
      </c>
      <c r="E468" s="575" t="s">
        <v>319</v>
      </c>
      <c r="F468" s="575" t="s">
        <v>319</v>
      </c>
      <c r="G468" s="575" t="s">
        <v>449</v>
      </c>
      <c r="H468" s="575" t="s">
        <v>325</v>
      </c>
      <c r="I468" s="601" t="s">
        <v>451</v>
      </c>
      <c r="J468" s="186"/>
      <c r="K468" s="186"/>
      <c r="L468" s="186"/>
      <c r="M468" s="186"/>
      <c r="N468" s="186"/>
      <c r="O468" s="186"/>
      <c r="P468" s="186"/>
      <c r="Q468" s="186"/>
      <c r="R468" s="186"/>
    </row>
    <row r="469" spans="1:18" x14ac:dyDescent="0.25">
      <c r="A469" s="575" t="s">
        <v>448</v>
      </c>
      <c r="B469" s="643">
        <v>3.0139999999999998</v>
      </c>
      <c r="C469" s="575"/>
      <c r="D469" s="575" t="s">
        <v>319</v>
      </c>
      <c r="E469" s="575" t="s">
        <v>319</v>
      </c>
      <c r="F469" s="575" t="s">
        <v>319</v>
      </c>
      <c r="G469" s="575" t="s">
        <v>449</v>
      </c>
      <c r="H469" s="575" t="s">
        <v>325</v>
      </c>
      <c r="I469" s="601" t="s">
        <v>452</v>
      </c>
      <c r="J469" s="186"/>
      <c r="K469" s="186"/>
      <c r="L469" s="186"/>
      <c r="M469" s="186"/>
      <c r="N469" s="186"/>
      <c r="O469" s="186"/>
      <c r="P469" s="186"/>
      <c r="Q469" s="186"/>
      <c r="R469" s="186"/>
    </row>
    <row r="470" spans="1:18" x14ac:dyDescent="0.25">
      <c r="A470" s="575" t="s">
        <v>448</v>
      </c>
      <c r="B470" s="643">
        <v>2.8620000000000001</v>
      </c>
      <c r="C470" s="575"/>
      <c r="D470" s="575" t="s">
        <v>319</v>
      </c>
      <c r="E470" s="575" t="s">
        <v>319</v>
      </c>
      <c r="F470" s="575" t="s">
        <v>319</v>
      </c>
      <c r="G470" s="575" t="s">
        <v>449</v>
      </c>
      <c r="H470" s="575" t="s">
        <v>325</v>
      </c>
      <c r="I470" s="601" t="s">
        <v>453</v>
      </c>
      <c r="J470" s="186"/>
      <c r="K470" s="186"/>
      <c r="L470" s="186"/>
      <c r="M470" s="186"/>
      <c r="N470" s="186"/>
      <c r="O470" s="186"/>
      <c r="P470" s="186"/>
      <c r="Q470" s="186"/>
      <c r="R470" s="186"/>
    </row>
    <row r="471" spans="1:18" x14ac:dyDescent="0.25">
      <c r="A471" s="575" t="s">
        <v>448</v>
      </c>
      <c r="B471" s="643">
        <v>2.7170000000000001</v>
      </c>
      <c r="C471" s="575"/>
      <c r="D471" s="575" t="s">
        <v>319</v>
      </c>
      <c r="E471" s="575" t="s">
        <v>319</v>
      </c>
      <c r="F471" s="575" t="s">
        <v>319</v>
      </c>
      <c r="G471" s="575" t="s">
        <v>449</v>
      </c>
      <c r="H471" s="575" t="s">
        <v>325</v>
      </c>
      <c r="I471" s="601" t="s">
        <v>454</v>
      </c>
      <c r="J471" s="186"/>
      <c r="K471" s="186"/>
      <c r="L471" s="186"/>
      <c r="M471" s="186"/>
      <c r="N471" s="186"/>
      <c r="O471" s="186"/>
      <c r="P471" s="186"/>
      <c r="Q471" s="186"/>
      <c r="R471" s="186"/>
    </row>
    <row r="472" spans="1:18" x14ac:dyDescent="0.25">
      <c r="A472" s="575" t="s">
        <v>448</v>
      </c>
      <c r="B472" s="643">
        <v>2.5790000000000002</v>
      </c>
      <c r="C472" s="575"/>
      <c r="D472" s="575" t="s">
        <v>319</v>
      </c>
      <c r="E472" s="575" t="s">
        <v>319</v>
      </c>
      <c r="F472" s="575" t="s">
        <v>319</v>
      </c>
      <c r="G472" s="575" t="s">
        <v>449</v>
      </c>
      <c r="H472" s="575" t="s">
        <v>325</v>
      </c>
      <c r="I472" s="601" t="s">
        <v>455</v>
      </c>
      <c r="J472" s="186"/>
      <c r="K472" s="186"/>
      <c r="L472" s="186"/>
      <c r="M472" s="186"/>
      <c r="N472" s="186"/>
      <c r="O472" s="186"/>
      <c r="P472" s="186"/>
      <c r="Q472" s="186"/>
      <c r="R472" s="186"/>
    </row>
    <row r="473" spans="1:18" x14ac:dyDescent="0.25">
      <c r="A473" s="575" t="s">
        <v>448</v>
      </c>
      <c r="B473" s="643">
        <v>2.448</v>
      </c>
      <c r="C473" s="575"/>
      <c r="D473" s="575" t="s">
        <v>319</v>
      </c>
      <c r="E473" s="575" t="s">
        <v>319</v>
      </c>
      <c r="F473" s="575" t="s">
        <v>319</v>
      </c>
      <c r="G473" s="575" t="s">
        <v>449</v>
      </c>
      <c r="H473" s="575" t="s">
        <v>325</v>
      </c>
      <c r="I473" s="601" t="s">
        <v>456</v>
      </c>
      <c r="J473" s="186"/>
      <c r="K473" s="186"/>
      <c r="L473" s="186"/>
      <c r="M473" s="186"/>
      <c r="N473" s="186"/>
      <c r="O473" s="186"/>
      <c r="P473" s="186"/>
      <c r="Q473" s="186"/>
      <c r="R473" s="186"/>
    </row>
    <row r="474" spans="1:18" x14ac:dyDescent="0.25">
      <c r="A474" s="575" t="s">
        <v>448</v>
      </c>
      <c r="B474" s="643">
        <v>2.323</v>
      </c>
      <c r="C474" s="575"/>
      <c r="D474" s="575" t="s">
        <v>319</v>
      </c>
      <c r="E474" s="575" t="s">
        <v>319</v>
      </c>
      <c r="F474" s="575" t="s">
        <v>319</v>
      </c>
      <c r="G474" s="575" t="s">
        <v>449</v>
      </c>
      <c r="H474" s="575" t="s">
        <v>325</v>
      </c>
      <c r="I474" s="601" t="s">
        <v>457</v>
      </c>
      <c r="J474" s="186"/>
      <c r="K474" s="186"/>
      <c r="L474" s="186"/>
      <c r="M474" s="186"/>
      <c r="N474" s="186"/>
      <c r="O474" s="186"/>
      <c r="P474" s="186"/>
      <c r="Q474" s="186"/>
      <c r="R474" s="186"/>
    </row>
    <row r="475" spans="1:18" x14ac:dyDescent="0.25">
      <c r="A475" s="575" t="s">
        <v>448</v>
      </c>
      <c r="B475" s="643">
        <v>2.2040000000000002</v>
      </c>
      <c r="C475" s="575"/>
      <c r="D475" s="575" t="s">
        <v>319</v>
      </c>
      <c r="E475" s="575" t="s">
        <v>319</v>
      </c>
      <c r="F475" s="575" t="s">
        <v>319</v>
      </c>
      <c r="G475" s="575" t="s">
        <v>449</v>
      </c>
      <c r="H475" s="575" t="s">
        <v>325</v>
      </c>
      <c r="I475" s="601" t="s">
        <v>458</v>
      </c>
      <c r="J475" s="186"/>
      <c r="K475" s="186"/>
      <c r="L475" s="186"/>
      <c r="M475" s="186"/>
      <c r="N475" s="186"/>
      <c r="O475" s="186"/>
      <c r="P475" s="186"/>
      <c r="Q475" s="186"/>
      <c r="R475" s="186"/>
    </row>
    <row r="476" spans="1:18" x14ac:dyDescent="0.25">
      <c r="A476" s="575" t="s">
        <v>448</v>
      </c>
      <c r="B476" s="643">
        <v>2.0579999999999998</v>
      </c>
      <c r="C476" s="575"/>
      <c r="D476" s="575" t="s">
        <v>319</v>
      </c>
      <c r="E476" s="575" t="s">
        <v>319</v>
      </c>
      <c r="F476" s="575" t="s">
        <v>319</v>
      </c>
      <c r="G476" s="575" t="s">
        <v>449</v>
      </c>
      <c r="H476" s="575" t="s">
        <v>325</v>
      </c>
      <c r="I476" s="601" t="s">
        <v>459</v>
      </c>
      <c r="J476" s="186"/>
      <c r="K476" s="186"/>
      <c r="L476" s="186"/>
      <c r="M476" s="186"/>
      <c r="N476" s="186"/>
      <c r="O476" s="186"/>
      <c r="P476" s="186"/>
      <c r="Q476" s="186"/>
      <c r="R476" s="186"/>
    </row>
    <row r="477" spans="1:18" x14ac:dyDescent="0.25">
      <c r="A477" s="575" t="s">
        <v>448</v>
      </c>
      <c r="B477" s="643">
        <v>1.875</v>
      </c>
      <c r="C477" s="575"/>
      <c r="D477" s="575" t="s">
        <v>319</v>
      </c>
      <c r="E477" s="575" t="s">
        <v>319</v>
      </c>
      <c r="F477" s="575" t="s">
        <v>319</v>
      </c>
      <c r="G477" s="575" t="s">
        <v>449</v>
      </c>
      <c r="H477" s="575" t="s">
        <v>325</v>
      </c>
      <c r="I477" s="601" t="s">
        <v>460</v>
      </c>
      <c r="J477" s="186"/>
      <c r="K477" s="186"/>
      <c r="L477" s="186"/>
      <c r="M477" s="186"/>
      <c r="N477" s="186"/>
      <c r="O477" s="186"/>
      <c r="P477" s="186"/>
      <c r="Q477" s="186"/>
      <c r="R477" s="186"/>
    </row>
    <row r="478" spans="1:18" x14ac:dyDescent="0.25">
      <c r="A478" s="575" t="s">
        <v>448</v>
      </c>
      <c r="B478" s="643">
        <v>1.6559999999999999</v>
      </c>
      <c r="C478" s="575"/>
      <c r="D478" s="575" t="s">
        <v>319</v>
      </c>
      <c r="E478" s="575" t="s">
        <v>319</v>
      </c>
      <c r="F478" s="575" t="s">
        <v>319</v>
      </c>
      <c r="G478" s="575" t="s">
        <v>449</v>
      </c>
      <c r="H478" s="575" t="s">
        <v>325</v>
      </c>
      <c r="I478" s="601" t="s">
        <v>461</v>
      </c>
      <c r="J478" s="186"/>
      <c r="K478" s="186"/>
      <c r="L478" s="186"/>
      <c r="M478" s="186"/>
      <c r="N478" s="186"/>
      <c r="O478" s="186"/>
      <c r="P478" s="186"/>
      <c r="Q478" s="186"/>
      <c r="R478" s="186"/>
    </row>
    <row r="479" spans="1:18" x14ac:dyDescent="0.25">
      <c r="A479" s="575" t="s">
        <v>448</v>
      </c>
      <c r="B479" s="643">
        <v>1.4</v>
      </c>
      <c r="C479" s="575"/>
      <c r="D479" s="575" t="s">
        <v>319</v>
      </c>
      <c r="E479" s="575" t="s">
        <v>319</v>
      </c>
      <c r="F479" s="575" t="s">
        <v>319</v>
      </c>
      <c r="G479" s="575" t="s">
        <v>449</v>
      </c>
      <c r="H479" s="575" t="s">
        <v>325</v>
      </c>
      <c r="I479" s="601" t="s">
        <v>462</v>
      </c>
      <c r="J479" s="186"/>
      <c r="K479" s="186"/>
      <c r="L479" s="186"/>
      <c r="M479" s="186"/>
      <c r="N479" s="186"/>
      <c r="O479" s="186"/>
      <c r="P479" s="186"/>
      <c r="Q479" s="186"/>
      <c r="R479" s="186"/>
    </row>
    <row r="480" spans="1:18" x14ac:dyDescent="0.25">
      <c r="A480" s="575" t="s">
        <v>448</v>
      </c>
      <c r="B480" s="643">
        <v>1.4</v>
      </c>
      <c r="C480" s="575"/>
      <c r="D480" s="575" t="s">
        <v>319</v>
      </c>
      <c r="E480" s="575" t="s">
        <v>319</v>
      </c>
      <c r="F480" s="575" t="s">
        <v>319</v>
      </c>
      <c r="G480" s="575" t="s">
        <v>449</v>
      </c>
      <c r="H480" s="575" t="s">
        <v>325</v>
      </c>
      <c r="I480" s="601" t="s">
        <v>463</v>
      </c>
      <c r="J480" s="186"/>
      <c r="K480" s="186"/>
      <c r="L480" s="186"/>
      <c r="M480" s="186"/>
      <c r="N480" s="186"/>
      <c r="O480" s="186"/>
      <c r="P480" s="186"/>
      <c r="Q480" s="186"/>
      <c r="R480" s="186"/>
    </row>
    <row r="481" spans="1:18" x14ac:dyDescent="0.25">
      <c r="A481" s="575" t="s">
        <v>448</v>
      </c>
      <c r="B481" s="643">
        <v>1.4</v>
      </c>
      <c r="C481" s="575"/>
      <c r="D481" s="575" t="s">
        <v>319</v>
      </c>
      <c r="E481" s="575" t="s">
        <v>319</v>
      </c>
      <c r="F481" s="575" t="s">
        <v>319</v>
      </c>
      <c r="G481" s="575" t="s">
        <v>449</v>
      </c>
      <c r="H481" s="575" t="s">
        <v>325</v>
      </c>
      <c r="I481" s="601" t="s">
        <v>464</v>
      </c>
      <c r="J481" s="186"/>
      <c r="K481" s="186"/>
      <c r="L481" s="186"/>
      <c r="M481" s="186"/>
      <c r="N481" s="186"/>
      <c r="O481" s="186"/>
      <c r="P481" s="186"/>
      <c r="Q481" s="186"/>
      <c r="R481" s="186"/>
    </row>
    <row r="482" spans="1:18" x14ac:dyDescent="0.25">
      <c r="A482" s="575" t="s">
        <v>448</v>
      </c>
      <c r="B482" s="643">
        <v>1.4</v>
      </c>
      <c r="C482" s="575"/>
      <c r="D482" s="575" t="s">
        <v>319</v>
      </c>
      <c r="E482" s="575" t="s">
        <v>319</v>
      </c>
      <c r="F482" s="575" t="s">
        <v>319</v>
      </c>
      <c r="G482" s="575" t="s">
        <v>449</v>
      </c>
      <c r="H482" s="575" t="s">
        <v>325</v>
      </c>
      <c r="I482" s="601" t="s">
        <v>465</v>
      </c>
      <c r="J482" s="186"/>
      <c r="K482" s="186"/>
      <c r="L482" s="186"/>
      <c r="M482" s="186"/>
      <c r="N482" s="186"/>
      <c r="O482" s="186"/>
      <c r="P482" s="186"/>
      <c r="Q482" s="186"/>
      <c r="R482" s="186"/>
    </row>
    <row r="483" spans="1:18" x14ac:dyDescent="0.25">
      <c r="A483" s="575" t="s">
        <v>448</v>
      </c>
      <c r="B483" s="643">
        <v>1.4</v>
      </c>
      <c r="C483" s="575"/>
      <c r="D483" s="575" t="s">
        <v>319</v>
      </c>
      <c r="E483" s="575" t="s">
        <v>319</v>
      </c>
      <c r="F483" s="575" t="s">
        <v>319</v>
      </c>
      <c r="G483" s="575" t="s">
        <v>449</v>
      </c>
      <c r="H483" s="575" t="s">
        <v>325</v>
      </c>
      <c r="I483" s="601" t="s">
        <v>466</v>
      </c>
      <c r="J483" s="186"/>
      <c r="K483" s="186"/>
      <c r="L483" s="186"/>
      <c r="M483" s="186"/>
      <c r="N483" s="186"/>
      <c r="O483" s="186"/>
      <c r="P483" s="186"/>
      <c r="Q483" s="186"/>
      <c r="R483" s="186"/>
    </row>
    <row r="484" spans="1:18" x14ac:dyDescent="0.25">
      <c r="A484" s="575" t="s">
        <v>448</v>
      </c>
      <c r="B484" s="643">
        <v>1.2250000000000001</v>
      </c>
      <c r="C484" s="575"/>
      <c r="D484" s="575" t="s">
        <v>319</v>
      </c>
      <c r="E484" s="575" t="s">
        <v>319</v>
      </c>
      <c r="F484" s="575" t="s">
        <v>319</v>
      </c>
      <c r="G484" s="575" t="s">
        <v>449</v>
      </c>
      <c r="H484" s="575" t="s">
        <v>325</v>
      </c>
      <c r="I484" s="601" t="s">
        <v>467</v>
      </c>
      <c r="J484" s="186"/>
      <c r="K484" s="186"/>
      <c r="L484" s="186"/>
      <c r="M484" s="186"/>
      <c r="N484" s="186"/>
      <c r="O484" s="186"/>
      <c r="P484" s="186"/>
      <c r="Q484" s="186"/>
      <c r="R484" s="186"/>
    </row>
    <row r="485" spans="1:18" x14ac:dyDescent="0.25">
      <c r="A485" s="575" t="s">
        <v>448</v>
      </c>
      <c r="B485" s="643">
        <v>1.2250000000000001</v>
      </c>
      <c r="C485" s="575"/>
      <c r="D485" s="575" t="s">
        <v>319</v>
      </c>
      <c r="E485" s="575" t="s">
        <v>319</v>
      </c>
      <c r="F485" s="575" t="s">
        <v>319</v>
      </c>
      <c r="G485" s="575" t="s">
        <v>449</v>
      </c>
      <c r="H485" s="575" t="s">
        <v>325</v>
      </c>
      <c r="I485" s="601" t="s">
        <v>468</v>
      </c>
      <c r="J485" s="186"/>
      <c r="K485" s="186"/>
      <c r="L485" s="186"/>
      <c r="M485" s="186"/>
      <c r="N485" s="186"/>
      <c r="O485" s="186"/>
      <c r="P485" s="186"/>
      <c r="Q485" s="186"/>
      <c r="R485" s="186"/>
    </row>
    <row r="486" spans="1:18" x14ac:dyDescent="0.25">
      <c r="A486" s="575" t="s">
        <v>448</v>
      </c>
      <c r="B486" s="643">
        <v>1.2250000000000001</v>
      </c>
      <c r="C486" s="575"/>
      <c r="D486" s="575" t="s">
        <v>319</v>
      </c>
      <c r="E486" s="575" t="s">
        <v>319</v>
      </c>
      <c r="F486" s="575" t="s">
        <v>319</v>
      </c>
      <c r="G486" s="575" t="s">
        <v>449</v>
      </c>
      <c r="H486" s="575" t="s">
        <v>325</v>
      </c>
      <c r="I486" s="601" t="s">
        <v>469</v>
      </c>
      <c r="J486" s="186"/>
      <c r="K486" s="186"/>
      <c r="L486" s="186"/>
      <c r="M486" s="186"/>
      <c r="N486" s="186"/>
      <c r="O486" s="186"/>
      <c r="P486" s="186"/>
      <c r="Q486" s="186"/>
      <c r="R486" s="186"/>
    </row>
    <row r="487" spans="1:18" x14ac:dyDescent="0.25">
      <c r="A487" s="575" t="s">
        <v>448</v>
      </c>
      <c r="B487" s="643">
        <v>1.2250000000000001</v>
      </c>
      <c r="C487" s="575"/>
      <c r="D487" s="575" t="s">
        <v>319</v>
      </c>
      <c r="E487" s="575" t="s">
        <v>319</v>
      </c>
      <c r="F487" s="575" t="s">
        <v>319</v>
      </c>
      <c r="G487" s="575" t="s">
        <v>449</v>
      </c>
      <c r="H487" s="575" t="s">
        <v>325</v>
      </c>
      <c r="I487" s="601" t="s">
        <v>470</v>
      </c>
      <c r="J487" s="186"/>
      <c r="K487" s="186"/>
      <c r="L487" s="186"/>
      <c r="M487" s="186"/>
      <c r="N487" s="186"/>
      <c r="O487" s="186"/>
      <c r="P487" s="186"/>
      <c r="Q487" s="186"/>
      <c r="R487" s="186"/>
    </row>
    <row r="488" spans="1:18" x14ac:dyDescent="0.25">
      <c r="A488" s="575" t="s">
        <v>448</v>
      </c>
      <c r="B488" s="643">
        <v>1.2250000000000001</v>
      </c>
      <c r="C488" s="575"/>
      <c r="D488" s="575" t="s">
        <v>319</v>
      </c>
      <c r="E488" s="575" t="s">
        <v>319</v>
      </c>
      <c r="F488" s="575" t="s">
        <v>319</v>
      </c>
      <c r="G488" s="575" t="s">
        <v>449</v>
      </c>
      <c r="H488" s="575" t="s">
        <v>325</v>
      </c>
      <c r="I488" s="601" t="s">
        <v>471</v>
      </c>
      <c r="J488" s="186"/>
      <c r="K488" s="186"/>
      <c r="L488" s="186"/>
      <c r="M488" s="186"/>
      <c r="N488" s="186"/>
      <c r="O488" s="186"/>
      <c r="P488" s="186"/>
      <c r="Q488" s="186"/>
      <c r="R488" s="186"/>
    </row>
    <row r="489" spans="1:18" x14ac:dyDescent="0.25">
      <c r="A489" s="575" t="s">
        <v>448</v>
      </c>
      <c r="B489" s="643">
        <v>1.1000000000000001</v>
      </c>
      <c r="C489" s="575"/>
      <c r="D489" s="575" t="s">
        <v>319</v>
      </c>
      <c r="E489" s="575" t="s">
        <v>319</v>
      </c>
      <c r="F489" s="575" t="s">
        <v>319</v>
      </c>
      <c r="G489" s="575" t="s">
        <v>449</v>
      </c>
      <c r="H489" s="575" t="s">
        <v>325</v>
      </c>
      <c r="I489" s="601" t="s">
        <v>472</v>
      </c>
      <c r="J489" s="186"/>
      <c r="K489" s="186"/>
      <c r="L489" s="186"/>
      <c r="M489" s="186"/>
      <c r="N489" s="186"/>
      <c r="O489" s="186"/>
      <c r="P489" s="186"/>
      <c r="Q489" s="186"/>
      <c r="R489" s="186"/>
    </row>
    <row r="490" spans="1:18" x14ac:dyDescent="0.25">
      <c r="A490" s="575" t="s">
        <v>448</v>
      </c>
      <c r="B490" s="643">
        <v>1.1000000000000001</v>
      </c>
      <c r="C490" s="575"/>
      <c r="D490" s="575" t="s">
        <v>319</v>
      </c>
      <c r="E490" s="575" t="s">
        <v>319</v>
      </c>
      <c r="F490" s="575" t="s">
        <v>319</v>
      </c>
      <c r="G490" s="575" t="s">
        <v>449</v>
      </c>
      <c r="H490" s="575" t="s">
        <v>325</v>
      </c>
      <c r="I490" s="601" t="s">
        <v>473</v>
      </c>
      <c r="J490" s="186"/>
      <c r="K490" s="186"/>
      <c r="L490" s="186"/>
      <c r="M490" s="186"/>
      <c r="N490" s="186"/>
      <c r="O490" s="186"/>
      <c r="P490" s="186"/>
      <c r="Q490" s="186"/>
      <c r="R490" s="186"/>
    </row>
    <row r="491" spans="1:18" x14ac:dyDescent="0.25">
      <c r="A491" s="575" t="s">
        <v>448</v>
      </c>
      <c r="B491" s="643">
        <v>1.1000000000000001</v>
      </c>
      <c r="C491" s="575"/>
      <c r="D491" s="575" t="s">
        <v>319</v>
      </c>
      <c r="E491" s="575" t="s">
        <v>319</v>
      </c>
      <c r="F491" s="575" t="s">
        <v>319</v>
      </c>
      <c r="G491" s="575" t="s">
        <v>449</v>
      </c>
      <c r="H491" s="575" t="s">
        <v>325</v>
      </c>
      <c r="I491" s="601" t="s">
        <v>474</v>
      </c>
      <c r="J491" s="186"/>
      <c r="K491" s="186"/>
      <c r="L491" s="186"/>
      <c r="M491" s="186"/>
      <c r="N491" s="186"/>
      <c r="O491" s="186"/>
      <c r="P491" s="186"/>
      <c r="Q491" s="186"/>
      <c r="R491" s="186"/>
    </row>
    <row r="492" spans="1:18" x14ac:dyDescent="0.25">
      <c r="A492" s="575" t="s">
        <v>448</v>
      </c>
      <c r="B492" s="643">
        <v>1.1000000000000001</v>
      </c>
      <c r="C492" s="575"/>
      <c r="D492" s="575" t="s">
        <v>319</v>
      </c>
      <c r="E492" s="575" t="s">
        <v>319</v>
      </c>
      <c r="F492" s="575" t="s">
        <v>319</v>
      </c>
      <c r="G492" s="575" t="s">
        <v>449</v>
      </c>
      <c r="H492" s="575" t="s">
        <v>325</v>
      </c>
      <c r="I492" s="601" t="s">
        <v>475</v>
      </c>
      <c r="J492" s="186"/>
      <c r="K492" s="186"/>
      <c r="L492" s="186"/>
      <c r="M492" s="186"/>
      <c r="N492" s="186"/>
      <c r="O492" s="186"/>
      <c r="P492" s="186"/>
      <c r="Q492" s="186"/>
      <c r="R492" s="186"/>
    </row>
    <row r="493" spans="1:18" x14ac:dyDescent="0.25">
      <c r="A493" s="575" t="s">
        <v>448</v>
      </c>
      <c r="B493" s="643">
        <v>1.1000000000000001</v>
      </c>
      <c r="C493" s="575"/>
      <c r="D493" s="575" t="s">
        <v>319</v>
      </c>
      <c r="E493" s="575" t="s">
        <v>319</v>
      </c>
      <c r="F493" s="575" t="s">
        <v>319</v>
      </c>
      <c r="G493" s="575" t="s">
        <v>449</v>
      </c>
      <c r="H493" s="575" t="s">
        <v>325</v>
      </c>
      <c r="I493" s="601" t="s">
        <v>476</v>
      </c>
      <c r="J493" s="186"/>
      <c r="K493" s="186"/>
      <c r="L493" s="186"/>
      <c r="M493" s="186"/>
      <c r="N493" s="186"/>
      <c r="O493" s="186"/>
      <c r="P493" s="186"/>
      <c r="Q493" s="186"/>
      <c r="R493" s="186"/>
    </row>
    <row r="494" spans="1:18" x14ac:dyDescent="0.25">
      <c r="A494" s="575" t="s">
        <v>448</v>
      </c>
      <c r="B494" s="643">
        <v>1.05</v>
      </c>
      <c r="C494" s="575"/>
      <c r="D494" s="575" t="s">
        <v>319</v>
      </c>
      <c r="E494" s="575" t="s">
        <v>319</v>
      </c>
      <c r="F494" s="575" t="s">
        <v>319</v>
      </c>
      <c r="G494" s="575" t="s">
        <v>449</v>
      </c>
      <c r="H494" s="575" t="s">
        <v>325</v>
      </c>
      <c r="I494" s="601" t="s">
        <v>477</v>
      </c>
      <c r="J494" s="186"/>
      <c r="K494" s="186"/>
      <c r="L494" s="186"/>
      <c r="M494" s="186"/>
      <c r="N494" s="186"/>
      <c r="O494" s="186"/>
      <c r="P494" s="186"/>
      <c r="Q494" s="186"/>
      <c r="R494" s="186"/>
    </row>
    <row r="495" spans="1:18" x14ac:dyDescent="0.25">
      <c r="A495" s="575" t="s">
        <v>448</v>
      </c>
      <c r="B495" s="643">
        <v>1.05</v>
      </c>
      <c r="C495" s="575"/>
      <c r="D495" s="575" t="s">
        <v>319</v>
      </c>
      <c r="E495" s="575" t="s">
        <v>319</v>
      </c>
      <c r="F495" s="575" t="s">
        <v>319</v>
      </c>
      <c r="G495" s="575" t="s">
        <v>449</v>
      </c>
      <c r="H495" s="575" t="s">
        <v>325</v>
      </c>
      <c r="I495" s="601" t="s">
        <v>478</v>
      </c>
      <c r="J495" s="186"/>
      <c r="K495" s="186"/>
      <c r="L495" s="186"/>
      <c r="M495" s="186"/>
      <c r="N495" s="186"/>
      <c r="O495" s="186"/>
      <c r="P495" s="186"/>
      <c r="Q495" s="186"/>
      <c r="R495" s="186"/>
    </row>
    <row r="496" spans="1:18" x14ac:dyDescent="0.25">
      <c r="A496" s="575" t="s">
        <v>448</v>
      </c>
      <c r="B496" s="643">
        <v>1.05</v>
      </c>
      <c r="C496" s="575"/>
      <c r="D496" s="575" t="s">
        <v>319</v>
      </c>
      <c r="E496" s="575" t="s">
        <v>319</v>
      </c>
      <c r="F496" s="575" t="s">
        <v>319</v>
      </c>
      <c r="G496" s="575" t="s">
        <v>449</v>
      </c>
      <c r="H496" s="575" t="s">
        <v>325</v>
      </c>
      <c r="I496" s="601" t="s">
        <v>479</v>
      </c>
      <c r="J496" s="186"/>
      <c r="K496" s="186"/>
      <c r="L496" s="186"/>
      <c r="M496" s="186"/>
      <c r="N496" s="186"/>
      <c r="O496" s="186"/>
      <c r="P496" s="186"/>
      <c r="Q496" s="186"/>
      <c r="R496" s="186"/>
    </row>
    <row r="497" spans="1:18" x14ac:dyDescent="0.25">
      <c r="A497" s="575" t="s">
        <v>448</v>
      </c>
      <c r="B497" s="643">
        <v>1.05</v>
      </c>
      <c r="C497" s="575"/>
      <c r="D497" s="575" t="s">
        <v>319</v>
      </c>
      <c r="E497" s="575" t="s">
        <v>319</v>
      </c>
      <c r="F497" s="575" t="s">
        <v>319</v>
      </c>
      <c r="G497" s="575" t="s">
        <v>449</v>
      </c>
      <c r="H497" s="575" t="s">
        <v>325</v>
      </c>
      <c r="I497" s="601" t="s">
        <v>480</v>
      </c>
      <c r="J497" s="186"/>
      <c r="K497" s="186"/>
      <c r="L497" s="186"/>
      <c r="M497" s="186"/>
      <c r="N497" s="186"/>
      <c r="O497" s="186"/>
      <c r="P497" s="186"/>
      <c r="Q497" s="186"/>
      <c r="R497" s="186"/>
    </row>
    <row r="498" spans="1:18" x14ac:dyDescent="0.25">
      <c r="A498" s="575" t="s">
        <v>448</v>
      </c>
      <c r="B498" s="643">
        <v>1.05</v>
      </c>
      <c r="C498" s="575"/>
      <c r="D498" s="575" t="s">
        <v>319</v>
      </c>
      <c r="E498" s="575" t="s">
        <v>319</v>
      </c>
      <c r="F498" s="575" t="s">
        <v>319</v>
      </c>
      <c r="G498" s="575" t="s">
        <v>449</v>
      </c>
      <c r="H498" s="575" t="s">
        <v>325</v>
      </c>
      <c r="I498" s="601" t="s">
        <v>481</v>
      </c>
      <c r="J498" s="186"/>
      <c r="K498" s="186"/>
      <c r="L498" s="186"/>
      <c r="M498" s="186"/>
      <c r="N498" s="186"/>
      <c r="O498" s="186"/>
      <c r="P498" s="186"/>
      <c r="Q498" s="186"/>
      <c r="R498" s="186"/>
    </row>
    <row r="499" spans="1:18" x14ac:dyDescent="0.25">
      <c r="A499" s="575" t="s">
        <v>448</v>
      </c>
      <c r="B499" s="643">
        <v>1</v>
      </c>
      <c r="C499" s="575"/>
      <c r="D499" s="575" t="s">
        <v>319</v>
      </c>
      <c r="E499" s="575" t="s">
        <v>319</v>
      </c>
      <c r="F499" s="575" t="s">
        <v>319</v>
      </c>
      <c r="G499" s="575" t="s">
        <v>449</v>
      </c>
      <c r="H499" s="575" t="s">
        <v>325</v>
      </c>
      <c r="I499" s="601" t="s">
        <v>482</v>
      </c>
      <c r="J499" s="186"/>
      <c r="K499" s="186"/>
      <c r="L499" s="186"/>
      <c r="M499" s="186"/>
      <c r="N499" s="186"/>
      <c r="O499" s="186"/>
      <c r="P499" s="186"/>
      <c r="Q499" s="186"/>
      <c r="R499" s="186"/>
    </row>
    <row r="500" spans="1:18" x14ac:dyDescent="0.25">
      <c r="A500" s="575" t="s">
        <v>448</v>
      </c>
      <c r="B500" s="643">
        <v>1</v>
      </c>
      <c r="C500" s="575"/>
      <c r="D500" s="575" t="s">
        <v>319</v>
      </c>
      <c r="E500" s="575" t="s">
        <v>319</v>
      </c>
      <c r="F500" s="575" t="s">
        <v>319</v>
      </c>
      <c r="G500" s="575" t="s">
        <v>449</v>
      </c>
      <c r="H500" s="575" t="s">
        <v>325</v>
      </c>
      <c r="I500" s="601" t="s">
        <v>483</v>
      </c>
      <c r="J500" s="186"/>
      <c r="K500" s="186"/>
      <c r="L500" s="186"/>
      <c r="M500" s="186"/>
      <c r="N500" s="186"/>
      <c r="O500" s="186"/>
      <c r="P500" s="186"/>
      <c r="Q500" s="186"/>
      <c r="R500" s="186"/>
    </row>
    <row r="501" spans="1:18" x14ac:dyDescent="0.25">
      <c r="A501" s="575" t="s">
        <v>448</v>
      </c>
      <c r="B501" s="643">
        <v>1</v>
      </c>
      <c r="C501" s="575"/>
      <c r="D501" s="575" t="s">
        <v>319</v>
      </c>
      <c r="E501" s="575" t="s">
        <v>319</v>
      </c>
      <c r="F501" s="575" t="s">
        <v>319</v>
      </c>
      <c r="G501" s="575" t="s">
        <v>449</v>
      </c>
      <c r="H501" s="575" t="s">
        <v>325</v>
      </c>
      <c r="I501" s="601" t="s">
        <v>484</v>
      </c>
      <c r="J501" s="186"/>
      <c r="K501" s="186"/>
      <c r="L501" s="186"/>
      <c r="M501" s="186"/>
      <c r="N501" s="186"/>
      <c r="O501" s="186"/>
      <c r="P501" s="186"/>
      <c r="Q501" s="186"/>
      <c r="R501" s="186"/>
    </row>
    <row r="502" spans="1:18" x14ac:dyDescent="0.25">
      <c r="A502" s="575" t="s">
        <v>448</v>
      </c>
      <c r="B502" s="643">
        <v>1</v>
      </c>
      <c r="C502" s="575"/>
      <c r="D502" s="575" t="s">
        <v>319</v>
      </c>
      <c r="E502" s="575" t="s">
        <v>319</v>
      </c>
      <c r="F502" s="575" t="s">
        <v>319</v>
      </c>
      <c r="G502" s="575" t="s">
        <v>449</v>
      </c>
      <c r="H502" s="575" t="s">
        <v>325</v>
      </c>
      <c r="I502" s="601" t="s">
        <v>485</v>
      </c>
      <c r="J502" s="186"/>
      <c r="K502" s="186"/>
      <c r="L502" s="186"/>
      <c r="M502" s="186"/>
      <c r="N502" s="186"/>
      <c r="O502" s="186"/>
      <c r="P502" s="186"/>
      <c r="Q502" s="186"/>
      <c r="R502" s="186"/>
    </row>
    <row r="503" spans="1:18" x14ac:dyDescent="0.25">
      <c r="A503" s="575" t="s">
        <v>448</v>
      </c>
      <c r="B503" s="643">
        <v>1</v>
      </c>
      <c r="C503" s="575"/>
      <c r="D503" s="575" t="s">
        <v>319</v>
      </c>
      <c r="E503" s="575" t="s">
        <v>319</v>
      </c>
      <c r="F503" s="575" t="s">
        <v>319</v>
      </c>
      <c r="G503" s="575" t="s">
        <v>449</v>
      </c>
      <c r="H503" s="575" t="s">
        <v>325</v>
      </c>
      <c r="I503" s="601" t="s">
        <v>486</v>
      </c>
      <c r="J503" s="186"/>
      <c r="K503" s="186"/>
      <c r="L503" s="186"/>
      <c r="M503" s="186"/>
      <c r="N503" s="186"/>
      <c r="O503" s="186"/>
      <c r="P503" s="186"/>
      <c r="Q503" s="186"/>
      <c r="R503" s="186"/>
    </row>
    <row r="504" spans="1:18" x14ac:dyDescent="0.25">
      <c r="A504" s="575" t="s">
        <v>448</v>
      </c>
      <c r="B504" s="643">
        <v>1</v>
      </c>
      <c r="C504" s="575"/>
      <c r="D504" s="575" t="s">
        <v>319</v>
      </c>
      <c r="E504" s="575" t="s">
        <v>319</v>
      </c>
      <c r="F504" s="575" t="s">
        <v>319</v>
      </c>
      <c r="G504" s="575" t="s">
        <v>449</v>
      </c>
      <c r="H504" s="575" t="s">
        <v>325</v>
      </c>
      <c r="I504" s="601" t="s">
        <v>487</v>
      </c>
      <c r="J504" s="186"/>
      <c r="K504" s="186"/>
      <c r="L504" s="186"/>
      <c r="M504" s="186"/>
      <c r="N504" s="186"/>
      <c r="O504" s="186"/>
      <c r="P504" s="186"/>
      <c r="Q504" s="186"/>
      <c r="R504" s="186"/>
    </row>
    <row r="505" spans="1:18" x14ac:dyDescent="0.25">
      <c r="A505" s="575" t="s">
        <v>448</v>
      </c>
      <c r="B505" s="643">
        <v>1</v>
      </c>
      <c r="C505" s="575"/>
      <c r="D505" s="575" t="s">
        <v>319</v>
      </c>
      <c r="E505" s="575" t="s">
        <v>319</v>
      </c>
      <c r="F505" s="575" t="s">
        <v>319</v>
      </c>
      <c r="G505" s="575" t="s">
        <v>449</v>
      </c>
      <c r="H505" s="575" t="s">
        <v>325</v>
      </c>
      <c r="I505" s="601" t="s">
        <v>488</v>
      </c>
      <c r="J505" s="186"/>
      <c r="K505" s="186"/>
      <c r="L505" s="186"/>
      <c r="M505" s="186"/>
      <c r="N505" s="186"/>
      <c r="O505" s="186"/>
      <c r="P505" s="186"/>
      <c r="Q505" s="186"/>
      <c r="R505" s="186"/>
    </row>
    <row r="506" spans="1:18" x14ac:dyDescent="0.25">
      <c r="A506" s="575" t="s">
        <v>448</v>
      </c>
      <c r="B506" s="643">
        <v>1</v>
      </c>
      <c r="C506" s="575"/>
      <c r="D506" s="575" t="s">
        <v>319</v>
      </c>
      <c r="E506" s="575" t="s">
        <v>319</v>
      </c>
      <c r="F506" s="575" t="s">
        <v>319</v>
      </c>
      <c r="G506" s="575" t="s">
        <v>449</v>
      </c>
      <c r="H506" s="575" t="s">
        <v>325</v>
      </c>
      <c r="I506" s="601" t="s">
        <v>489</v>
      </c>
      <c r="J506" s="186"/>
      <c r="K506" s="186"/>
      <c r="L506" s="186"/>
      <c r="M506" s="186"/>
      <c r="N506" s="186"/>
      <c r="O506" s="186"/>
      <c r="P506" s="186"/>
      <c r="Q506" s="186"/>
      <c r="R506" s="186"/>
    </row>
    <row r="507" spans="1:18" x14ac:dyDescent="0.25">
      <c r="A507" s="575" t="s">
        <v>448</v>
      </c>
      <c r="B507" s="643">
        <v>1</v>
      </c>
      <c r="C507" s="575"/>
      <c r="D507" s="575" t="s">
        <v>319</v>
      </c>
      <c r="E507" s="575" t="s">
        <v>319</v>
      </c>
      <c r="F507" s="575" t="s">
        <v>319</v>
      </c>
      <c r="G507" s="575" t="s">
        <v>449</v>
      </c>
      <c r="H507" s="575" t="s">
        <v>325</v>
      </c>
      <c r="I507" s="601" t="s">
        <v>490</v>
      </c>
      <c r="J507" s="186"/>
      <c r="K507" s="186"/>
      <c r="L507" s="186"/>
      <c r="M507" s="186"/>
      <c r="N507" s="186"/>
      <c r="O507" s="186"/>
      <c r="P507" s="186"/>
      <c r="Q507" s="186"/>
      <c r="R507" s="186"/>
    </row>
    <row r="508" spans="1:18" x14ac:dyDescent="0.25">
      <c r="A508" s="575" t="s">
        <v>448</v>
      </c>
      <c r="B508" s="643">
        <v>1</v>
      </c>
      <c r="C508" s="575"/>
      <c r="D508" s="575" t="s">
        <v>319</v>
      </c>
      <c r="E508" s="575" t="s">
        <v>319</v>
      </c>
      <c r="F508" s="575" t="s">
        <v>319</v>
      </c>
      <c r="G508" s="575" t="s">
        <v>449</v>
      </c>
      <c r="H508" s="575" t="s">
        <v>325</v>
      </c>
      <c r="I508" s="601" t="s">
        <v>491</v>
      </c>
      <c r="J508" s="186"/>
      <c r="K508" s="186"/>
      <c r="L508" s="186"/>
      <c r="M508" s="186"/>
      <c r="N508" s="186"/>
      <c r="O508" s="186"/>
      <c r="P508" s="186"/>
      <c r="Q508" s="186"/>
      <c r="R508" s="186"/>
    </row>
    <row r="509" spans="1:18" x14ac:dyDescent="0.25">
      <c r="A509" s="575" t="s">
        <v>448</v>
      </c>
      <c r="B509" s="643">
        <v>1</v>
      </c>
      <c r="C509" s="575"/>
      <c r="D509" s="575" t="s">
        <v>319</v>
      </c>
      <c r="E509" s="575" t="s">
        <v>319</v>
      </c>
      <c r="F509" s="575" t="s">
        <v>319</v>
      </c>
      <c r="G509" s="575" t="s">
        <v>449</v>
      </c>
      <c r="H509" s="575" t="s">
        <v>325</v>
      </c>
      <c r="I509" s="601" t="s">
        <v>492</v>
      </c>
      <c r="J509" s="186"/>
      <c r="K509" s="186"/>
      <c r="L509" s="186"/>
      <c r="M509" s="186"/>
      <c r="N509" s="186"/>
      <c r="O509" s="186"/>
      <c r="P509" s="186"/>
      <c r="Q509" s="186"/>
      <c r="R509" s="186"/>
    </row>
    <row r="510" spans="1:18" x14ac:dyDescent="0.25">
      <c r="A510" s="575" t="s">
        <v>448</v>
      </c>
      <c r="B510" s="643">
        <v>1</v>
      </c>
      <c r="C510" s="575"/>
      <c r="D510" s="575" t="s">
        <v>319</v>
      </c>
      <c r="E510" s="575" t="s">
        <v>319</v>
      </c>
      <c r="F510" s="575" t="s">
        <v>319</v>
      </c>
      <c r="G510" s="575" t="s">
        <v>449</v>
      </c>
      <c r="H510" s="575" t="s">
        <v>325</v>
      </c>
      <c r="I510" s="601" t="s">
        <v>493</v>
      </c>
      <c r="J510" s="186"/>
      <c r="K510" s="186"/>
      <c r="L510" s="186"/>
      <c r="M510" s="186"/>
      <c r="N510" s="186"/>
      <c r="O510" s="186"/>
      <c r="P510" s="186"/>
      <c r="Q510" s="186"/>
      <c r="R510" s="186"/>
    </row>
    <row r="511" spans="1:18" x14ac:dyDescent="0.25">
      <c r="A511" s="575" t="s">
        <v>448</v>
      </c>
      <c r="B511" s="643">
        <v>1</v>
      </c>
      <c r="C511" s="575"/>
      <c r="D511" s="575" t="s">
        <v>319</v>
      </c>
      <c r="E511" s="575" t="s">
        <v>319</v>
      </c>
      <c r="F511" s="575" t="s">
        <v>319</v>
      </c>
      <c r="G511" s="575" t="s">
        <v>449</v>
      </c>
      <c r="H511" s="575" t="s">
        <v>325</v>
      </c>
      <c r="I511" s="601" t="s">
        <v>494</v>
      </c>
      <c r="J511" s="186"/>
      <c r="K511" s="186"/>
      <c r="L511" s="186"/>
      <c r="M511" s="186"/>
      <c r="N511" s="186"/>
      <c r="O511" s="186"/>
      <c r="P511" s="186"/>
      <c r="Q511" s="186"/>
      <c r="R511" s="186"/>
    </row>
    <row r="512" spans="1:18" x14ac:dyDescent="0.25">
      <c r="A512" s="575" t="s">
        <v>448</v>
      </c>
      <c r="B512" s="643">
        <v>1</v>
      </c>
      <c r="C512" s="575"/>
      <c r="D512" s="575" t="s">
        <v>319</v>
      </c>
      <c r="E512" s="575" t="s">
        <v>319</v>
      </c>
      <c r="F512" s="575" t="s">
        <v>319</v>
      </c>
      <c r="G512" s="575" t="s">
        <v>449</v>
      </c>
      <c r="H512" s="575" t="s">
        <v>325</v>
      </c>
      <c r="I512" s="601" t="s">
        <v>495</v>
      </c>
      <c r="J512" s="186"/>
      <c r="K512" s="186"/>
      <c r="L512" s="186"/>
      <c r="M512" s="186"/>
      <c r="N512" s="186"/>
      <c r="O512" s="186"/>
      <c r="P512" s="186"/>
      <c r="Q512" s="186"/>
      <c r="R512" s="186"/>
    </row>
    <row r="513" spans="1:18" x14ac:dyDescent="0.25">
      <c r="A513" s="575" t="s">
        <v>448</v>
      </c>
      <c r="B513" s="643">
        <v>1</v>
      </c>
      <c r="C513" s="575"/>
      <c r="D513" s="575" t="s">
        <v>319</v>
      </c>
      <c r="E513" s="575" t="s">
        <v>319</v>
      </c>
      <c r="F513" s="575" t="s">
        <v>319</v>
      </c>
      <c r="G513" s="575" t="s">
        <v>449</v>
      </c>
      <c r="H513" s="575" t="s">
        <v>325</v>
      </c>
      <c r="I513" s="601" t="s">
        <v>496</v>
      </c>
      <c r="J513" s="186"/>
      <c r="K513" s="186"/>
      <c r="L513" s="186"/>
      <c r="M513" s="186"/>
      <c r="N513" s="186"/>
      <c r="O513" s="186"/>
      <c r="P513" s="186"/>
      <c r="Q513" s="186"/>
      <c r="R513" s="186"/>
    </row>
    <row r="514" spans="1:18" x14ac:dyDescent="0.25">
      <c r="A514" s="575" t="s">
        <v>448</v>
      </c>
      <c r="B514" s="643">
        <v>1</v>
      </c>
      <c r="C514" s="575"/>
      <c r="D514" s="575" t="s">
        <v>319</v>
      </c>
      <c r="E514" s="575" t="s">
        <v>319</v>
      </c>
      <c r="F514" s="575" t="s">
        <v>319</v>
      </c>
      <c r="G514" s="575" t="s">
        <v>449</v>
      </c>
      <c r="H514" s="575" t="s">
        <v>325</v>
      </c>
      <c r="I514" s="601" t="s">
        <v>497</v>
      </c>
      <c r="J514" s="186"/>
      <c r="K514" s="186"/>
      <c r="L514" s="186"/>
      <c r="M514" s="186"/>
      <c r="N514" s="186"/>
      <c r="O514" s="186"/>
      <c r="P514" s="186"/>
      <c r="Q514" s="186"/>
      <c r="R514" s="186"/>
    </row>
    <row r="515" spans="1:18" x14ac:dyDescent="0.25">
      <c r="A515" s="575" t="s">
        <v>448</v>
      </c>
      <c r="B515" s="643">
        <v>1</v>
      </c>
      <c r="C515" s="575"/>
      <c r="D515" s="575" t="s">
        <v>319</v>
      </c>
      <c r="E515" s="575" t="s">
        <v>319</v>
      </c>
      <c r="F515" s="575" t="s">
        <v>319</v>
      </c>
      <c r="G515" s="575" t="s">
        <v>449</v>
      </c>
      <c r="H515" s="575" t="s">
        <v>325</v>
      </c>
      <c r="I515" s="601" t="s">
        <v>498</v>
      </c>
      <c r="J515" s="186"/>
      <c r="K515" s="186"/>
      <c r="L515" s="186"/>
      <c r="M515" s="186"/>
      <c r="N515" s="186"/>
      <c r="O515" s="186"/>
      <c r="P515" s="186"/>
      <c r="Q515" s="186"/>
      <c r="R515" s="186"/>
    </row>
    <row r="516" spans="1:18" x14ac:dyDescent="0.25">
      <c r="A516" s="575" t="s">
        <v>448</v>
      </c>
      <c r="B516" s="643">
        <v>1</v>
      </c>
      <c r="C516" s="575"/>
      <c r="D516" s="575" t="s">
        <v>319</v>
      </c>
      <c r="E516" s="575" t="s">
        <v>319</v>
      </c>
      <c r="F516" s="575" t="s">
        <v>319</v>
      </c>
      <c r="G516" s="575" t="s">
        <v>449</v>
      </c>
      <c r="H516" s="575" t="s">
        <v>325</v>
      </c>
      <c r="I516" s="601" t="s">
        <v>499</v>
      </c>
      <c r="J516" s="186"/>
      <c r="K516" s="186"/>
      <c r="L516" s="186"/>
      <c r="M516" s="186"/>
      <c r="N516" s="186"/>
      <c r="O516" s="186"/>
      <c r="P516" s="186"/>
      <c r="Q516" s="186"/>
      <c r="R516" s="186"/>
    </row>
    <row r="517" spans="1:18" x14ac:dyDescent="0.25">
      <c r="A517" s="575" t="s">
        <v>448</v>
      </c>
      <c r="B517" s="643">
        <v>1</v>
      </c>
      <c r="C517" s="575"/>
      <c r="D517" s="575" t="s">
        <v>319</v>
      </c>
      <c r="E517" s="575" t="s">
        <v>319</v>
      </c>
      <c r="F517" s="575" t="s">
        <v>319</v>
      </c>
      <c r="G517" s="575" t="s">
        <v>449</v>
      </c>
      <c r="H517" s="575" t="s">
        <v>325</v>
      </c>
      <c r="I517" s="601" t="s">
        <v>500</v>
      </c>
      <c r="J517" s="186"/>
      <c r="K517" s="186"/>
      <c r="L517" s="186"/>
      <c r="M517" s="186"/>
      <c r="N517" s="186"/>
      <c r="O517" s="186"/>
      <c r="P517" s="186"/>
      <c r="Q517" s="186"/>
      <c r="R517" s="186"/>
    </row>
    <row r="518" spans="1:18" x14ac:dyDescent="0.25">
      <c r="A518" s="575" t="s">
        <v>448</v>
      </c>
      <c r="B518" s="643">
        <v>1</v>
      </c>
      <c r="C518" s="575"/>
      <c r="D518" s="575" t="s">
        <v>319</v>
      </c>
      <c r="E518" s="575" t="s">
        <v>319</v>
      </c>
      <c r="F518" s="575" t="s">
        <v>319</v>
      </c>
      <c r="G518" s="575" t="s">
        <v>449</v>
      </c>
      <c r="H518" s="575" t="s">
        <v>325</v>
      </c>
      <c r="I518" s="601" t="s">
        <v>501</v>
      </c>
      <c r="J518" s="186"/>
      <c r="K518" s="186"/>
      <c r="L518" s="186"/>
      <c r="M518" s="186"/>
      <c r="N518" s="186"/>
      <c r="O518" s="186"/>
      <c r="P518" s="186"/>
      <c r="Q518" s="186"/>
      <c r="R518" s="186"/>
    </row>
    <row r="519" spans="1:18" x14ac:dyDescent="0.25">
      <c r="A519" s="575" t="s">
        <v>448</v>
      </c>
      <c r="B519" s="643">
        <v>1</v>
      </c>
      <c r="C519" s="575"/>
      <c r="D519" s="575" t="s">
        <v>319</v>
      </c>
      <c r="E519" s="575" t="s">
        <v>319</v>
      </c>
      <c r="F519" s="575" t="s">
        <v>319</v>
      </c>
      <c r="G519" s="575" t="s">
        <v>449</v>
      </c>
      <c r="H519" s="575" t="s">
        <v>325</v>
      </c>
      <c r="I519" s="601" t="s">
        <v>502</v>
      </c>
      <c r="J519" s="186"/>
      <c r="K519" s="186"/>
      <c r="L519" s="186"/>
      <c r="M519" s="186"/>
      <c r="N519" s="186"/>
      <c r="O519" s="186"/>
      <c r="P519" s="186"/>
      <c r="Q519" s="186"/>
      <c r="R519" s="186"/>
    </row>
    <row r="520" spans="1:18" x14ac:dyDescent="0.25">
      <c r="A520" s="575" t="s">
        <v>448</v>
      </c>
      <c r="B520" s="643">
        <v>1</v>
      </c>
      <c r="C520" s="575"/>
      <c r="D520" s="575" t="s">
        <v>319</v>
      </c>
      <c r="E520" s="575" t="s">
        <v>319</v>
      </c>
      <c r="F520" s="575" t="s">
        <v>319</v>
      </c>
      <c r="G520" s="575" t="s">
        <v>449</v>
      </c>
      <c r="H520" s="575" t="s">
        <v>325</v>
      </c>
      <c r="I520" s="601" t="s">
        <v>503</v>
      </c>
      <c r="J520" s="186"/>
      <c r="K520" s="186"/>
      <c r="L520" s="186"/>
      <c r="M520" s="186"/>
      <c r="N520" s="186"/>
      <c r="O520" s="186"/>
      <c r="P520" s="186"/>
      <c r="Q520" s="186"/>
      <c r="R520" s="186"/>
    </row>
    <row r="521" spans="1:18" x14ac:dyDescent="0.25">
      <c r="A521" s="575" t="s">
        <v>448</v>
      </c>
      <c r="B521" s="643">
        <v>1</v>
      </c>
      <c r="C521" s="575"/>
      <c r="D521" s="575" t="s">
        <v>319</v>
      </c>
      <c r="E521" s="575" t="s">
        <v>319</v>
      </c>
      <c r="F521" s="575" t="s">
        <v>319</v>
      </c>
      <c r="G521" s="575" t="s">
        <v>449</v>
      </c>
      <c r="H521" s="575" t="s">
        <v>325</v>
      </c>
      <c r="I521" s="601" t="s">
        <v>504</v>
      </c>
      <c r="J521" s="186"/>
      <c r="K521" s="186"/>
      <c r="L521" s="186"/>
      <c r="M521" s="186"/>
      <c r="N521" s="186"/>
      <c r="O521" s="186"/>
      <c r="P521" s="186"/>
      <c r="Q521" s="186"/>
      <c r="R521" s="186"/>
    </row>
    <row r="522" spans="1:18" x14ac:dyDescent="0.25">
      <c r="A522" s="186" t="s">
        <v>505</v>
      </c>
      <c r="B522" s="637">
        <v>1.6</v>
      </c>
      <c r="C522" s="186"/>
      <c r="D522" s="186" t="s">
        <v>319</v>
      </c>
      <c r="E522" s="186" t="s">
        <v>319</v>
      </c>
      <c r="F522" s="186" t="s">
        <v>319</v>
      </c>
      <c r="G522" s="186" t="s">
        <v>505</v>
      </c>
      <c r="H522" s="186" t="s">
        <v>322</v>
      </c>
      <c r="I522" s="186" t="s">
        <v>868</v>
      </c>
      <c r="J522" s="186"/>
      <c r="K522" s="186"/>
      <c r="L522" s="186"/>
      <c r="M522" s="186"/>
      <c r="N522" s="186"/>
      <c r="O522" s="186"/>
      <c r="P522" s="186"/>
      <c r="Q522" s="186"/>
      <c r="R522" s="186"/>
    </row>
    <row r="523" spans="1:18" x14ac:dyDescent="0.25">
      <c r="A523" s="186" t="s">
        <v>505</v>
      </c>
      <c r="B523" s="637">
        <v>1.6</v>
      </c>
      <c r="C523" s="186"/>
      <c r="D523" s="186" t="s">
        <v>319</v>
      </c>
      <c r="E523" s="186" t="s">
        <v>319</v>
      </c>
      <c r="F523" s="186" t="s">
        <v>319</v>
      </c>
      <c r="G523" s="186" t="s">
        <v>505</v>
      </c>
      <c r="H523" s="186" t="s">
        <v>322</v>
      </c>
      <c r="I523" s="186" t="s">
        <v>507</v>
      </c>
      <c r="J523" s="186"/>
      <c r="K523" s="186"/>
      <c r="L523" s="186"/>
      <c r="M523" s="186"/>
      <c r="N523" s="186"/>
      <c r="O523" s="186"/>
      <c r="P523" s="186"/>
      <c r="Q523" s="186"/>
      <c r="R523" s="186"/>
    </row>
    <row r="524" spans="1:18" x14ac:dyDescent="0.25">
      <c r="A524" s="638" t="s">
        <v>505</v>
      </c>
      <c r="B524" s="637">
        <v>1.4</v>
      </c>
      <c r="C524" s="638"/>
      <c r="D524" s="638" t="s">
        <v>319</v>
      </c>
      <c r="E524" s="638" t="s">
        <v>319</v>
      </c>
      <c r="F524" s="638" t="s">
        <v>319</v>
      </c>
      <c r="G524" s="638" t="s">
        <v>505</v>
      </c>
      <c r="H524" s="638" t="s">
        <v>322</v>
      </c>
      <c r="I524" s="601" t="s">
        <v>509</v>
      </c>
      <c r="J524" s="186"/>
      <c r="K524" s="186"/>
      <c r="L524" s="186"/>
      <c r="M524" s="186"/>
      <c r="N524" s="186"/>
      <c r="O524" s="186"/>
      <c r="P524" s="186"/>
      <c r="Q524" s="186"/>
      <c r="R524" s="186"/>
    </row>
    <row r="525" spans="1:18" x14ac:dyDescent="0.25">
      <c r="A525" s="186" t="s">
        <v>505</v>
      </c>
      <c r="B525" s="637">
        <v>1.6</v>
      </c>
      <c r="C525" s="186"/>
      <c r="D525" s="186" t="s">
        <v>319</v>
      </c>
      <c r="E525" s="186" t="s">
        <v>319</v>
      </c>
      <c r="F525" s="186" t="s">
        <v>319</v>
      </c>
      <c r="G525" s="186" t="s">
        <v>505</v>
      </c>
      <c r="H525" s="186" t="s">
        <v>322</v>
      </c>
      <c r="I525" s="186" t="s">
        <v>508</v>
      </c>
      <c r="J525" s="186"/>
      <c r="K525" s="186"/>
      <c r="L525" s="186"/>
      <c r="M525" s="186"/>
      <c r="N525" s="186"/>
      <c r="O525" s="186"/>
      <c r="P525" s="186"/>
      <c r="Q525" s="186"/>
      <c r="R525" s="186"/>
    </row>
    <row r="526" spans="1:18" x14ac:dyDescent="0.25">
      <c r="A526" s="186" t="s">
        <v>510</v>
      </c>
      <c r="B526" s="637">
        <v>0.8</v>
      </c>
      <c r="C526" s="186"/>
      <c r="D526" s="186" t="s">
        <v>319</v>
      </c>
      <c r="E526" s="186" t="s">
        <v>319</v>
      </c>
      <c r="F526" s="186" t="s">
        <v>319</v>
      </c>
      <c r="G526" s="186" t="s">
        <v>511</v>
      </c>
      <c r="H526" s="186" t="s">
        <v>322</v>
      </c>
      <c r="I526" s="186" t="s">
        <v>512</v>
      </c>
      <c r="J526" s="186"/>
      <c r="K526" s="186"/>
      <c r="L526" s="186"/>
      <c r="M526" s="186"/>
      <c r="N526" s="186"/>
      <c r="O526" s="186"/>
      <c r="P526" s="186"/>
      <c r="Q526" s="186"/>
      <c r="R526" s="186"/>
    </row>
    <row r="527" spans="1:18" x14ac:dyDescent="0.25">
      <c r="A527" s="186" t="s">
        <v>510</v>
      </c>
      <c r="B527" s="637">
        <v>0.95</v>
      </c>
      <c r="C527" s="186"/>
      <c r="D527" s="186" t="s">
        <v>319</v>
      </c>
      <c r="E527" s="186" t="s">
        <v>319</v>
      </c>
      <c r="F527" s="186" t="s">
        <v>319</v>
      </c>
      <c r="G527" s="186" t="s">
        <v>511</v>
      </c>
      <c r="H527" s="186" t="s">
        <v>322</v>
      </c>
      <c r="I527" s="186" t="s">
        <v>513</v>
      </c>
      <c r="J527" s="186"/>
      <c r="K527" s="186"/>
      <c r="L527" s="186"/>
      <c r="M527" s="186"/>
      <c r="N527" s="186"/>
      <c r="O527" s="186"/>
      <c r="P527" s="186"/>
      <c r="Q527" s="186"/>
      <c r="R527" s="186"/>
    </row>
    <row r="528" spans="1:18" x14ac:dyDescent="0.25">
      <c r="A528" s="186" t="s">
        <v>510</v>
      </c>
      <c r="B528" s="637">
        <v>1</v>
      </c>
      <c r="C528" s="186"/>
      <c r="D528" s="186" t="s">
        <v>319</v>
      </c>
      <c r="E528" s="186" t="s">
        <v>319</v>
      </c>
      <c r="F528" s="186" t="s">
        <v>319</v>
      </c>
      <c r="G528" s="186" t="s">
        <v>511</v>
      </c>
      <c r="H528" s="186" t="s">
        <v>322</v>
      </c>
      <c r="I528" s="186" t="s">
        <v>514</v>
      </c>
      <c r="J528" s="186"/>
      <c r="K528" s="186"/>
      <c r="L528" s="186"/>
      <c r="M528" s="186"/>
      <c r="N528" s="186"/>
      <c r="O528" s="186"/>
      <c r="P528" s="186"/>
      <c r="Q528" s="186"/>
      <c r="R528" s="186"/>
    </row>
    <row r="529" spans="1:18" x14ac:dyDescent="0.25">
      <c r="A529" s="186" t="s">
        <v>510</v>
      </c>
      <c r="B529" s="637">
        <v>1.25</v>
      </c>
      <c r="C529" s="186"/>
      <c r="D529" s="186" t="s">
        <v>319</v>
      </c>
      <c r="E529" s="186" t="s">
        <v>319</v>
      </c>
      <c r="F529" s="186" t="s">
        <v>319</v>
      </c>
      <c r="G529" s="186" t="s">
        <v>511</v>
      </c>
      <c r="H529" s="186" t="s">
        <v>322</v>
      </c>
      <c r="I529" s="186" t="s">
        <v>515</v>
      </c>
      <c r="J529" s="186"/>
      <c r="K529" s="186"/>
      <c r="L529" s="186"/>
      <c r="M529" s="186"/>
      <c r="N529" s="186"/>
      <c r="O529" s="186"/>
      <c r="P529" s="186"/>
      <c r="Q529" s="186"/>
      <c r="R529" s="186"/>
    </row>
    <row r="530" spans="1:18" x14ac:dyDescent="0.25">
      <c r="A530" s="186" t="s">
        <v>510</v>
      </c>
      <c r="B530" s="637">
        <v>1.45</v>
      </c>
      <c r="C530" s="186"/>
      <c r="D530" s="186" t="s">
        <v>319</v>
      </c>
      <c r="E530" s="186" t="s">
        <v>319</v>
      </c>
      <c r="F530" s="186" t="s">
        <v>319</v>
      </c>
      <c r="G530" s="186" t="s">
        <v>511</v>
      </c>
      <c r="H530" s="186" t="s">
        <v>322</v>
      </c>
      <c r="I530" s="186" t="s">
        <v>516</v>
      </c>
      <c r="J530" s="186"/>
      <c r="K530" s="186"/>
      <c r="L530" s="186"/>
      <c r="M530" s="186"/>
      <c r="N530" s="186"/>
      <c r="O530" s="186"/>
      <c r="P530" s="186"/>
      <c r="Q530" s="186"/>
      <c r="R530" s="186"/>
    </row>
    <row r="531" spans="1:18" x14ac:dyDescent="0.25">
      <c r="A531" s="186" t="s">
        <v>510</v>
      </c>
      <c r="B531" s="637">
        <v>1</v>
      </c>
      <c r="C531" s="186"/>
      <c r="D531" s="186" t="s">
        <v>319</v>
      </c>
      <c r="E531" s="186" t="s">
        <v>319</v>
      </c>
      <c r="F531" s="186" t="s">
        <v>319</v>
      </c>
      <c r="G531" s="186" t="s">
        <v>511</v>
      </c>
      <c r="H531" s="186" t="s">
        <v>322</v>
      </c>
      <c r="I531" s="186" t="s">
        <v>517</v>
      </c>
      <c r="J531" s="186"/>
      <c r="K531" s="186"/>
      <c r="L531" s="186"/>
      <c r="M531" s="186"/>
      <c r="N531" s="186"/>
      <c r="O531" s="186"/>
      <c r="P531" s="186"/>
      <c r="Q531" s="186"/>
      <c r="R531" s="186"/>
    </row>
  </sheetData>
  <autoFilter ref="A1:R531" xr:uid="{00000000-0001-0000-0900-000000000000}"/>
  <pageMargins left="0.7" right="0.7" top="0.75" bottom="0.75" header="0.3" footer="0.3"/>
  <pageSetup scale="70" fitToHeight="10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U636"/>
  <sheetViews>
    <sheetView zoomScaleNormal="100" workbookViewId="0">
      <pane ySplit="1" topLeftCell="A55" activePane="bottomLeft" state="frozen"/>
      <selection sqref="A1:D1"/>
      <selection pane="bottomLeft" activeCell="I95" sqref="I95"/>
    </sheetView>
  </sheetViews>
  <sheetFormatPr defaultColWidth="9.26953125" defaultRowHeight="10.5" x14ac:dyDescent="0.25"/>
  <cols>
    <col min="1" max="1" width="16.54296875" style="399" bestFit="1" customWidth="1"/>
    <col min="2" max="2" width="10.7265625" style="401" bestFit="1" customWidth="1"/>
    <col min="3" max="3" width="4.26953125" style="399" customWidth="1"/>
    <col min="4" max="5" width="5.54296875" style="399" customWidth="1"/>
    <col min="6" max="6" width="6.26953125" style="399" customWidth="1"/>
    <col min="7" max="7" width="19.453125" style="399" bestFit="1" customWidth="1"/>
    <col min="8" max="8" width="14.1796875" style="399" bestFit="1" customWidth="1"/>
    <col min="9" max="9" width="14.54296875" style="399" bestFit="1" customWidth="1"/>
    <col min="10" max="10" width="19.54296875" style="399" bestFit="1" customWidth="1"/>
    <col min="11" max="11" width="12.7265625" style="399" customWidth="1"/>
    <col min="12" max="12" width="30.1796875" style="399" bestFit="1" customWidth="1"/>
    <col min="13" max="13" width="12.1796875" style="399" customWidth="1"/>
    <col min="14" max="14" width="13.26953125" style="399" customWidth="1"/>
    <col min="15" max="15" width="15.7265625" style="399" bestFit="1" customWidth="1"/>
    <col min="16" max="16" width="18" style="399" bestFit="1" customWidth="1"/>
    <col min="17" max="17" width="19.1796875" style="399" bestFit="1" customWidth="1"/>
    <col min="18" max="18" width="12.54296875" style="399" bestFit="1" customWidth="1"/>
    <col min="19" max="19" width="19.54296875" style="399" bestFit="1" customWidth="1"/>
    <col min="20" max="20" width="20.7265625" style="399" bestFit="1" customWidth="1"/>
    <col min="21" max="21" width="12.54296875" style="399" bestFit="1" customWidth="1"/>
    <col min="22" max="16384" width="9.26953125" style="399"/>
  </cols>
  <sheetData>
    <row r="1" spans="1:21" s="404" customFormat="1" ht="75.75" customHeight="1" x14ac:dyDescent="0.25">
      <c r="A1" s="402" t="s">
        <v>305</v>
      </c>
      <c r="B1" s="402" t="s">
        <v>230</v>
      </c>
      <c r="C1" s="402" t="s">
        <v>184</v>
      </c>
      <c r="D1" s="402" t="s">
        <v>306</v>
      </c>
      <c r="E1" s="402" t="s">
        <v>307</v>
      </c>
      <c r="F1" s="402" t="s">
        <v>308</v>
      </c>
      <c r="G1" s="402" t="s">
        <v>309</v>
      </c>
      <c r="H1" s="402" t="s">
        <v>310</v>
      </c>
      <c r="I1" s="402" t="s">
        <v>311</v>
      </c>
      <c r="J1" s="402" t="s">
        <v>312</v>
      </c>
      <c r="K1" s="402" t="s">
        <v>313</v>
      </c>
      <c r="L1" s="402" t="s">
        <v>314</v>
      </c>
      <c r="M1" s="402" t="s">
        <v>315</v>
      </c>
      <c r="N1" s="402" t="s">
        <v>316</v>
      </c>
      <c r="O1" s="402" t="s">
        <v>317</v>
      </c>
      <c r="P1" s="402" t="s">
        <v>808</v>
      </c>
      <c r="Q1" s="402" t="s">
        <v>809</v>
      </c>
      <c r="R1" s="402" t="s">
        <v>810</v>
      </c>
      <c r="S1" s="402" t="s">
        <v>869</v>
      </c>
      <c r="T1" s="402" t="s">
        <v>870</v>
      </c>
      <c r="U1" s="402" t="s">
        <v>871</v>
      </c>
    </row>
    <row r="2" spans="1:21" x14ac:dyDescent="0.25">
      <c r="A2" s="186" t="s">
        <v>341</v>
      </c>
      <c r="B2" s="400">
        <v>0.8</v>
      </c>
      <c r="C2" s="186"/>
      <c r="D2" s="186" t="s">
        <v>319</v>
      </c>
      <c r="E2" s="186" t="s">
        <v>319</v>
      </c>
      <c r="F2" s="186" t="s">
        <v>319</v>
      </c>
      <c r="G2" s="186" t="s">
        <v>321</v>
      </c>
      <c r="H2" s="186" t="s">
        <v>322</v>
      </c>
      <c r="I2" s="186" t="s">
        <v>341</v>
      </c>
      <c r="J2" s="186" t="s">
        <v>872</v>
      </c>
      <c r="K2" s="186" t="s">
        <v>322</v>
      </c>
      <c r="L2" s="186" t="s">
        <v>873</v>
      </c>
      <c r="M2" s="186"/>
      <c r="N2" s="186"/>
      <c r="O2" s="186"/>
      <c r="P2" s="186"/>
      <c r="Q2" s="186"/>
      <c r="R2" s="186"/>
      <c r="S2" s="186"/>
      <c r="T2" s="186"/>
      <c r="U2" s="186"/>
    </row>
    <row r="3" spans="1:21" x14ac:dyDescent="0.25">
      <c r="A3" s="186" t="s">
        <v>341</v>
      </c>
      <c r="B3" s="400">
        <v>1</v>
      </c>
      <c r="C3" s="186"/>
      <c r="D3" s="186" t="s">
        <v>319</v>
      </c>
      <c r="E3" s="186" t="s">
        <v>319</v>
      </c>
      <c r="F3" s="186" t="s">
        <v>319</v>
      </c>
      <c r="G3" s="186" t="s">
        <v>321</v>
      </c>
      <c r="H3" s="186" t="s">
        <v>322</v>
      </c>
      <c r="I3" s="186" t="s">
        <v>341</v>
      </c>
      <c r="J3" s="186" t="s">
        <v>872</v>
      </c>
      <c r="K3" s="186" t="s">
        <v>322</v>
      </c>
      <c r="L3" s="186" t="s">
        <v>874</v>
      </c>
      <c r="M3" s="186"/>
      <c r="N3" s="186"/>
      <c r="O3" s="186"/>
      <c r="P3" s="186"/>
      <c r="Q3" s="186"/>
      <c r="R3" s="186"/>
      <c r="S3" s="186"/>
      <c r="T3" s="186"/>
      <c r="U3" s="186"/>
    </row>
    <row r="4" spans="1:21" x14ac:dyDescent="0.25">
      <c r="A4" s="186" t="s">
        <v>341</v>
      </c>
      <c r="B4" s="400">
        <v>1</v>
      </c>
      <c r="C4" s="186"/>
      <c r="D4" s="186" t="s">
        <v>319</v>
      </c>
      <c r="E4" s="186" t="s">
        <v>319</v>
      </c>
      <c r="F4" s="186" t="s">
        <v>319</v>
      </c>
      <c r="G4" s="186" t="s">
        <v>321</v>
      </c>
      <c r="H4" s="186" t="s">
        <v>322</v>
      </c>
      <c r="I4" s="186" t="s">
        <v>341</v>
      </c>
      <c r="J4" s="186" t="s">
        <v>872</v>
      </c>
      <c r="K4" s="186" t="s">
        <v>322</v>
      </c>
      <c r="L4" s="186" t="s">
        <v>875</v>
      </c>
      <c r="M4" s="186"/>
      <c r="N4" s="186"/>
      <c r="O4" s="186"/>
      <c r="P4" s="186"/>
      <c r="Q4" s="186"/>
      <c r="R4" s="186"/>
      <c r="S4" s="186"/>
      <c r="T4" s="186"/>
      <c r="U4" s="186"/>
    </row>
    <row r="5" spans="1:21" x14ac:dyDescent="0.25">
      <c r="A5" s="186" t="s">
        <v>341</v>
      </c>
      <c r="B5" s="400">
        <v>1.2</v>
      </c>
      <c r="C5" s="186"/>
      <c r="D5" s="186" t="s">
        <v>319</v>
      </c>
      <c r="E5" s="186" t="s">
        <v>319</v>
      </c>
      <c r="F5" s="186" t="s">
        <v>319</v>
      </c>
      <c r="G5" s="186" t="s">
        <v>321</v>
      </c>
      <c r="H5" s="186" t="s">
        <v>322</v>
      </c>
      <c r="I5" s="186" t="s">
        <v>341</v>
      </c>
      <c r="J5" s="186" t="s">
        <v>872</v>
      </c>
      <c r="K5" s="186" t="s">
        <v>322</v>
      </c>
      <c r="L5" s="186" t="s">
        <v>876</v>
      </c>
      <c r="M5" s="186"/>
      <c r="N5" s="186"/>
      <c r="O5" s="186"/>
      <c r="P5" s="186"/>
      <c r="Q5" s="186"/>
      <c r="R5" s="186"/>
      <c r="S5" s="186"/>
      <c r="T5" s="186"/>
      <c r="U5" s="186"/>
    </row>
    <row r="6" spans="1:21" x14ac:dyDescent="0.25">
      <c r="A6" s="186" t="s">
        <v>341</v>
      </c>
      <c r="B6" s="400">
        <v>0.85</v>
      </c>
      <c r="C6" s="186"/>
      <c r="D6" s="186" t="s">
        <v>319</v>
      </c>
      <c r="E6" s="186" t="s">
        <v>319</v>
      </c>
      <c r="F6" s="186" t="s">
        <v>319</v>
      </c>
      <c r="G6" s="186" t="s">
        <v>321</v>
      </c>
      <c r="H6" s="186" t="s">
        <v>322</v>
      </c>
      <c r="I6" s="186" t="s">
        <v>341</v>
      </c>
      <c r="J6" s="186" t="s">
        <v>872</v>
      </c>
      <c r="K6" s="186" t="s">
        <v>322</v>
      </c>
      <c r="L6" s="186" t="s">
        <v>877</v>
      </c>
      <c r="M6" s="186"/>
      <c r="N6" s="186"/>
      <c r="O6" s="186"/>
      <c r="P6" s="186"/>
      <c r="Q6" s="186"/>
      <c r="R6" s="186"/>
      <c r="S6" s="186"/>
      <c r="T6" s="186"/>
      <c r="U6" s="186"/>
    </row>
    <row r="7" spans="1:21" x14ac:dyDescent="0.25">
      <c r="A7" s="186" t="s">
        <v>341</v>
      </c>
      <c r="B7" s="400">
        <v>1.2</v>
      </c>
      <c r="C7" s="186"/>
      <c r="D7" s="186" t="s">
        <v>319</v>
      </c>
      <c r="E7" s="186" t="s">
        <v>319</v>
      </c>
      <c r="F7" s="186" t="s">
        <v>319</v>
      </c>
      <c r="G7" s="186" t="s">
        <v>321</v>
      </c>
      <c r="H7" s="186" t="s">
        <v>322</v>
      </c>
      <c r="I7" s="186" t="s">
        <v>341</v>
      </c>
      <c r="J7" s="186" t="s">
        <v>872</v>
      </c>
      <c r="K7" s="186" t="s">
        <v>322</v>
      </c>
      <c r="L7" s="186" t="s">
        <v>878</v>
      </c>
      <c r="M7" s="186"/>
      <c r="N7" s="186"/>
      <c r="O7" s="186"/>
      <c r="P7" s="186"/>
      <c r="Q7" s="186"/>
      <c r="R7" s="186"/>
      <c r="S7" s="186"/>
      <c r="T7" s="186"/>
      <c r="U7" s="186"/>
    </row>
    <row r="8" spans="1:21" x14ac:dyDescent="0.25">
      <c r="A8" s="186" t="s">
        <v>341</v>
      </c>
      <c r="B8" s="400">
        <v>1.2</v>
      </c>
      <c r="C8" s="186"/>
      <c r="D8" s="186" t="s">
        <v>319</v>
      </c>
      <c r="E8" s="186" t="s">
        <v>319</v>
      </c>
      <c r="F8" s="186" t="s">
        <v>319</v>
      </c>
      <c r="G8" s="186" t="s">
        <v>321</v>
      </c>
      <c r="H8" s="186" t="s">
        <v>322</v>
      </c>
      <c r="I8" s="186" t="s">
        <v>341</v>
      </c>
      <c r="J8" s="186" t="s">
        <v>872</v>
      </c>
      <c r="K8" s="186" t="s">
        <v>322</v>
      </c>
      <c r="L8" s="186" t="s">
        <v>879</v>
      </c>
      <c r="M8" s="186"/>
      <c r="N8" s="186"/>
      <c r="O8" s="186"/>
      <c r="P8" s="186"/>
      <c r="Q8" s="186"/>
      <c r="R8" s="186"/>
      <c r="S8" s="186"/>
      <c r="T8" s="186"/>
      <c r="U8" s="186"/>
    </row>
    <row r="9" spans="1:21" x14ac:dyDescent="0.25">
      <c r="A9" s="186" t="s">
        <v>341</v>
      </c>
      <c r="B9" s="400">
        <v>0.8</v>
      </c>
      <c r="C9" s="186"/>
      <c r="D9" s="186" t="s">
        <v>319</v>
      </c>
      <c r="E9" s="186" t="s">
        <v>319</v>
      </c>
      <c r="F9" s="186" t="s">
        <v>319</v>
      </c>
      <c r="G9" s="186" t="s">
        <v>321</v>
      </c>
      <c r="H9" s="186" t="s">
        <v>322</v>
      </c>
      <c r="I9" s="186" t="s">
        <v>341</v>
      </c>
      <c r="J9" s="186" t="s">
        <v>872</v>
      </c>
      <c r="K9" s="186" t="s">
        <v>322</v>
      </c>
      <c r="L9" s="186" t="s">
        <v>880</v>
      </c>
      <c r="M9" s="186"/>
      <c r="N9" s="186"/>
      <c r="O9" s="186"/>
      <c r="P9" s="186"/>
      <c r="Q9" s="186"/>
      <c r="R9" s="186"/>
      <c r="S9" s="186"/>
      <c r="T9" s="186"/>
      <c r="U9" s="186"/>
    </row>
    <row r="10" spans="1:21" x14ac:dyDescent="0.25">
      <c r="A10" s="186" t="s">
        <v>341</v>
      </c>
      <c r="B10" s="400">
        <v>1</v>
      </c>
      <c r="C10" s="186"/>
      <c r="D10" s="186" t="s">
        <v>319</v>
      </c>
      <c r="E10" s="186" t="s">
        <v>319</v>
      </c>
      <c r="F10" s="186" t="s">
        <v>319</v>
      </c>
      <c r="G10" s="186" t="s">
        <v>321</v>
      </c>
      <c r="H10" s="186" t="s">
        <v>322</v>
      </c>
      <c r="I10" s="186" t="s">
        <v>341</v>
      </c>
      <c r="J10" s="186" t="s">
        <v>872</v>
      </c>
      <c r="K10" s="186" t="s">
        <v>322</v>
      </c>
      <c r="L10" s="186" t="s">
        <v>881</v>
      </c>
      <c r="M10" s="186"/>
      <c r="N10" s="186"/>
      <c r="O10" s="186"/>
      <c r="P10" s="186"/>
      <c r="Q10" s="186"/>
      <c r="R10" s="186"/>
      <c r="S10" s="186"/>
      <c r="T10" s="186"/>
      <c r="U10" s="186"/>
    </row>
    <row r="11" spans="1:21" x14ac:dyDescent="0.25">
      <c r="A11" s="186" t="s">
        <v>341</v>
      </c>
      <c r="B11" s="400">
        <v>0.85</v>
      </c>
      <c r="C11" s="186"/>
      <c r="D11" s="186" t="s">
        <v>319</v>
      </c>
      <c r="E11" s="186" t="s">
        <v>319</v>
      </c>
      <c r="F11" s="186" t="s">
        <v>319</v>
      </c>
      <c r="G11" s="186" t="s">
        <v>321</v>
      </c>
      <c r="H11" s="186" t="s">
        <v>322</v>
      </c>
      <c r="I11" s="186" t="s">
        <v>341</v>
      </c>
      <c r="J11" s="186" t="s">
        <v>872</v>
      </c>
      <c r="K11" s="186" t="s">
        <v>322</v>
      </c>
      <c r="L11" s="186" t="s">
        <v>882</v>
      </c>
      <c r="M11" s="186"/>
      <c r="N11" s="186"/>
      <c r="O11" s="186"/>
      <c r="P11" s="186"/>
      <c r="Q11" s="186"/>
      <c r="R11" s="186"/>
      <c r="S11" s="186"/>
      <c r="T11" s="186"/>
      <c r="U11" s="186"/>
    </row>
    <row r="12" spans="1:21" x14ac:dyDescent="0.25">
      <c r="A12" s="186" t="s">
        <v>341</v>
      </c>
      <c r="B12" s="400">
        <v>0.88</v>
      </c>
      <c r="C12" s="186"/>
      <c r="D12" s="186" t="s">
        <v>319</v>
      </c>
      <c r="E12" s="186" t="s">
        <v>319</v>
      </c>
      <c r="F12" s="186" t="s">
        <v>319</v>
      </c>
      <c r="G12" s="186" t="s">
        <v>321</v>
      </c>
      <c r="H12" s="186" t="s">
        <v>322</v>
      </c>
      <c r="I12" s="186" t="s">
        <v>341</v>
      </c>
      <c r="J12" s="186" t="s">
        <v>324</v>
      </c>
      <c r="K12" s="186" t="s">
        <v>325</v>
      </c>
      <c r="L12" s="186" t="s">
        <v>337</v>
      </c>
      <c r="M12" s="186"/>
      <c r="N12" s="186"/>
      <c r="O12" s="186"/>
      <c r="P12" s="186"/>
      <c r="Q12" s="186"/>
      <c r="R12" s="186"/>
      <c r="S12" s="186"/>
      <c r="T12" s="186"/>
      <c r="U12" s="186"/>
    </row>
    <row r="13" spans="1:21" x14ac:dyDescent="0.25">
      <c r="A13" s="186" t="s">
        <v>341</v>
      </c>
      <c r="B13" s="400">
        <v>0.96</v>
      </c>
      <c r="C13" s="186"/>
      <c r="D13" s="186" t="s">
        <v>319</v>
      </c>
      <c r="E13" s="186" t="s">
        <v>319</v>
      </c>
      <c r="F13" s="186" t="s">
        <v>319</v>
      </c>
      <c r="G13" s="186" t="s">
        <v>321</v>
      </c>
      <c r="H13" s="186" t="s">
        <v>322</v>
      </c>
      <c r="I13" s="186" t="s">
        <v>341</v>
      </c>
      <c r="J13" s="186" t="s">
        <v>324</v>
      </c>
      <c r="K13" s="186" t="s">
        <v>325</v>
      </c>
      <c r="L13" s="186" t="s">
        <v>841</v>
      </c>
      <c r="M13" s="186"/>
      <c r="N13" s="186"/>
      <c r="O13" s="186"/>
      <c r="P13" s="186"/>
      <c r="Q13" s="186"/>
      <c r="R13" s="186"/>
      <c r="S13" s="186"/>
      <c r="T13" s="186"/>
      <c r="U13" s="186"/>
    </row>
    <row r="14" spans="1:21" x14ac:dyDescent="0.25">
      <c r="A14" s="186" t="s">
        <v>341</v>
      </c>
      <c r="B14" s="400">
        <v>0.96</v>
      </c>
      <c r="C14" s="186"/>
      <c r="D14" s="186" t="s">
        <v>319</v>
      </c>
      <c r="E14" s="186" t="s">
        <v>319</v>
      </c>
      <c r="F14" s="186" t="s">
        <v>319</v>
      </c>
      <c r="G14" s="186" t="s">
        <v>321</v>
      </c>
      <c r="H14" s="186" t="s">
        <v>322</v>
      </c>
      <c r="I14" s="186" t="s">
        <v>341</v>
      </c>
      <c r="J14" s="186" t="s">
        <v>324</v>
      </c>
      <c r="K14" s="186" t="s">
        <v>325</v>
      </c>
      <c r="L14" s="186" t="s">
        <v>842</v>
      </c>
      <c r="M14" s="186"/>
      <c r="N14" s="186"/>
      <c r="O14" s="186"/>
      <c r="P14" s="186"/>
      <c r="Q14" s="186"/>
      <c r="R14" s="186"/>
      <c r="S14" s="186"/>
      <c r="T14" s="186"/>
      <c r="U14" s="186"/>
    </row>
    <row r="15" spans="1:21" x14ac:dyDescent="0.25">
      <c r="A15" s="186" t="s">
        <v>341</v>
      </c>
      <c r="B15" s="400">
        <v>0.96</v>
      </c>
      <c r="C15" s="186"/>
      <c r="D15" s="186" t="s">
        <v>319</v>
      </c>
      <c r="E15" s="186" t="s">
        <v>319</v>
      </c>
      <c r="F15" s="186" t="s">
        <v>319</v>
      </c>
      <c r="G15" s="186" t="s">
        <v>321</v>
      </c>
      <c r="H15" s="186" t="s">
        <v>322</v>
      </c>
      <c r="I15" s="186" t="s">
        <v>341</v>
      </c>
      <c r="J15" s="186" t="s">
        <v>324</v>
      </c>
      <c r="K15" s="186" t="s">
        <v>325</v>
      </c>
      <c r="L15" s="186" t="s">
        <v>843</v>
      </c>
      <c r="M15" s="186"/>
      <c r="N15" s="186"/>
      <c r="O15" s="186"/>
      <c r="P15" s="186"/>
      <c r="Q15" s="186"/>
      <c r="R15" s="186"/>
      <c r="S15" s="186"/>
      <c r="T15" s="186"/>
      <c r="U15" s="186"/>
    </row>
    <row r="16" spans="1:21" x14ac:dyDescent="0.25">
      <c r="A16" s="186" t="s">
        <v>341</v>
      </c>
      <c r="B16" s="400">
        <v>1</v>
      </c>
      <c r="C16" s="186"/>
      <c r="D16" s="186" t="s">
        <v>319</v>
      </c>
      <c r="E16" s="186" t="s">
        <v>319</v>
      </c>
      <c r="F16" s="186" t="s">
        <v>319</v>
      </c>
      <c r="G16" s="186" t="s">
        <v>321</v>
      </c>
      <c r="H16" s="186" t="s">
        <v>322</v>
      </c>
      <c r="I16" s="186" t="s">
        <v>341</v>
      </c>
      <c r="J16" s="186" t="s">
        <v>324</v>
      </c>
      <c r="K16" s="186" t="s">
        <v>325</v>
      </c>
      <c r="L16" s="186" t="s">
        <v>844</v>
      </c>
      <c r="M16" s="186"/>
      <c r="N16" s="186"/>
      <c r="O16" s="186"/>
      <c r="P16" s="186"/>
      <c r="Q16" s="186"/>
      <c r="R16" s="186"/>
      <c r="S16" s="186"/>
      <c r="T16" s="186"/>
      <c r="U16" s="186"/>
    </row>
    <row r="17" spans="1:21" x14ac:dyDescent="0.25">
      <c r="A17" s="186" t="s">
        <v>341</v>
      </c>
      <c r="B17" s="400">
        <v>1.07</v>
      </c>
      <c r="C17" s="186"/>
      <c r="D17" s="186" t="s">
        <v>319</v>
      </c>
      <c r="E17" s="186" t="s">
        <v>319</v>
      </c>
      <c r="F17" s="186" t="s">
        <v>319</v>
      </c>
      <c r="G17" s="186" t="s">
        <v>321</v>
      </c>
      <c r="H17" s="186" t="s">
        <v>322</v>
      </c>
      <c r="I17" s="186" t="s">
        <v>341</v>
      </c>
      <c r="J17" s="186" t="s">
        <v>324</v>
      </c>
      <c r="K17" s="186" t="s">
        <v>325</v>
      </c>
      <c r="L17" s="186" t="s">
        <v>845</v>
      </c>
      <c r="M17" s="186"/>
      <c r="N17" s="186"/>
      <c r="O17" s="186"/>
      <c r="P17" s="186"/>
      <c r="Q17" s="186"/>
      <c r="R17" s="186"/>
      <c r="S17" s="186"/>
      <c r="T17" s="186"/>
      <c r="U17" s="186"/>
    </row>
    <row r="18" spans="1:21" x14ac:dyDescent="0.25">
      <c r="A18" s="186" t="s">
        <v>341</v>
      </c>
      <c r="B18" s="400">
        <v>1.07</v>
      </c>
      <c r="C18" s="186"/>
      <c r="D18" s="186" t="s">
        <v>319</v>
      </c>
      <c r="E18" s="186" t="s">
        <v>319</v>
      </c>
      <c r="F18" s="186" t="s">
        <v>319</v>
      </c>
      <c r="G18" s="186" t="s">
        <v>321</v>
      </c>
      <c r="H18" s="186" t="s">
        <v>322</v>
      </c>
      <c r="I18" s="186" t="s">
        <v>341</v>
      </c>
      <c r="J18" s="186" t="s">
        <v>324</v>
      </c>
      <c r="K18" s="186" t="s">
        <v>325</v>
      </c>
      <c r="L18" s="186" t="s">
        <v>846</v>
      </c>
      <c r="M18" s="186"/>
      <c r="N18" s="186"/>
      <c r="O18" s="186"/>
      <c r="P18" s="186"/>
      <c r="Q18" s="186"/>
      <c r="R18" s="186"/>
      <c r="S18" s="186"/>
      <c r="T18" s="186"/>
      <c r="U18" s="186"/>
    </row>
    <row r="19" spans="1:21" x14ac:dyDescent="0.25">
      <c r="A19" s="186" t="s">
        <v>341</v>
      </c>
      <c r="B19" s="400">
        <v>1.28</v>
      </c>
      <c r="C19" s="186"/>
      <c r="D19" s="186" t="s">
        <v>319</v>
      </c>
      <c r="E19" s="186" t="s">
        <v>319</v>
      </c>
      <c r="F19" s="186" t="s">
        <v>319</v>
      </c>
      <c r="G19" s="186" t="s">
        <v>321</v>
      </c>
      <c r="H19" s="186" t="s">
        <v>322</v>
      </c>
      <c r="I19" s="186" t="s">
        <v>341</v>
      </c>
      <c r="J19" s="186" t="s">
        <v>324</v>
      </c>
      <c r="K19" s="186" t="s">
        <v>325</v>
      </c>
      <c r="L19" s="186" t="s">
        <v>847</v>
      </c>
      <c r="M19" s="186"/>
      <c r="N19" s="186"/>
      <c r="O19" s="186"/>
      <c r="P19" s="186"/>
      <c r="Q19" s="186"/>
      <c r="R19" s="186"/>
      <c r="S19" s="186"/>
      <c r="T19" s="186"/>
      <c r="U19" s="186"/>
    </row>
    <row r="20" spans="1:21" x14ac:dyDescent="0.25">
      <c r="A20" s="186" t="s">
        <v>341</v>
      </c>
      <c r="B20" s="400">
        <v>1.28</v>
      </c>
      <c r="C20" s="186"/>
      <c r="D20" s="186" t="s">
        <v>319</v>
      </c>
      <c r="E20" s="186" t="s">
        <v>319</v>
      </c>
      <c r="F20" s="186" t="s">
        <v>319</v>
      </c>
      <c r="G20" s="186" t="s">
        <v>321</v>
      </c>
      <c r="H20" s="186" t="s">
        <v>322</v>
      </c>
      <c r="I20" s="186" t="s">
        <v>341</v>
      </c>
      <c r="J20" s="186" t="s">
        <v>324</v>
      </c>
      <c r="K20" s="186" t="s">
        <v>325</v>
      </c>
      <c r="L20" s="186" t="s">
        <v>848</v>
      </c>
      <c r="M20" s="186"/>
      <c r="N20" s="186"/>
      <c r="O20" s="186"/>
      <c r="P20" s="186"/>
      <c r="Q20" s="186"/>
      <c r="R20" s="186"/>
      <c r="S20" s="186"/>
      <c r="T20" s="186"/>
      <c r="U20" s="186"/>
    </row>
    <row r="21" spans="1:21" x14ac:dyDescent="0.25">
      <c r="A21" s="186" t="s">
        <v>341</v>
      </c>
      <c r="B21" s="400">
        <v>1.7969999999999999</v>
      </c>
      <c r="C21" s="186"/>
      <c r="D21" s="186" t="s">
        <v>319</v>
      </c>
      <c r="E21" s="186" t="s">
        <v>319</v>
      </c>
      <c r="F21" s="186" t="s">
        <v>319</v>
      </c>
      <c r="G21" s="186" t="s">
        <v>321</v>
      </c>
      <c r="H21" s="186" t="s">
        <v>322</v>
      </c>
      <c r="I21" s="186" t="s">
        <v>341</v>
      </c>
      <c r="J21" s="186" t="s">
        <v>324</v>
      </c>
      <c r="K21" s="186" t="s">
        <v>325</v>
      </c>
      <c r="L21" s="186" t="s">
        <v>849</v>
      </c>
      <c r="M21" s="186"/>
      <c r="N21" s="186"/>
      <c r="O21" s="186"/>
      <c r="P21" s="186"/>
      <c r="Q21" s="186"/>
      <c r="R21" s="186"/>
      <c r="S21" s="186"/>
      <c r="T21" s="186"/>
      <c r="U21" s="186"/>
    </row>
    <row r="22" spans="1:21" x14ac:dyDescent="0.25">
      <c r="A22" s="186" t="s">
        <v>341</v>
      </c>
      <c r="B22" s="400">
        <v>1.964</v>
      </c>
      <c r="C22" s="186"/>
      <c r="D22" s="186" t="s">
        <v>319</v>
      </c>
      <c r="E22" s="186" t="s">
        <v>319</v>
      </c>
      <c r="F22" s="186" t="s">
        <v>319</v>
      </c>
      <c r="G22" s="186" t="s">
        <v>321</v>
      </c>
      <c r="H22" s="186" t="s">
        <v>322</v>
      </c>
      <c r="I22" s="186" t="s">
        <v>341</v>
      </c>
      <c r="J22" s="186" t="s">
        <v>324</v>
      </c>
      <c r="K22" s="186" t="s">
        <v>325</v>
      </c>
      <c r="L22" s="186" t="s">
        <v>850</v>
      </c>
      <c r="M22" s="186"/>
      <c r="N22" s="186"/>
      <c r="O22" s="186"/>
      <c r="P22" s="186"/>
      <c r="Q22" s="186"/>
      <c r="R22" s="186"/>
      <c r="S22" s="186"/>
      <c r="T22" s="186"/>
      <c r="U22" s="186"/>
    </row>
    <row r="23" spans="1:21" x14ac:dyDescent="0.25">
      <c r="A23" s="186" t="s">
        <v>341</v>
      </c>
      <c r="B23" s="400">
        <v>1.925</v>
      </c>
      <c r="C23" s="186"/>
      <c r="D23" s="186" t="s">
        <v>319</v>
      </c>
      <c r="E23" s="186" t="s">
        <v>319</v>
      </c>
      <c r="F23" s="186" t="s">
        <v>319</v>
      </c>
      <c r="G23" s="186" t="s">
        <v>321</v>
      </c>
      <c r="H23" s="186" t="s">
        <v>322</v>
      </c>
      <c r="I23" s="186" t="s">
        <v>341</v>
      </c>
      <c r="J23" s="186" t="s">
        <v>324</v>
      </c>
      <c r="K23" s="186" t="s">
        <v>325</v>
      </c>
      <c r="L23" s="186" t="s">
        <v>851</v>
      </c>
      <c r="M23" s="186"/>
      <c r="N23" s="186"/>
      <c r="O23" s="186"/>
      <c r="P23" s="186"/>
      <c r="Q23" s="186"/>
      <c r="R23" s="186"/>
      <c r="S23" s="186"/>
      <c r="T23" s="186"/>
      <c r="U23" s="186"/>
    </row>
    <row r="24" spans="1:21" x14ac:dyDescent="0.25">
      <c r="A24" s="186" t="s">
        <v>341</v>
      </c>
      <c r="B24" s="400">
        <v>1.925</v>
      </c>
      <c r="C24" s="186"/>
      <c r="D24" s="186" t="s">
        <v>319</v>
      </c>
      <c r="E24" s="186" t="s">
        <v>319</v>
      </c>
      <c r="F24" s="186" t="s">
        <v>319</v>
      </c>
      <c r="G24" s="186" t="s">
        <v>321</v>
      </c>
      <c r="H24" s="186" t="s">
        <v>322</v>
      </c>
      <c r="I24" s="186" t="s">
        <v>341</v>
      </c>
      <c r="J24" s="186" t="s">
        <v>324</v>
      </c>
      <c r="K24" s="186" t="s">
        <v>325</v>
      </c>
      <c r="L24" s="186" t="s">
        <v>852</v>
      </c>
      <c r="M24" s="186"/>
      <c r="N24" s="186"/>
      <c r="O24" s="186"/>
      <c r="P24" s="186"/>
      <c r="Q24" s="186"/>
      <c r="R24" s="186"/>
      <c r="S24" s="186"/>
      <c r="T24" s="186"/>
      <c r="U24" s="186"/>
    </row>
    <row r="25" spans="1:21" x14ac:dyDescent="0.25">
      <c r="A25" s="186" t="s">
        <v>341</v>
      </c>
      <c r="B25" s="400">
        <v>1.925</v>
      </c>
      <c r="C25" s="186"/>
      <c r="D25" s="186" t="s">
        <v>319</v>
      </c>
      <c r="E25" s="186" t="s">
        <v>319</v>
      </c>
      <c r="F25" s="186" t="s">
        <v>319</v>
      </c>
      <c r="G25" s="186" t="s">
        <v>321</v>
      </c>
      <c r="H25" s="186" t="s">
        <v>322</v>
      </c>
      <c r="I25" s="186" t="s">
        <v>341</v>
      </c>
      <c r="J25" s="186" t="s">
        <v>324</v>
      </c>
      <c r="K25" s="186" t="s">
        <v>325</v>
      </c>
      <c r="L25" s="186" t="s">
        <v>853</v>
      </c>
      <c r="M25" s="186"/>
      <c r="N25" s="186"/>
      <c r="O25" s="186"/>
      <c r="P25" s="186"/>
      <c r="Q25" s="186"/>
      <c r="R25" s="186"/>
      <c r="S25" s="186"/>
      <c r="T25" s="186"/>
      <c r="U25" s="186"/>
    </row>
    <row r="26" spans="1:21" x14ac:dyDescent="0.25">
      <c r="A26" s="186" t="s">
        <v>341</v>
      </c>
      <c r="B26" s="400">
        <v>1.925</v>
      </c>
      <c r="C26" s="186"/>
      <c r="D26" s="186" t="s">
        <v>319</v>
      </c>
      <c r="E26" s="186" t="s">
        <v>319</v>
      </c>
      <c r="F26" s="186" t="s">
        <v>319</v>
      </c>
      <c r="G26" s="186" t="s">
        <v>321</v>
      </c>
      <c r="H26" s="186" t="s">
        <v>322</v>
      </c>
      <c r="I26" s="186" t="s">
        <v>341</v>
      </c>
      <c r="J26" s="186" t="s">
        <v>324</v>
      </c>
      <c r="K26" s="186" t="s">
        <v>325</v>
      </c>
      <c r="L26" s="186" t="s">
        <v>854</v>
      </c>
      <c r="M26" s="186"/>
      <c r="N26" s="186"/>
      <c r="O26" s="186"/>
      <c r="P26" s="186"/>
      <c r="Q26" s="186"/>
      <c r="R26" s="186"/>
      <c r="S26" s="186"/>
      <c r="T26" s="186"/>
      <c r="U26" s="186"/>
    </row>
    <row r="27" spans="1:21" x14ac:dyDescent="0.25">
      <c r="A27" s="186" t="s">
        <v>341</v>
      </c>
      <c r="B27" s="400">
        <v>1.925</v>
      </c>
      <c r="C27" s="186"/>
      <c r="D27" s="186" t="s">
        <v>319</v>
      </c>
      <c r="E27" s="186" t="s">
        <v>319</v>
      </c>
      <c r="F27" s="186" t="s">
        <v>319</v>
      </c>
      <c r="G27" s="186" t="s">
        <v>321</v>
      </c>
      <c r="H27" s="186" t="s">
        <v>322</v>
      </c>
      <c r="I27" s="186" t="s">
        <v>341</v>
      </c>
      <c r="J27" s="186" t="s">
        <v>324</v>
      </c>
      <c r="K27" s="186" t="s">
        <v>325</v>
      </c>
      <c r="L27" s="186" t="s">
        <v>855</v>
      </c>
      <c r="M27" s="186"/>
      <c r="N27" s="186"/>
      <c r="O27" s="186"/>
      <c r="P27" s="186"/>
      <c r="Q27" s="186"/>
      <c r="R27" s="186"/>
      <c r="S27" s="186"/>
      <c r="T27" s="186"/>
      <c r="U27" s="186"/>
    </row>
    <row r="28" spans="1:21" x14ac:dyDescent="0.25">
      <c r="A28" s="186" t="s">
        <v>341</v>
      </c>
      <c r="B28" s="400">
        <v>1</v>
      </c>
      <c r="C28" s="186"/>
      <c r="D28" s="186" t="s">
        <v>319</v>
      </c>
      <c r="E28" s="186" t="s">
        <v>319</v>
      </c>
      <c r="F28" s="186" t="s">
        <v>319</v>
      </c>
      <c r="G28" s="186" t="s">
        <v>321</v>
      </c>
      <c r="H28" s="186" t="s">
        <v>322</v>
      </c>
      <c r="I28" s="186" t="s">
        <v>341</v>
      </c>
      <c r="J28" s="186" t="s">
        <v>856</v>
      </c>
      <c r="K28" s="186" t="s">
        <v>325</v>
      </c>
      <c r="L28" s="186" t="s">
        <v>857</v>
      </c>
      <c r="M28" s="186"/>
      <c r="N28" s="186"/>
      <c r="O28" s="186"/>
      <c r="P28" s="186"/>
      <c r="Q28" s="186"/>
      <c r="R28" s="186"/>
      <c r="S28" s="186"/>
      <c r="T28" s="186"/>
      <c r="U28" s="186"/>
    </row>
    <row r="29" spans="1:21" x14ac:dyDescent="0.25">
      <c r="A29" s="186" t="s">
        <v>341</v>
      </c>
      <c r="B29" s="400">
        <v>1.02</v>
      </c>
      <c r="C29" s="186"/>
      <c r="D29" s="186" t="s">
        <v>319</v>
      </c>
      <c r="E29" s="186" t="s">
        <v>319</v>
      </c>
      <c r="F29" s="186" t="s">
        <v>319</v>
      </c>
      <c r="G29" s="186" t="s">
        <v>321</v>
      </c>
      <c r="H29" s="186" t="s">
        <v>322</v>
      </c>
      <c r="I29" s="186" t="s">
        <v>341</v>
      </c>
      <c r="J29" s="186" t="s">
        <v>856</v>
      </c>
      <c r="K29" s="186" t="s">
        <v>325</v>
      </c>
      <c r="L29" s="186" t="s">
        <v>858</v>
      </c>
      <c r="M29" s="186"/>
      <c r="N29" s="186"/>
      <c r="O29" s="186"/>
      <c r="P29" s="186"/>
      <c r="Q29" s="186"/>
      <c r="R29" s="186"/>
      <c r="S29" s="186"/>
      <c r="T29" s="186"/>
      <c r="U29" s="186"/>
    </row>
    <row r="30" spans="1:21" x14ac:dyDescent="0.25">
      <c r="A30" s="186" t="s">
        <v>341</v>
      </c>
      <c r="B30" s="400">
        <v>1.07</v>
      </c>
      <c r="C30" s="186"/>
      <c r="D30" s="186" t="s">
        <v>319</v>
      </c>
      <c r="E30" s="186" t="s">
        <v>319</v>
      </c>
      <c r="F30" s="186" t="s">
        <v>319</v>
      </c>
      <c r="G30" s="186" t="s">
        <v>321</v>
      </c>
      <c r="H30" s="186" t="s">
        <v>322</v>
      </c>
      <c r="I30" s="186" t="s">
        <v>341</v>
      </c>
      <c r="J30" s="186" t="s">
        <v>856</v>
      </c>
      <c r="K30" s="186" t="s">
        <v>325</v>
      </c>
      <c r="L30" s="186" t="s">
        <v>859</v>
      </c>
      <c r="M30" s="186"/>
      <c r="N30" s="186"/>
      <c r="O30" s="186"/>
      <c r="P30" s="186"/>
      <c r="Q30" s="186"/>
      <c r="R30" s="186"/>
      <c r="S30" s="186"/>
      <c r="T30" s="186"/>
      <c r="U30" s="186"/>
    </row>
    <row r="31" spans="1:21" x14ac:dyDescent="0.25">
      <c r="A31" s="186" t="s">
        <v>341</v>
      </c>
      <c r="B31" s="400">
        <v>1.22</v>
      </c>
      <c r="C31" s="186"/>
      <c r="D31" s="186" t="s">
        <v>319</v>
      </c>
      <c r="E31" s="186" t="s">
        <v>319</v>
      </c>
      <c r="F31" s="186" t="s">
        <v>319</v>
      </c>
      <c r="G31" s="186" t="s">
        <v>321</v>
      </c>
      <c r="H31" s="186" t="s">
        <v>322</v>
      </c>
      <c r="I31" s="186" t="s">
        <v>341</v>
      </c>
      <c r="J31" s="186" t="s">
        <v>856</v>
      </c>
      <c r="K31" s="186" t="s">
        <v>325</v>
      </c>
      <c r="L31" s="186" t="s">
        <v>860</v>
      </c>
      <c r="M31" s="186"/>
      <c r="N31" s="186"/>
      <c r="O31" s="186"/>
      <c r="P31" s="186"/>
      <c r="Q31" s="186"/>
      <c r="R31" s="186"/>
      <c r="S31" s="186"/>
      <c r="T31" s="186"/>
      <c r="U31" s="186"/>
    </row>
    <row r="32" spans="1:21" x14ac:dyDescent="0.25">
      <c r="A32" s="186" t="s">
        <v>341</v>
      </c>
      <c r="B32" s="400">
        <v>0.86</v>
      </c>
      <c r="C32" s="186"/>
      <c r="D32" s="186" t="s">
        <v>319</v>
      </c>
      <c r="E32" s="186" t="s">
        <v>319</v>
      </c>
      <c r="F32" s="186" t="s">
        <v>319</v>
      </c>
      <c r="G32" s="186" t="s">
        <v>321</v>
      </c>
      <c r="H32" s="186" t="s">
        <v>322</v>
      </c>
      <c r="I32" s="186" t="s">
        <v>341</v>
      </c>
      <c r="J32" s="186" t="s">
        <v>861</v>
      </c>
      <c r="K32" s="186" t="s">
        <v>325</v>
      </c>
      <c r="L32" s="186" t="s">
        <v>862</v>
      </c>
      <c r="M32" s="186"/>
      <c r="N32" s="186"/>
      <c r="O32" s="186"/>
      <c r="P32" s="186"/>
      <c r="Q32" s="186"/>
      <c r="R32" s="186"/>
      <c r="S32" s="186"/>
      <c r="T32" s="186"/>
      <c r="U32" s="186"/>
    </row>
    <row r="33" spans="1:21" x14ac:dyDescent="0.25">
      <c r="A33" s="186" t="s">
        <v>341</v>
      </c>
      <c r="B33" s="400">
        <v>0.87</v>
      </c>
      <c r="C33" s="186"/>
      <c r="D33" s="186" t="s">
        <v>319</v>
      </c>
      <c r="E33" s="186" t="s">
        <v>319</v>
      </c>
      <c r="F33" s="186" t="s">
        <v>319</v>
      </c>
      <c r="G33" s="186" t="s">
        <v>321</v>
      </c>
      <c r="H33" s="186" t="s">
        <v>322</v>
      </c>
      <c r="I33" s="186" t="s">
        <v>341</v>
      </c>
      <c r="J33" s="186" t="s">
        <v>861</v>
      </c>
      <c r="K33" s="186" t="s">
        <v>325</v>
      </c>
      <c r="L33" s="186" t="s">
        <v>431</v>
      </c>
      <c r="M33" s="186"/>
      <c r="N33" s="186"/>
      <c r="O33" s="186"/>
      <c r="P33" s="186"/>
      <c r="Q33" s="186"/>
      <c r="R33" s="186"/>
      <c r="S33" s="186"/>
      <c r="T33" s="186"/>
      <c r="U33" s="186"/>
    </row>
    <row r="34" spans="1:21" x14ac:dyDescent="0.25">
      <c r="A34" s="186" t="s">
        <v>341</v>
      </c>
      <c r="B34" s="400">
        <v>0.88</v>
      </c>
      <c r="C34" s="186"/>
      <c r="D34" s="186" t="s">
        <v>319</v>
      </c>
      <c r="E34" s="186" t="s">
        <v>319</v>
      </c>
      <c r="F34" s="186" t="s">
        <v>319</v>
      </c>
      <c r="G34" s="186" t="s">
        <v>321</v>
      </c>
      <c r="H34" s="186" t="s">
        <v>322</v>
      </c>
      <c r="I34" s="186" t="s">
        <v>341</v>
      </c>
      <c r="J34" s="186" t="s">
        <v>861</v>
      </c>
      <c r="K34" s="186" t="s">
        <v>325</v>
      </c>
      <c r="L34" s="186" t="s">
        <v>432</v>
      </c>
      <c r="M34" s="186"/>
      <c r="N34" s="186"/>
      <c r="O34" s="186"/>
      <c r="P34" s="186"/>
      <c r="Q34" s="186"/>
      <c r="R34" s="186"/>
      <c r="S34" s="186"/>
      <c r="T34" s="186"/>
      <c r="U34" s="186"/>
    </row>
    <row r="35" spans="1:21" x14ac:dyDescent="0.25">
      <c r="A35" s="186" t="s">
        <v>341</v>
      </c>
      <c r="B35" s="400">
        <v>0.89</v>
      </c>
      <c r="C35" s="186"/>
      <c r="D35" s="186" t="s">
        <v>319</v>
      </c>
      <c r="E35" s="186" t="s">
        <v>319</v>
      </c>
      <c r="F35" s="186" t="s">
        <v>319</v>
      </c>
      <c r="G35" s="186" t="s">
        <v>321</v>
      </c>
      <c r="H35" s="186" t="s">
        <v>322</v>
      </c>
      <c r="I35" s="186" t="s">
        <v>341</v>
      </c>
      <c r="J35" s="186" t="s">
        <v>861</v>
      </c>
      <c r="K35" s="186" t="s">
        <v>325</v>
      </c>
      <c r="L35" s="186" t="s">
        <v>433</v>
      </c>
      <c r="M35" s="186"/>
      <c r="N35" s="186"/>
      <c r="O35" s="186"/>
      <c r="P35" s="186"/>
      <c r="Q35" s="186"/>
      <c r="R35" s="186"/>
      <c r="S35" s="186"/>
      <c r="T35" s="186"/>
      <c r="U35" s="186"/>
    </row>
    <row r="36" spans="1:21" x14ac:dyDescent="0.25">
      <c r="A36" s="186" t="s">
        <v>341</v>
      </c>
      <c r="B36" s="400">
        <v>0.9</v>
      </c>
      <c r="C36" s="186"/>
      <c r="D36" s="186" t="s">
        <v>319</v>
      </c>
      <c r="E36" s="186" t="s">
        <v>319</v>
      </c>
      <c r="F36" s="186" t="s">
        <v>319</v>
      </c>
      <c r="G36" s="186" t="s">
        <v>321</v>
      </c>
      <c r="H36" s="186" t="s">
        <v>322</v>
      </c>
      <c r="I36" s="186" t="s">
        <v>341</v>
      </c>
      <c r="J36" s="186" t="s">
        <v>861</v>
      </c>
      <c r="K36" s="186" t="s">
        <v>325</v>
      </c>
      <c r="L36" s="186" t="s">
        <v>434</v>
      </c>
      <c r="M36" s="186"/>
      <c r="N36" s="186"/>
      <c r="O36" s="186"/>
      <c r="P36" s="186"/>
      <c r="Q36" s="186"/>
      <c r="R36" s="186"/>
      <c r="S36" s="186"/>
      <c r="T36" s="186"/>
      <c r="U36" s="186"/>
    </row>
    <row r="37" spans="1:21" x14ac:dyDescent="0.25">
      <c r="A37" s="186" t="s">
        <v>341</v>
      </c>
      <c r="B37" s="400">
        <v>0.91</v>
      </c>
      <c r="C37" s="186"/>
      <c r="D37" s="186" t="s">
        <v>319</v>
      </c>
      <c r="E37" s="186" t="s">
        <v>319</v>
      </c>
      <c r="F37" s="186" t="s">
        <v>319</v>
      </c>
      <c r="G37" s="186" t="s">
        <v>321</v>
      </c>
      <c r="H37" s="186" t="s">
        <v>322</v>
      </c>
      <c r="I37" s="186" t="s">
        <v>341</v>
      </c>
      <c r="J37" s="186" t="s">
        <v>861</v>
      </c>
      <c r="K37" s="186" t="s">
        <v>325</v>
      </c>
      <c r="L37" s="186" t="s">
        <v>435</v>
      </c>
      <c r="M37" s="186"/>
      <c r="N37" s="186"/>
      <c r="O37" s="186"/>
      <c r="P37" s="186"/>
      <c r="Q37" s="186"/>
      <c r="R37" s="186"/>
      <c r="S37" s="186"/>
      <c r="T37" s="186"/>
      <c r="U37" s="186"/>
    </row>
    <row r="38" spans="1:21" x14ac:dyDescent="0.25">
      <c r="A38" s="186" t="s">
        <v>341</v>
      </c>
      <c r="B38" s="400">
        <v>0.92</v>
      </c>
      <c r="C38" s="186"/>
      <c r="D38" s="186" t="s">
        <v>319</v>
      </c>
      <c r="E38" s="186" t="s">
        <v>319</v>
      </c>
      <c r="F38" s="186" t="s">
        <v>319</v>
      </c>
      <c r="G38" s="186" t="s">
        <v>321</v>
      </c>
      <c r="H38" s="186" t="s">
        <v>322</v>
      </c>
      <c r="I38" s="186" t="s">
        <v>341</v>
      </c>
      <c r="J38" s="186" t="s">
        <v>861</v>
      </c>
      <c r="K38" s="186" t="s">
        <v>325</v>
      </c>
      <c r="L38" s="186" t="s">
        <v>436</v>
      </c>
      <c r="M38" s="186"/>
      <c r="N38" s="186"/>
      <c r="O38" s="186"/>
      <c r="P38" s="186"/>
      <c r="Q38" s="186"/>
      <c r="R38" s="186"/>
      <c r="S38" s="186"/>
      <c r="T38" s="186"/>
      <c r="U38" s="186"/>
    </row>
    <row r="39" spans="1:21" x14ac:dyDescent="0.25">
      <c r="A39" s="186" t="s">
        <v>341</v>
      </c>
      <c r="B39" s="400">
        <v>0.93</v>
      </c>
      <c r="C39" s="186"/>
      <c r="D39" s="186" t="s">
        <v>319</v>
      </c>
      <c r="E39" s="186" t="s">
        <v>319</v>
      </c>
      <c r="F39" s="186" t="s">
        <v>319</v>
      </c>
      <c r="G39" s="186" t="s">
        <v>321</v>
      </c>
      <c r="H39" s="186" t="s">
        <v>322</v>
      </c>
      <c r="I39" s="186" t="s">
        <v>341</v>
      </c>
      <c r="J39" s="186" t="s">
        <v>861</v>
      </c>
      <c r="K39" s="186" t="s">
        <v>325</v>
      </c>
      <c r="L39" s="186" t="s">
        <v>451</v>
      </c>
      <c r="M39" s="186"/>
      <c r="N39" s="186"/>
      <c r="O39" s="186"/>
      <c r="P39" s="186"/>
      <c r="Q39" s="186"/>
      <c r="R39" s="186"/>
      <c r="S39" s="186"/>
      <c r="T39" s="186"/>
      <c r="U39" s="186"/>
    </row>
    <row r="40" spans="1:21" x14ac:dyDescent="0.25">
      <c r="A40" s="186" t="s">
        <v>341</v>
      </c>
      <c r="B40" s="400">
        <v>0.94</v>
      </c>
      <c r="C40" s="186"/>
      <c r="D40" s="186" t="s">
        <v>319</v>
      </c>
      <c r="E40" s="186" t="s">
        <v>319</v>
      </c>
      <c r="F40" s="186" t="s">
        <v>319</v>
      </c>
      <c r="G40" s="186" t="s">
        <v>321</v>
      </c>
      <c r="H40" s="186" t="s">
        <v>322</v>
      </c>
      <c r="I40" s="186" t="s">
        <v>341</v>
      </c>
      <c r="J40" s="186" t="s">
        <v>861</v>
      </c>
      <c r="K40" s="186" t="s">
        <v>325</v>
      </c>
      <c r="L40" s="186" t="s">
        <v>452</v>
      </c>
      <c r="M40" s="186"/>
      <c r="N40" s="186"/>
      <c r="O40" s="186"/>
      <c r="P40" s="186"/>
      <c r="Q40" s="186"/>
      <c r="R40" s="186"/>
      <c r="S40" s="186"/>
      <c r="T40" s="186"/>
      <c r="U40" s="186"/>
    </row>
    <row r="41" spans="1:21" x14ac:dyDescent="0.25">
      <c r="A41" s="186" t="s">
        <v>341</v>
      </c>
      <c r="B41" s="400">
        <v>0.95</v>
      </c>
      <c r="C41" s="186"/>
      <c r="D41" s="186" t="s">
        <v>319</v>
      </c>
      <c r="E41" s="186" t="s">
        <v>319</v>
      </c>
      <c r="F41" s="186" t="s">
        <v>319</v>
      </c>
      <c r="G41" s="186" t="s">
        <v>321</v>
      </c>
      <c r="H41" s="186" t="s">
        <v>322</v>
      </c>
      <c r="I41" s="186" t="s">
        <v>341</v>
      </c>
      <c r="J41" s="186" t="s">
        <v>861</v>
      </c>
      <c r="K41" s="186" t="s">
        <v>325</v>
      </c>
      <c r="L41" s="186" t="s">
        <v>453</v>
      </c>
      <c r="M41" s="186"/>
      <c r="N41" s="186"/>
      <c r="O41" s="186"/>
      <c r="P41" s="186"/>
      <c r="Q41" s="186"/>
      <c r="R41" s="186"/>
      <c r="S41" s="186"/>
      <c r="T41" s="186"/>
      <c r="U41" s="186"/>
    </row>
    <row r="42" spans="1:21" x14ac:dyDescent="0.25">
      <c r="A42" s="186" t="s">
        <v>341</v>
      </c>
      <c r="B42" s="400">
        <v>0.95</v>
      </c>
      <c r="C42" s="186"/>
      <c r="D42" s="186" t="s">
        <v>319</v>
      </c>
      <c r="E42" s="186" t="s">
        <v>319</v>
      </c>
      <c r="F42" s="186" t="s">
        <v>319</v>
      </c>
      <c r="G42" s="186" t="s">
        <v>321</v>
      </c>
      <c r="H42" s="186" t="s">
        <v>322</v>
      </c>
      <c r="I42" s="186" t="s">
        <v>341</v>
      </c>
      <c r="J42" s="186" t="s">
        <v>861</v>
      </c>
      <c r="K42" s="186" t="s">
        <v>325</v>
      </c>
      <c r="L42" s="186" t="s">
        <v>454</v>
      </c>
      <c r="M42" s="186"/>
      <c r="N42" s="186"/>
      <c r="O42" s="186"/>
      <c r="P42" s="186"/>
      <c r="Q42" s="186"/>
      <c r="R42" s="186"/>
      <c r="S42" s="186"/>
      <c r="T42" s="186"/>
      <c r="U42" s="186"/>
    </row>
    <row r="43" spans="1:21" x14ac:dyDescent="0.25">
      <c r="A43" s="186" t="s">
        <v>341</v>
      </c>
      <c r="B43" s="400">
        <v>0.96</v>
      </c>
      <c r="C43" s="186"/>
      <c r="D43" s="186" t="s">
        <v>319</v>
      </c>
      <c r="E43" s="186" t="s">
        <v>319</v>
      </c>
      <c r="F43" s="186" t="s">
        <v>319</v>
      </c>
      <c r="G43" s="186" t="s">
        <v>321</v>
      </c>
      <c r="H43" s="186" t="s">
        <v>322</v>
      </c>
      <c r="I43" s="186" t="s">
        <v>341</v>
      </c>
      <c r="J43" s="186" t="s">
        <v>861</v>
      </c>
      <c r="K43" s="186" t="s">
        <v>325</v>
      </c>
      <c r="L43" s="186" t="s">
        <v>455</v>
      </c>
      <c r="M43" s="186"/>
      <c r="N43" s="186"/>
      <c r="O43" s="186"/>
      <c r="P43" s="186"/>
      <c r="Q43" s="186"/>
      <c r="R43" s="186"/>
      <c r="S43" s="186"/>
      <c r="T43" s="186"/>
      <c r="U43" s="186"/>
    </row>
    <row r="44" spans="1:21" x14ac:dyDescent="0.25">
      <c r="A44" s="186" t="s">
        <v>341</v>
      </c>
      <c r="B44" s="400">
        <v>0.97</v>
      </c>
      <c r="C44" s="186"/>
      <c r="D44" s="186" t="s">
        <v>319</v>
      </c>
      <c r="E44" s="186" t="s">
        <v>319</v>
      </c>
      <c r="F44" s="186" t="s">
        <v>319</v>
      </c>
      <c r="G44" s="186" t="s">
        <v>321</v>
      </c>
      <c r="H44" s="186" t="s">
        <v>322</v>
      </c>
      <c r="I44" s="186" t="s">
        <v>341</v>
      </c>
      <c r="J44" s="186" t="s">
        <v>861</v>
      </c>
      <c r="K44" s="186" t="s">
        <v>325</v>
      </c>
      <c r="L44" s="186" t="s">
        <v>456</v>
      </c>
      <c r="M44" s="186"/>
      <c r="N44" s="186"/>
      <c r="O44" s="186"/>
      <c r="P44" s="186"/>
      <c r="Q44" s="186"/>
      <c r="R44" s="186"/>
      <c r="S44" s="186"/>
      <c r="T44" s="186"/>
      <c r="U44" s="186"/>
    </row>
    <row r="45" spans="1:21" x14ac:dyDescent="0.25">
      <c r="A45" s="186" t="s">
        <v>341</v>
      </c>
      <c r="B45" s="400">
        <v>0.98</v>
      </c>
      <c r="C45" s="186"/>
      <c r="D45" s="186" t="s">
        <v>319</v>
      </c>
      <c r="E45" s="186" t="s">
        <v>319</v>
      </c>
      <c r="F45" s="186" t="s">
        <v>319</v>
      </c>
      <c r="G45" s="186" t="s">
        <v>321</v>
      </c>
      <c r="H45" s="186" t="s">
        <v>322</v>
      </c>
      <c r="I45" s="186" t="s">
        <v>341</v>
      </c>
      <c r="J45" s="186" t="s">
        <v>861</v>
      </c>
      <c r="K45" s="186" t="s">
        <v>325</v>
      </c>
      <c r="L45" s="186" t="s">
        <v>457</v>
      </c>
      <c r="M45" s="186"/>
      <c r="N45" s="186"/>
      <c r="O45" s="186"/>
      <c r="P45" s="186"/>
      <c r="Q45" s="186"/>
      <c r="R45" s="186"/>
      <c r="S45" s="186"/>
      <c r="T45" s="186"/>
      <c r="U45" s="186"/>
    </row>
    <row r="46" spans="1:21" x14ac:dyDescent="0.25">
      <c r="A46" s="186" t="s">
        <v>341</v>
      </c>
      <c r="B46" s="400">
        <v>0.99</v>
      </c>
      <c r="C46" s="186"/>
      <c r="D46" s="186" t="s">
        <v>319</v>
      </c>
      <c r="E46" s="186" t="s">
        <v>319</v>
      </c>
      <c r="F46" s="186" t="s">
        <v>319</v>
      </c>
      <c r="G46" s="186" t="s">
        <v>321</v>
      </c>
      <c r="H46" s="186" t="s">
        <v>322</v>
      </c>
      <c r="I46" s="186" t="s">
        <v>341</v>
      </c>
      <c r="J46" s="186" t="s">
        <v>861</v>
      </c>
      <c r="K46" s="186" t="s">
        <v>325</v>
      </c>
      <c r="L46" s="186" t="s">
        <v>458</v>
      </c>
      <c r="M46" s="186"/>
      <c r="N46" s="186"/>
      <c r="O46" s="186"/>
      <c r="P46" s="186"/>
      <c r="Q46" s="186"/>
      <c r="R46" s="186"/>
      <c r="S46" s="186"/>
      <c r="T46" s="186"/>
      <c r="U46" s="186"/>
    </row>
    <row r="47" spans="1:21" x14ac:dyDescent="0.25">
      <c r="A47" s="186" t="s">
        <v>341</v>
      </c>
      <c r="B47" s="400">
        <v>1</v>
      </c>
      <c r="C47" s="186"/>
      <c r="D47" s="186" t="s">
        <v>319</v>
      </c>
      <c r="E47" s="186" t="s">
        <v>319</v>
      </c>
      <c r="F47" s="186" t="s">
        <v>319</v>
      </c>
      <c r="G47" s="186" t="s">
        <v>321</v>
      </c>
      <c r="H47" s="186" t="s">
        <v>322</v>
      </c>
      <c r="I47" s="186" t="s">
        <v>341</v>
      </c>
      <c r="J47" s="186" t="s">
        <v>861</v>
      </c>
      <c r="K47" s="186" t="s">
        <v>325</v>
      </c>
      <c r="L47" s="186" t="s">
        <v>459</v>
      </c>
      <c r="M47" s="186"/>
      <c r="N47" s="186"/>
      <c r="O47" s="186"/>
      <c r="P47" s="186"/>
      <c r="Q47" s="186"/>
      <c r="R47" s="186"/>
      <c r="S47" s="186"/>
      <c r="T47" s="186"/>
      <c r="U47" s="186"/>
    </row>
    <row r="48" spans="1:21" x14ac:dyDescent="0.25">
      <c r="A48" s="186" t="s">
        <v>341</v>
      </c>
      <c r="B48" s="400">
        <v>1.01</v>
      </c>
      <c r="C48" s="186"/>
      <c r="D48" s="186" t="s">
        <v>319</v>
      </c>
      <c r="E48" s="186" t="s">
        <v>319</v>
      </c>
      <c r="F48" s="186" t="s">
        <v>319</v>
      </c>
      <c r="G48" s="186" t="s">
        <v>321</v>
      </c>
      <c r="H48" s="186" t="s">
        <v>322</v>
      </c>
      <c r="I48" s="186" t="s">
        <v>341</v>
      </c>
      <c r="J48" s="186" t="s">
        <v>861</v>
      </c>
      <c r="K48" s="186" t="s">
        <v>325</v>
      </c>
      <c r="L48" s="186" t="s">
        <v>460</v>
      </c>
      <c r="M48" s="186"/>
      <c r="N48" s="186"/>
      <c r="O48" s="186"/>
      <c r="P48" s="186"/>
      <c r="Q48" s="186"/>
      <c r="R48" s="186"/>
      <c r="S48" s="186"/>
      <c r="T48" s="186"/>
      <c r="U48" s="186"/>
    </row>
    <row r="49" spans="1:21" x14ac:dyDescent="0.25">
      <c r="A49" s="186" t="s">
        <v>341</v>
      </c>
      <c r="B49" s="400">
        <v>1.02</v>
      </c>
      <c r="C49" s="186"/>
      <c r="D49" s="186" t="s">
        <v>319</v>
      </c>
      <c r="E49" s="186" t="s">
        <v>319</v>
      </c>
      <c r="F49" s="186" t="s">
        <v>319</v>
      </c>
      <c r="G49" s="186" t="s">
        <v>321</v>
      </c>
      <c r="H49" s="186" t="s">
        <v>322</v>
      </c>
      <c r="I49" s="186" t="s">
        <v>341</v>
      </c>
      <c r="J49" s="186" t="s">
        <v>861</v>
      </c>
      <c r="K49" s="186" t="s">
        <v>325</v>
      </c>
      <c r="L49" s="186" t="s">
        <v>461</v>
      </c>
      <c r="M49" s="186"/>
      <c r="N49" s="186"/>
      <c r="O49" s="186"/>
      <c r="P49" s="186"/>
      <c r="Q49" s="186"/>
      <c r="R49" s="186"/>
      <c r="S49" s="186"/>
      <c r="T49" s="186"/>
      <c r="U49" s="186"/>
    </row>
    <row r="50" spans="1:21" x14ac:dyDescent="0.25">
      <c r="A50" s="186" t="s">
        <v>341</v>
      </c>
      <c r="B50" s="400">
        <v>1.03</v>
      </c>
      <c r="C50" s="186"/>
      <c r="D50" s="186" t="s">
        <v>319</v>
      </c>
      <c r="E50" s="186" t="s">
        <v>319</v>
      </c>
      <c r="F50" s="186" t="s">
        <v>319</v>
      </c>
      <c r="G50" s="186" t="s">
        <v>321</v>
      </c>
      <c r="H50" s="186" t="s">
        <v>322</v>
      </c>
      <c r="I50" s="186" t="s">
        <v>341</v>
      </c>
      <c r="J50" s="186" t="s">
        <v>861</v>
      </c>
      <c r="K50" s="186" t="s">
        <v>325</v>
      </c>
      <c r="L50" s="186" t="s">
        <v>462</v>
      </c>
      <c r="M50" s="186"/>
      <c r="N50" s="186"/>
      <c r="O50" s="186"/>
      <c r="P50" s="186"/>
      <c r="Q50" s="186"/>
      <c r="R50" s="186"/>
      <c r="S50" s="186"/>
      <c r="T50" s="186"/>
      <c r="U50" s="186"/>
    </row>
    <row r="51" spans="1:21" x14ac:dyDescent="0.25">
      <c r="A51" s="186" t="s">
        <v>341</v>
      </c>
      <c r="B51" s="400">
        <v>1.04</v>
      </c>
      <c r="C51" s="186"/>
      <c r="D51" s="186" t="s">
        <v>319</v>
      </c>
      <c r="E51" s="186" t="s">
        <v>319</v>
      </c>
      <c r="F51" s="186" t="s">
        <v>319</v>
      </c>
      <c r="G51" s="186" t="s">
        <v>321</v>
      </c>
      <c r="H51" s="186" t="s">
        <v>322</v>
      </c>
      <c r="I51" s="186" t="s">
        <v>341</v>
      </c>
      <c r="J51" s="186" t="s">
        <v>861</v>
      </c>
      <c r="K51" s="186" t="s">
        <v>325</v>
      </c>
      <c r="L51" s="186" t="s">
        <v>463</v>
      </c>
      <c r="M51" s="186"/>
      <c r="N51" s="186"/>
      <c r="O51" s="186"/>
      <c r="P51" s="186"/>
      <c r="Q51" s="186"/>
      <c r="R51" s="186"/>
      <c r="S51" s="186"/>
      <c r="T51" s="186"/>
      <c r="U51" s="186"/>
    </row>
    <row r="52" spans="1:21" x14ac:dyDescent="0.25">
      <c r="A52" s="186" t="s">
        <v>341</v>
      </c>
      <c r="B52" s="400">
        <v>1.05</v>
      </c>
      <c r="C52" s="186"/>
      <c r="D52" s="186" t="s">
        <v>319</v>
      </c>
      <c r="E52" s="186" t="s">
        <v>319</v>
      </c>
      <c r="F52" s="186" t="s">
        <v>319</v>
      </c>
      <c r="G52" s="186" t="s">
        <v>321</v>
      </c>
      <c r="H52" s="186" t="s">
        <v>322</v>
      </c>
      <c r="I52" s="186" t="s">
        <v>341</v>
      </c>
      <c r="J52" s="186" t="s">
        <v>861</v>
      </c>
      <c r="K52" s="186" t="s">
        <v>325</v>
      </c>
      <c r="L52" s="186" t="s">
        <v>464</v>
      </c>
      <c r="M52" s="186"/>
      <c r="N52" s="186"/>
      <c r="O52" s="186"/>
      <c r="P52" s="186"/>
      <c r="Q52" s="186"/>
      <c r="R52" s="186"/>
      <c r="S52" s="186"/>
      <c r="T52" s="186"/>
      <c r="U52" s="186"/>
    </row>
    <row r="53" spans="1:21" x14ac:dyDescent="0.25">
      <c r="A53" s="186" t="s">
        <v>341</v>
      </c>
      <c r="B53" s="400">
        <v>1.05</v>
      </c>
      <c r="C53" s="186"/>
      <c r="D53" s="186" t="s">
        <v>319</v>
      </c>
      <c r="E53" s="186" t="s">
        <v>319</v>
      </c>
      <c r="F53" s="186" t="s">
        <v>319</v>
      </c>
      <c r="G53" s="186" t="s">
        <v>321</v>
      </c>
      <c r="H53" s="186" t="s">
        <v>322</v>
      </c>
      <c r="I53" s="186" t="s">
        <v>341</v>
      </c>
      <c r="J53" s="186" t="s">
        <v>861</v>
      </c>
      <c r="K53" s="186" t="s">
        <v>325</v>
      </c>
      <c r="L53" s="186" t="s">
        <v>465</v>
      </c>
      <c r="M53" s="186"/>
      <c r="N53" s="186"/>
      <c r="O53" s="186"/>
      <c r="P53" s="186"/>
      <c r="Q53" s="186"/>
      <c r="R53" s="186"/>
      <c r="S53" s="186"/>
      <c r="T53" s="186"/>
      <c r="U53" s="186"/>
    </row>
    <row r="54" spans="1:21" x14ac:dyDescent="0.25">
      <c r="A54" s="186" t="s">
        <v>341</v>
      </c>
      <c r="B54" s="400">
        <v>1.06</v>
      </c>
      <c r="C54" s="186"/>
      <c r="D54" s="186" t="s">
        <v>319</v>
      </c>
      <c r="E54" s="186" t="s">
        <v>319</v>
      </c>
      <c r="F54" s="186" t="s">
        <v>319</v>
      </c>
      <c r="G54" s="186" t="s">
        <v>321</v>
      </c>
      <c r="H54" s="186" t="s">
        <v>322</v>
      </c>
      <c r="I54" s="186" t="s">
        <v>341</v>
      </c>
      <c r="J54" s="186" t="s">
        <v>861</v>
      </c>
      <c r="K54" s="186" t="s">
        <v>325</v>
      </c>
      <c r="L54" s="186" t="s">
        <v>466</v>
      </c>
      <c r="M54" s="186"/>
      <c r="N54" s="186"/>
      <c r="O54" s="186"/>
      <c r="P54" s="186"/>
      <c r="Q54" s="186"/>
      <c r="R54" s="186"/>
      <c r="S54" s="186"/>
      <c r="T54" s="186"/>
      <c r="U54" s="186"/>
    </row>
    <row r="55" spans="1:21" x14ac:dyDescent="0.25">
      <c r="A55" s="186" t="s">
        <v>341</v>
      </c>
      <c r="B55" s="400">
        <v>1.07</v>
      </c>
      <c r="C55" s="186"/>
      <c r="D55" s="186" t="s">
        <v>319</v>
      </c>
      <c r="E55" s="186" t="s">
        <v>319</v>
      </c>
      <c r="F55" s="186" t="s">
        <v>319</v>
      </c>
      <c r="G55" s="186" t="s">
        <v>321</v>
      </c>
      <c r="H55" s="186" t="s">
        <v>322</v>
      </c>
      <c r="I55" s="186" t="s">
        <v>341</v>
      </c>
      <c r="J55" s="186" t="s">
        <v>861</v>
      </c>
      <c r="K55" s="186" t="s">
        <v>325</v>
      </c>
      <c r="L55" s="186" t="s">
        <v>467</v>
      </c>
      <c r="M55" s="186"/>
      <c r="N55" s="186"/>
      <c r="O55" s="186"/>
      <c r="P55" s="186"/>
      <c r="Q55" s="186"/>
      <c r="R55" s="186"/>
      <c r="S55" s="186"/>
      <c r="T55" s="186"/>
      <c r="U55" s="186"/>
    </row>
    <row r="56" spans="1:21" x14ac:dyDescent="0.25">
      <c r="A56" s="186" t="s">
        <v>341</v>
      </c>
      <c r="B56" s="400">
        <v>1.08</v>
      </c>
      <c r="C56" s="186"/>
      <c r="D56" s="186" t="s">
        <v>319</v>
      </c>
      <c r="E56" s="186" t="s">
        <v>319</v>
      </c>
      <c r="F56" s="186" t="s">
        <v>319</v>
      </c>
      <c r="G56" s="186" t="s">
        <v>321</v>
      </c>
      <c r="H56" s="186" t="s">
        <v>322</v>
      </c>
      <c r="I56" s="186" t="s">
        <v>341</v>
      </c>
      <c r="J56" s="186" t="s">
        <v>861</v>
      </c>
      <c r="K56" s="186" t="s">
        <v>325</v>
      </c>
      <c r="L56" s="186" t="s">
        <v>468</v>
      </c>
      <c r="M56" s="186"/>
      <c r="N56" s="186"/>
      <c r="O56" s="186"/>
      <c r="P56" s="186"/>
      <c r="Q56" s="186"/>
      <c r="R56" s="186"/>
      <c r="S56" s="186"/>
      <c r="T56" s="186"/>
      <c r="U56" s="186"/>
    </row>
    <row r="57" spans="1:21" x14ac:dyDescent="0.25">
      <c r="A57" s="186" t="s">
        <v>341</v>
      </c>
      <c r="B57" s="400">
        <v>1.0900000000000001</v>
      </c>
      <c r="C57" s="186"/>
      <c r="D57" s="186" t="s">
        <v>319</v>
      </c>
      <c r="E57" s="186" t="s">
        <v>319</v>
      </c>
      <c r="F57" s="186" t="s">
        <v>319</v>
      </c>
      <c r="G57" s="186" t="s">
        <v>321</v>
      </c>
      <c r="H57" s="186" t="s">
        <v>322</v>
      </c>
      <c r="I57" s="186" t="s">
        <v>341</v>
      </c>
      <c r="J57" s="186" t="s">
        <v>861</v>
      </c>
      <c r="K57" s="186" t="s">
        <v>325</v>
      </c>
      <c r="L57" s="186" t="s">
        <v>469</v>
      </c>
      <c r="M57" s="186"/>
      <c r="N57" s="186"/>
      <c r="O57" s="186"/>
      <c r="P57" s="186"/>
      <c r="Q57" s="186"/>
      <c r="R57" s="186"/>
      <c r="S57" s="186"/>
      <c r="T57" s="186"/>
      <c r="U57" s="186"/>
    </row>
    <row r="58" spans="1:21" x14ac:dyDescent="0.25">
      <c r="A58" s="186" t="s">
        <v>341</v>
      </c>
      <c r="B58" s="400">
        <v>1.1000000000000001</v>
      </c>
      <c r="C58" s="186"/>
      <c r="D58" s="186" t="s">
        <v>319</v>
      </c>
      <c r="E58" s="186" t="s">
        <v>319</v>
      </c>
      <c r="F58" s="186" t="s">
        <v>319</v>
      </c>
      <c r="G58" s="186" t="s">
        <v>321</v>
      </c>
      <c r="H58" s="186" t="s">
        <v>322</v>
      </c>
      <c r="I58" s="186" t="s">
        <v>341</v>
      </c>
      <c r="J58" s="186" t="s">
        <v>861</v>
      </c>
      <c r="K58" s="186" t="s">
        <v>325</v>
      </c>
      <c r="L58" s="186" t="s">
        <v>863</v>
      </c>
      <c r="M58" s="186"/>
      <c r="N58" s="186"/>
      <c r="O58" s="186"/>
      <c r="P58" s="186"/>
      <c r="Q58" s="186"/>
      <c r="R58" s="186"/>
      <c r="S58" s="186"/>
      <c r="T58" s="186"/>
      <c r="U58" s="186"/>
    </row>
    <row r="59" spans="1:21" x14ac:dyDescent="0.25">
      <c r="A59" s="638" t="s">
        <v>614</v>
      </c>
      <c r="B59" s="637">
        <v>1</v>
      </c>
      <c r="C59" s="638"/>
      <c r="D59" s="186" t="s">
        <v>319</v>
      </c>
      <c r="E59" s="186" t="s">
        <v>319</v>
      </c>
      <c r="F59" s="186" t="s">
        <v>319</v>
      </c>
      <c r="G59" s="186" t="s">
        <v>614</v>
      </c>
      <c r="H59" s="186" t="s">
        <v>339</v>
      </c>
      <c r="I59" s="186">
        <v>0</v>
      </c>
      <c r="J59" s="186" t="s">
        <v>321</v>
      </c>
      <c r="K59" s="186" t="s">
        <v>340</v>
      </c>
      <c r="L59" s="186" t="s">
        <v>811</v>
      </c>
      <c r="M59" s="186" t="s">
        <v>812</v>
      </c>
      <c r="N59" s="186" t="s">
        <v>325</v>
      </c>
      <c r="O59" s="186" t="s">
        <v>813</v>
      </c>
      <c r="P59" s="186"/>
      <c r="Q59" s="186"/>
      <c r="R59" s="186"/>
      <c r="S59" s="186"/>
      <c r="T59" s="186"/>
      <c r="U59" s="186"/>
    </row>
    <row r="60" spans="1:21" x14ac:dyDescent="0.25">
      <c r="A60" s="638" t="s">
        <v>614</v>
      </c>
      <c r="B60" s="637">
        <v>1</v>
      </c>
      <c r="C60" s="638"/>
      <c r="D60" s="186" t="s">
        <v>319</v>
      </c>
      <c r="E60" s="186" t="s">
        <v>319</v>
      </c>
      <c r="F60" s="186" t="s">
        <v>319</v>
      </c>
      <c r="G60" s="186" t="s">
        <v>614</v>
      </c>
      <c r="H60" s="186" t="s">
        <v>339</v>
      </c>
      <c r="I60" s="186">
        <v>0</v>
      </c>
      <c r="J60" s="186" t="s">
        <v>321</v>
      </c>
      <c r="K60" s="186" t="s">
        <v>340</v>
      </c>
      <c r="L60" s="186" t="s">
        <v>811</v>
      </c>
      <c r="M60" s="186" t="s">
        <v>812</v>
      </c>
      <c r="N60" s="186" t="s">
        <v>325</v>
      </c>
      <c r="O60" s="186" t="s">
        <v>814</v>
      </c>
      <c r="P60" s="186"/>
      <c r="Q60" s="186"/>
      <c r="R60" s="186"/>
      <c r="S60" s="186"/>
      <c r="T60" s="186"/>
      <c r="U60" s="186"/>
    </row>
    <row r="61" spans="1:21" x14ac:dyDescent="0.25">
      <c r="A61" s="638" t="s">
        <v>614</v>
      </c>
      <c r="B61" s="637">
        <v>1</v>
      </c>
      <c r="C61" s="638"/>
      <c r="D61" s="186" t="s">
        <v>319</v>
      </c>
      <c r="E61" s="186" t="s">
        <v>319</v>
      </c>
      <c r="F61" s="186" t="s">
        <v>319</v>
      </c>
      <c r="G61" s="186" t="s">
        <v>614</v>
      </c>
      <c r="H61" s="186" t="s">
        <v>339</v>
      </c>
      <c r="I61" s="186">
        <v>0</v>
      </c>
      <c r="J61" s="186" t="s">
        <v>321</v>
      </c>
      <c r="K61" s="186" t="s">
        <v>340</v>
      </c>
      <c r="L61" s="186" t="s">
        <v>811</v>
      </c>
      <c r="M61" s="186" t="s">
        <v>812</v>
      </c>
      <c r="N61" s="186" t="s">
        <v>325</v>
      </c>
      <c r="O61" s="186" t="s">
        <v>815</v>
      </c>
      <c r="P61" s="186"/>
      <c r="Q61" s="186"/>
      <c r="R61" s="186"/>
      <c r="S61" s="186"/>
      <c r="T61" s="186"/>
      <c r="U61" s="186"/>
    </row>
    <row r="62" spans="1:21" x14ac:dyDescent="0.25">
      <c r="A62" s="638" t="s">
        <v>614</v>
      </c>
      <c r="B62" s="637">
        <v>1</v>
      </c>
      <c r="C62" s="638"/>
      <c r="D62" s="186" t="s">
        <v>319</v>
      </c>
      <c r="E62" s="186" t="s">
        <v>319</v>
      </c>
      <c r="F62" s="186" t="s">
        <v>319</v>
      </c>
      <c r="G62" s="186" t="s">
        <v>614</v>
      </c>
      <c r="H62" s="186" t="s">
        <v>339</v>
      </c>
      <c r="I62" s="186">
        <v>0</v>
      </c>
      <c r="J62" s="186" t="s">
        <v>321</v>
      </c>
      <c r="K62" s="186" t="s">
        <v>340</v>
      </c>
      <c r="L62" s="186" t="s">
        <v>811</v>
      </c>
      <c r="M62" s="186" t="s">
        <v>812</v>
      </c>
      <c r="N62" s="186" t="s">
        <v>325</v>
      </c>
      <c r="O62" s="186" t="s">
        <v>816</v>
      </c>
      <c r="P62" s="186"/>
      <c r="Q62" s="186"/>
      <c r="R62" s="186"/>
      <c r="S62" s="186"/>
      <c r="T62" s="186"/>
      <c r="U62" s="186"/>
    </row>
    <row r="63" spans="1:21" x14ac:dyDescent="0.25">
      <c r="A63" s="638" t="s">
        <v>614</v>
      </c>
      <c r="B63" s="637">
        <v>1</v>
      </c>
      <c r="C63" s="638"/>
      <c r="D63" s="186" t="s">
        <v>319</v>
      </c>
      <c r="E63" s="186" t="s">
        <v>319</v>
      </c>
      <c r="F63" s="186" t="s">
        <v>319</v>
      </c>
      <c r="G63" s="186" t="s">
        <v>614</v>
      </c>
      <c r="H63" s="186" t="s">
        <v>339</v>
      </c>
      <c r="I63" s="186">
        <v>0</v>
      </c>
      <c r="J63" s="186" t="s">
        <v>321</v>
      </c>
      <c r="K63" s="186" t="s">
        <v>340</v>
      </c>
      <c r="L63" s="186" t="s">
        <v>811</v>
      </c>
      <c r="M63" s="186" t="s">
        <v>812</v>
      </c>
      <c r="N63" s="186" t="s">
        <v>325</v>
      </c>
      <c r="O63" s="186" t="s">
        <v>817</v>
      </c>
      <c r="P63" s="186"/>
      <c r="Q63" s="186"/>
      <c r="R63" s="186"/>
      <c r="S63" s="186"/>
      <c r="T63" s="186"/>
      <c r="U63" s="186"/>
    </row>
    <row r="64" spans="1:21" x14ac:dyDescent="0.25">
      <c r="A64" s="638" t="s">
        <v>614</v>
      </c>
      <c r="B64" s="637">
        <v>1</v>
      </c>
      <c r="C64" s="638"/>
      <c r="D64" s="186" t="s">
        <v>319</v>
      </c>
      <c r="E64" s="186" t="s">
        <v>319</v>
      </c>
      <c r="F64" s="186" t="s">
        <v>319</v>
      </c>
      <c r="G64" s="186" t="s">
        <v>614</v>
      </c>
      <c r="H64" s="186" t="s">
        <v>339</v>
      </c>
      <c r="I64" s="186">
        <v>0</v>
      </c>
      <c r="J64" s="186" t="s">
        <v>321</v>
      </c>
      <c r="K64" s="186" t="s">
        <v>340</v>
      </c>
      <c r="L64" s="186" t="s">
        <v>811</v>
      </c>
      <c r="M64" s="186" t="s">
        <v>812</v>
      </c>
      <c r="N64" s="186" t="s">
        <v>325</v>
      </c>
      <c r="O64" s="186" t="s">
        <v>818</v>
      </c>
      <c r="P64" s="186"/>
      <c r="Q64" s="186"/>
      <c r="R64" s="186"/>
      <c r="S64" s="186"/>
      <c r="T64" s="186"/>
      <c r="U64" s="186"/>
    </row>
    <row r="65" spans="1:21" x14ac:dyDescent="0.25">
      <c r="A65" s="638" t="s">
        <v>614</v>
      </c>
      <c r="B65" s="637">
        <v>1</v>
      </c>
      <c r="C65" s="638"/>
      <c r="D65" s="186" t="s">
        <v>319</v>
      </c>
      <c r="E65" s="186" t="s">
        <v>319</v>
      </c>
      <c r="F65" s="186" t="s">
        <v>319</v>
      </c>
      <c r="G65" s="186" t="s">
        <v>614</v>
      </c>
      <c r="H65" s="186" t="s">
        <v>339</v>
      </c>
      <c r="I65" s="186">
        <v>0</v>
      </c>
      <c r="J65" s="186" t="s">
        <v>321</v>
      </c>
      <c r="K65" s="186" t="s">
        <v>340</v>
      </c>
      <c r="L65" s="186" t="s">
        <v>811</v>
      </c>
      <c r="M65" s="186" t="s">
        <v>812</v>
      </c>
      <c r="N65" s="186" t="s">
        <v>325</v>
      </c>
      <c r="O65" s="186" t="s">
        <v>819</v>
      </c>
      <c r="P65" s="186"/>
      <c r="Q65" s="186"/>
      <c r="R65" s="186"/>
      <c r="S65" s="186"/>
      <c r="T65" s="186"/>
      <c r="U65" s="186"/>
    </row>
    <row r="66" spans="1:21" x14ac:dyDescent="0.25">
      <c r="A66" s="638" t="s">
        <v>614</v>
      </c>
      <c r="B66" s="637">
        <v>1</v>
      </c>
      <c r="C66" s="638"/>
      <c r="D66" s="186" t="s">
        <v>319</v>
      </c>
      <c r="E66" s="186" t="s">
        <v>319</v>
      </c>
      <c r="F66" s="186" t="s">
        <v>319</v>
      </c>
      <c r="G66" s="186" t="s">
        <v>614</v>
      </c>
      <c r="H66" s="186" t="s">
        <v>339</v>
      </c>
      <c r="I66" s="186">
        <v>0</v>
      </c>
      <c r="J66" s="186" t="s">
        <v>321</v>
      </c>
      <c r="K66" s="186" t="s">
        <v>340</v>
      </c>
      <c r="L66" s="186" t="s">
        <v>811</v>
      </c>
      <c r="M66" s="186" t="s">
        <v>812</v>
      </c>
      <c r="N66" s="186" t="s">
        <v>325</v>
      </c>
      <c r="O66" s="186" t="s">
        <v>820</v>
      </c>
      <c r="P66" s="186"/>
      <c r="Q66" s="186"/>
      <c r="R66" s="186"/>
      <c r="S66" s="186"/>
      <c r="T66" s="186"/>
      <c r="U66" s="186"/>
    </row>
    <row r="67" spans="1:21" x14ac:dyDescent="0.25">
      <c r="A67" s="638" t="s">
        <v>614</v>
      </c>
      <c r="B67" s="637">
        <v>1</v>
      </c>
      <c r="C67" s="638"/>
      <c r="D67" s="186" t="s">
        <v>319</v>
      </c>
      <c r="E67" s="186" t="s">
        <v>319</v>
      </c>
      <c r="F67" s="186" t="s">
        <v>319</v>
      </c>
      <c r="G67" s="186" t="s">
        <v>614</v>
      </c>
      <c r="H67" s="186" t="s">
        <v>339</v>
      </c>
      <c r="I67" s="186">
        <v>0</v>
      </c>
      <c r="J67" s="186" t="s">
        <v>321</v>
      </c>
      <c r="K67" s="186" t="s">
        <v>340</v>
      </c>
      <c r="L67" s="186" t="s">
        <v>811</v>
      </c>
      <c r="M67" s="186" t="s">
        <v>812</v>
      </c>
      <c r="N67" s="186" t="s">
        <v>325</v>
      </c>
      <c r="O67" s="186" t="s">
        <v>821</v>
      </c>
      <c r="P67" s="186"/>
      <c r="Q67" s="186"/>
      <c r="R67" s="186"/>
      <c r="S67" s="186"/>
      <c r="T67" s="186"/>
      <c r="U67" s="186"/>
    </row>
    <row r="68" spans="1:21" x14ac:dyDescent="0.25">
      <c r="A68" s="638" t="s">
        <v>614</v>
      </c>
      <c r="B68" s="637">
        <v>0.95240000000000002</v>
      </c>
      <c r="C68" s="638"/>
      <c r="D68" s="186" t="s">
        <v>319</v>
      </c>
      <c r="E68" s="186" t="s">
        <v>319</v>
      </c>
      <c r="F68" s="186" t="s">
        <v>319</v>
      </c>
      <c r="G68" s="186" t="s">
        <v>614</v>
      </c>
      <c r="H68" s="186" t="s">
        <v>339</v>
      </c>
      <c r="I68" s="186">
        <v>100</v>
      </c>
      <c r="J68" s="186" t="s">
        <v>321</v>
      </c>
      <c r="K68" s="186" t="s">
        <v>340</v>
      </c>
      <c r="L68" s="186" t="s">
        <v>811</v>
      </c>
      <c r="M68" s="186" t="s">
        <v>812</v>
      </c>
      <c r="N68" s="186" t="s">
        <v>325</v>
      </c>
      <c r="O68" s="186" t="s">
        <v>813</v>
      </c>
      <c r="P68" s="186"/>
      <c r="Q68" s="186"/>
      <c r="R68" s="186"/>
      <c r="S68" s="186"/>
      <c r="T68" s="186"/>
      <c r="U68" s="186"/>
    </row>
    <row r="69" spans="1:21" x14ac:dyDescent="0.25">
      <c r="A69" s="638" t="s">
        <v>614</v>
      </c>
      <c r="B69" s="637">
        <v>0.97070000000000001</v>
      </c>
      <c r="C69" s="638"/>
      <c r="D69" s="186" t="s">
        <v>319</v>
      </c>
      <c r="E69" s="186" t="s">
        <v>319</v>
      </c>
      <c r="F69" s="186" t="s">
        <v>319</v>
      </c>
      <c r="G69" s="186" t="s">
        <v>614</v>
      </c>
      <c r="H69" s="186" t="s">
        <v>339</v>
      </c>
      <c r="I69" s="186">
        <v>100</v>
      </c>
      <c r="J69" s="186" t="s">
        <v>321</v>
      </c>
      <c r="K69" s="186" t="s">
        <v>340</v>
      </c>
      <c r="L69" s="186" t="s">
        <v>811</v>
      </c>
      <c r="M69" s="186" t="s">
        <v>812</v>
      </c>
      <c r="N69" s="186" t="s">
        <v>325</v>
      </c>
      <c r="O69" s="186" t="s">
        <v>814</v>
      </c>
      <c r="P69" s="186"/>
      <c r="Q69" s="186"/>
      <c r="R69" s="186"/>
      <c r="S69" s="186"/>
      <c r="T69" s="186"/>
      <c r="U69" s="186"/>
    </row>
    <row r="70" spans="1:21" x14ac:dyDescent="0.25">
      <c r="A70" s="638" t="s">
        <v>614</v>
      </c>
      <c r="B70" s="637">
        <v>0.98040000000000005</v>
      </c>
      <c r="C70" s="638"/>
      <c r="D70" s="186" t="s">
        <v>319</v>
      </c>
      <c r="E70" s="186" t="s">
        <v>319</v>
      </c>
      <c r="F70" s="186" t="s">
        <v>319</v>
      </c>
      <c r="G70" s="186" t="s">
        <v>614</v>
      </c>
      <c r="H70" s="186" t="s">
        <v>339</v>
      </c>
      <c r="I70" s="186">
        <v>100</v>
      </c>
      <c r="J70" s="186" t="s">
        <v>321</v>
      </c>
      <c r="K70" s="186" t="s">
        <v>340</v>
      </c>
      <c r="L70" s="186" t="s">
        <v>811</v>
      </c>
      <c r="M70" s="186" t="s">
        <v>812</v>
      </c>
      <c r="N70" s="186" t="s">
        <v>325</v>
      </c>
      <c r="O70" s="186" t="s">
        <v>815</v>
      </c>
      <c r="P70" s="186"/>
      <c r="Q70" s="186"/>
      <c r="R70" s="186"/>
      <c r="S70" s="186"/>
      <c r="T70" s="186"/>
      <c r="U70" s="186"/>
    </row>
    <row r="71" spans="1:21" x14ac:dyDescent="0.25">
      <c r="A71" s="638" t="s">
        <v>614</v>
      </c>
      <c r="B71" s="637">
        <v>0.98540000000000005</v>
      </c>
      <c r="C71" s="638"/>
      <c r="D71" s="186" t="s">
        <v>319</v>
      </c>
      <c r="E71" s="186" t="s">
        <v>319</v>
      </c>
      <c r="F71" s="186" t="s">
        <v>319</v>
      </c>
      <c r="G71" s="186" t="s">
        <v>614</v>
      </c>
      <c r="H71" s="186" t="s">
        <v>339</v>
      </c>
      <c r="I71" s="186">
        <v>100</v>
      </c>
      <c r="J71" s="186" t="s">
        <v>321</v>
      </c>
      <c r="K71" s="186" t="s">
        <v>340</v>
      </c>
      <c r="L71" s="186" t="s">
        <v>811</v>
      </c>
      <c r="M71" s="186" t="s">
        <v>812</v>
      </c>
      <c r="N71" s="186" t="s">
        <v>325</v>
      </c>
      <c r="O71" s="186" t="s">
        <v>816</v>
      </c>
      <c r="P71" s="186"/>
      <c r="Q71" s="186"/>
      <c r="R71" s="186"/>
      <c r="S71" s="186"/>
      <c r="T71" s="186"/>
      <c r="U71" s="186"/>
    </row>
    <row r="72" spans="1:21" x14ac:dyDescent="0.25">
      <c r="A72" s="638" t="s">
        <v>614</v>
      </c>
      <c r="B72" s="637">
        <v>0.98740000000000006</v>
      </c>
      <c r="C72" s="638"/>
      <c r="D72" s="186" t="s">
        <v>319</v>
      </c>
      <c r="E72" s="186" t="s">
        <v>319</v>
      </c>
      <c r="F72" s="186" t="s">
        <v>319</v>
      </c>
      <c r="G72" s="186" t="s">
        <v>614</v>
      </c>
      <c r="H72" s="186" t="s">
        <v>339</v>
      </c>
      <c r="I72" s="186">
        <v>100</v>
      </c>
      <c r="J72" s="186" t="s">
        <v>321</v>
      </c>
      <c r="K72" s="186" t="s">
        <v>340</v>
      </c>
      <c r="L72" s="186" t="s">
        <v>811</v>
      </c>
      <c r="M72" s="186" t="s">
        <v>812</v>
      </c>
      <c r="N72" s="186" t="s">
        <v>325</v>
      </c>
      <c r="O72" s="186" t="s">
        <v>817</v>
      </c>
      <c r="P72" s="186"/>
      <c r="Q72" s="186"/>
      <c r="R72" s="186"/>
      <c r="S72" s="186"/>
      <c r="T72" s="186"/>
      <c r="U72" s="186"/>
    </row>
    <row r="73" spans="1:21" x14ac:dyDescent="0.25">
      <c r="A73" s="638" t="s">
        <v>614</v>
      </c>
      <c r="B73" s="637">
        <v>0.99119999999999997</v>
      </c>
      <c r="C73" s="638"/>
      <c r="D73" s="186" t="s">
        <v>319</v>
      </c>
      <c r="E73" s="186" t="s">
        <v>319</v>
      </c>
      <c r="F73" s="186" t="s">
        <v>319</v>
      </c>
      <c r="G73" s="186" t="s">
        <v>614</v>
      </c>
      <c r="H73" s="186" t="s">
        <v>339</v>
      </c>
      <c r="I73" s="186">
        <v>100</v>
      </c>
      <c r="J73" s="186" t="s">
        <v>321</v>
      </c>
      <c r="K73" s="186" t="s">
        <v>340</v>
      </c>
      <c r="L73" s="186" t="s">
        <v>811</v>
      </c>
      <c r="M73" s="186" t="s">
        <v>812</v>
      </c>
      <c r="N73" s="186" t="s">
        <v>325</v>
      </c>
      <c r="O73" s="186" t="s">
        <v>818</v>
      </c>
      <c r="P73" s="186"/>
      <c r="Q73" s="186"/>
      <c r="R73" s="186"/>
      <c r="S73" s="186"/>
      <c r="T73" s="186"/>
      <c r="U73" s="186"/>
    </row>
    <row r="74" spans="1:21" x14ac:dyDescent="0.25">
      <c r="A74" s="638" t="s">
        <v>614</v>
      </c>
      <c r="B74" s="637">
        <v>0.99309999999999998</v>
      </c>
      <c r="C74" s="638"/>
      <c r="D74" s="186" t="s">
        <v>319</v>
      </c>
      <c r="E74" s="186" t="s">
        <v>319</v>
      </c>
      <c r="F74" s="186" t="s">
        <v>319</v>
      </c>
      <c r="G74" s="186" t="s">
        <v>614</v>
      </c>
      <c r="H74" s="186" t="s">
        <v>339</v>
      </c>
      <c r="I74" s="186">
        <v>100</v>
      </c>
      <c r="J74" s="186" t="s">
        <v>321</v>
      </c>
      <c r="K74" s="186" t="s">
        <v>340</v>
      </c>
      <c r="L74" s="186" t="s">
        <v>811</v>
      </c>
      <c r="M74" s="186" t="s">
        <v>812</v>
      </c>
      <c r="N74" s="186" t="s">
        <v>325</v>
      </c>
      <c r="O74" s="186" t="s">
        <v>819</v>
      </c>
      <c r="P74" s="186"/>
      <c r="Q74" s="186"/>
      <c r="R74" s="186"/>
      <c r="S74" s="186"/>
      <c r="T74" s="186"/>
      <c r="U74" s="186"/>
    </row>
    <row r="75" spans="1:21" x14ac:dyDescent="0.25">
      <c r="A75" s="638" t="s">
        <v>614</v>
      </c>
      <c r="B75" s="637">
        <v>0.99670000000000003</v>
      </c>
      <c r="C75" s="638"/>
      <c r="D75" s="186" t="s">
        <v>319</v>
      </c>
      <c r="E75" s="186" t="s">
        <v>319</v>
      </c>
      <c r="F75" s="186" t="s">
        <v>319</v>
      </c>
      <c r="G75" s="186" t="s">
        <v>614</v>
      </c>
      <c r="H75" s="186" t="s">
        <v>339</v>
      </c>
      <c r="I75" s="186">
        <v>100</v>
      </c>
      <c r="J75" s="186" t="s">
        <v>321</v>
      </c>
      <c r="K75" s="186" t="s">
        <v>340</v>
      </c>
      <c r="L75" s="186" t="s">
        <v>811</v>
      </c>
      <c r="M75" s="186" t="s">
        <v>812</v>
      </c>
      <c r="N75" s="186" t="s">
        <v>325</v>
      </c>
      <c r="O75" s="186" t="s">
        <v>820</v>
      </c>
      <c r="P75" s="186"/>
      <c r="Q75" s="186"/>
      <c r="R75" s="186"/>
      <c r="S75" s="186"/>
      <c r="T75" s="186"/>
      <c r="U75" s="186"/>
    </row>
    <row r="76" spans="1:21" x14ac:dyDescent="0.25">
      <c r="A76" s="638" t="s">
        <v>614</v>
      </c>
      <c r="B76" s="637">
        <v>0.99809999999999999</v>
      </c>
      <c r="C76" s="638"/>
      <c r="D76" s="186" t="s">
        <v>319</v>
      </c>
      <c r="E76" s="186" t="s">
        <v>319</v>
      </c>
      <c r="F76" s="186" t="s">
        <v>319</v>
      </c>
      <c r="G76" s="186" t="s">
        <v>614</v>
      </c>
      <c r="H76" s="186" t="s">
        <v>339</v>
      </c>
      <c r="I76" s="186">
        <v>100</v>
      </c>
      <c r="J76" s="186" t="s">
        <v>321</v>
      </c>
      <c r="K76" s="186" t="s">
        <v>340</v>
      </c>
      <c r="L76" s="186" t="s">
        <v>811</v>
      </c>
      <c r="M76" s="186" t="s">
        <v>812</v>
      </c>
      <c r="N76" s="186" t="s">
        <v>325</v>
      </c>
      <c r="O76" s="186" t="s">
        <v>821</v>
      </c>
      <c r="P76" s="186"/>
      <c r="Q76" s="186"/>
      <c r="R76" s="186"/>
      <c r="S76" s="186"/>
      <c r="T76" s="186"/>
      <c r="U76" s="186"/>
    </row>
    <row r="77" spans="1:21" x14ac:dyDescent="0.25">
      <c r="A77" s="638" t="s">
        <v>614</v>
      </c>
      <c r="B77" s="637">
        <v>0.88570000000000004</v>
      </c>
      <c r="C77" s="638"/>
      <c r="D77" s="186" t="s">
        <v>319</v>
      </c>
      <c r="E77" s="186" t="s">
        <v>319</v>
      </c>
      <c r="F77" s="186" t="s">
        <v>319</v>
      </c>
      <c r="G77" s="186" t="s">
        <v>614</v>
      </c>
      <c r="H77" s="186" t="s">
        <v>339</v>
      </c>
      <c r="I77" s="186">
        <v>250</v>
      </c>
      <c r="J77" s="186" t="s">
        <v>321</v>
      </c>
      <c r="K77" s="186" t="s">
        <v>340</v>
      </c>
      <c r="L77" s="186" t="s">
        <v>811</v>
      </c>
      <c r="M77" s="186" t="s">
        <v>812</v>
      </c>
      <c r="N77" s="186" t="s">
        <v>325</v>
      </c>
      <c r="O77" s="186" t="s">
        <v>813</v>
      </c>
      <c r="P77" s="186"/>
      <c r="Q77" s="186"/>
      <c r="R77" s="186"/>
      <c r="S77" s="186"/>
      <c r="T77" s="186"/>
      <c r="U77" s="186"/>
    </row>
    <row r="78" spans="1:21" x14ac:dyDescent="0.25">
      <c r="A78" s="638" t="s">
        <v>614</v>
      </c>
      <c r="B78" s="637">
        <v>0.92920000000000003</v>
      </c>
      <c r="C78" s="638"/>
      <c r="D78" s="186" t="s">
        <v>319</v>
      </c>
      <c r="E78" s="186" t="s">
        <v>319</v>
      </c>
      <c r="F78" s="186" t="s">
        <v>319</v>
      </c>
      <c r="G78" s="186" t="s">
        <v>614</v>
      </c>
      <c r="H78" s="186" t="s">
        <v>339</v>
      </c>
      <c r="I78" s="186">
        <v>250</v>
      </c>
      <c r="J78" s="186" t="s">
        <v>321</v>
      </c>
      <c r="K78" s="186" t="s">
        <v>340</v>
      </c>
      <c r="L78" s="186" t="s">
        <v>811</v>
      </c>
      <c r="M78" s="186" t="s">
        <v>812</v>
      </c>
      <c r="N78" s="186" t="s">
        <v>325</v>
      </c>
      <c r="O78" s="186" t="s">
        <v>814</v>
      </c>
      <c r="P78" s="186"/>
      <c r="Q78" s="186"/>
      <c r="R78" s="186"/>
      <c r="S78" s="186"/>
      <c r="T78" s="186"/>
      <c r="U78" s="186"/>
    </row>
    <row r="79" spans="1:21" x14ac:dyDescent="0.25">
      <c r="A79" s="638" t="s">
        <v>614</v>
      </c>
      <c r="B79" s="637">
        <v>0.95279999999999998</v>
      </c>
      <c r="C79" s="638"/>
      <c r="D79" s="186" t="s">
        <v>319</v>
      </c>
      <c r="E79" s="186" t="s">
        <v>319</v>
      </c>
      <c r="F79" s="186" t="s">
        <v>319</v>
      </c>
      <c r="G79" s="186" t="s">
        <v>614</v>
      </c>
      <c r="H79" s="186" t="s">
        <v>339</v>
      </c>
      <c r="I79" s="186">
        <v>250</v>
      </c>
      <c r="J79" s="186" t="s">
        <v>321</v>
      </c>
      <c r="K79" s="186" t="s">
        <v>340</v>
      </c>
      <c r="L79" s="186" t="s">
        <v>811</v>
      </c>
      <c r="M79" s="186" t="s">
        <v>812</v>
      </c>
      <c r="N79" s="186" t="s">
        <v>325</v>
      </c>
      <c r="O79" s="186" t="s">
        <v>815</v>
      </c>
      <c r="P79" s="186"/>
      <c r="Q79" s="186"/>
      <c r="R79" s="186"/>
      <c r="S79" s="186"/>
      <c r="T79" s="186"/>
      <c r="U79" s="186"/>
    </row>
    <row r="80" spans="1:21" x14ac:dyDescent="0.25">
      <c r="A80" s="638" t="s">
        <v>614</v>
      </c>
      <c r="B80" s="637">
        <v>0.96450000000000002</v>
      </c>
      <c r="C80" s="638"/>
      <c r="D80" s="186" t="s">
        <v>319</v>
      </c>
      <c r="E80" s="186" t="s">
        <v>319</v>
      </c>
      <c r="F80" s="186" t="s">
        <v>319</v>
      </c>
      <c r="G80" s="186" t="s">
        <v>614</v>
      </c>
      <c r="H80" s="186" t="s">
        <v>339</v>
      </c>
      <c r="I80" s="186">
        <v>250</v>
      </c>
      <c r="J80" s="186" t="s">
        <v>321</v>
      </c>
      <c r="K80" s="186" t="s">
        <v>340</v>
      </c>
      <c r="L80" s="186" t="s">
        <v>811</v>
      </c>
      <c r="M80" s="186" t="s">
        <v>812</v>
      </c>
      <c r="N80" s="186" t="s">
        <v>325</v>
      </c>
      <c r="O80" s="186" t="s">
        <v>816</v>
      </c>
      <c r="P80" s="186"/>
      <c r="Q80" s="186"/>
      <c r="R80" s="186"/>
      <c r="S80" s="186"/>
      <c r="T80" s="186"/>
      <c r="U80" s="186"/>
    </row>
    <row r="81" spans="1:21" x14ac:dyDescent="0.25">
      <c r="A81" s="638" t="s">
        <v>614</v>
      </c>
      <c r="B81" s="637">
        <v>0.96960000000000002</v>
      </c>
      <c r="C81" s="638"/>
      <c r="D81" s="186" t="s">
        <v>319</v>
      </c>
      <c r="E81" s="186" t="s">
        <v>319</v>
      </c>
      <c r="F81" s="186" t="s">
        <v>319</v>
      </c>
      <c r="G81" s="186" t="s">
        <v>614</v>
      </c>
      <c r="H81" s="186" t="s">
        <v>339</v>
      </c>
      <c r="I81" s="186">
        <v>250</v>
      </c>
      <c r="J81" s="186" t="s">
        <v>321</v>
      </c>
      <c r="K81" s="186" t="s">
        <v>340</v>
      </c>
      <c r="L81" s="186" t="s">
        <v>811</v>
      </c>
      <c r="M81" s="186" t="s">
        <v>812</v>
      </c>
      <c r="N81" s="186" t="s">
        <v>325</v>
      </c>
      <c r="O81" s="186" t="s">
        <v>817</v>
      </c>
      <c r="P81" s="186"/>
      <c r="Q81" s="186"/>
      <c r="R81" s="186"/>
      <c r="S81" s="186"/>
      <c r="T81" s="186"/>
      <c r="U81" s="186"/>
    </row>
    <row r="82" spans="1:21" x14ac:dyDescent="0.25">
      <c r="A82" s="638" t="s">
        <v>614</v>
      </c>
      <c r="B82" s="637">
        <v>0.97840000000000005</v>
      </c>
      <c r="C82" s="638"/>
      <c r="D82" s="186" t="s">
        <v>319</v>
      </c>
      <c r="E82" s="186" t="s">
        <v>319</v>
      </c>
      <c r="F82" s="186" t="s">
        <v>319</v>
      </c>
      <c r="G82" s="186" t="s">
        <v>614</v>
      </c>
      <c r="H82" s="186" t="s">
        <v>339</v>
      </c>
      <c r="I82" s="186">
        <v>250</v>
      </c>
      <c r="J82" s="186" t="s">
        <v>321</v>
      </c>
      <c r="K82" s="186" t="s">
        <v>340</v>
      </c>
      <c r="L82" s="186" t="s">
        <v>811</v>
      </c>
      <c r="M82" s="186" t="s">
        <v>812</v>
      </c>
      <c r="N82" s="186" t="s">
        <v>325</v>
      </c>
      <c r="O82" s="186" t="s">
        <v>818</v>
      </c>
      <c r="P82" s="186"/>
      <c r="Q82" s="186"/>
      <c r="R82" s="186"/>
      <c r="S82" s="186"/>
      <c r="T82" s="186"/>
      <c r="U82" s="186"/>
    </row>
    <row r="83" spans="1:21" x14ac:dyDescent="0.25">
      <c r="A83" s="638" t="s">
        <v>614</v>
      </c>
      <c r="B83" s="637">
        <v>0.98329999999999995</v>
      </c>
      <c r="C83" s="638"/>
      <c r="D83" s="186" t="s">
        <v>319</v>
      </c>
      <c r="E83" s="186" t="s">
        <v>319</v>
      </c>
      <c r="F83" s="186" t="s">
        <v>319</v>
      </c>
      <c r="G83" s="186" t="s">
        <v>614</v>
      </c>
      <c r="H83" s="186" t="s">
        <v>339</v>
      </c>
      <c r="I83" s="186">
        <v>250</v>
      </c>
      <c r="J83" s="186" t="s">
        <v>321</v>
      </c>
      <c r="K83" s="186" t="s">
        <v>340</v>
      </c>
      <c r="L83" s="186" t="s">
        <v>811</v>
      </c>
      <c r="M83" s="186" t="s">
        <v>812</v>
      </c>
      <c r="N83" s="186" t="s">
        <v>325</v>
      </c>
      <c r="O83" s="186" t="s">
        <v>819</v>
      </c>
      <c r="P83" s="186"/>
      <c r="Q83" s="186"/>
      <c r="R83" s="186"/>
      <c r="S83" s="186"/>
      <c r="T83" s="186"/>
      <c r="U83" s="186"/>
    </row>
    <row r="84" spans="1:21" x14ac:dyDescent="0.25">
      <c r="A84" s="638" t="s">
        <v>614</v>
      </c>
      <c r="B84" s="637">
        <v>0.99219999999999997</v>
      </c>
      <c r="C84" s="638"/>
      <c r="D84" s="186" t="s">
        <v>319</v>
      </c>
      <c r="E84" s="186" t="s">
        <v>319</v>
      </c>
      <c r="F84" s="186" t="s">
        <v>319</v>
      </c>
      <c r="G84" s="186" t="s">
        <v>614</v>
      </c>
      <c r="H84" s="186" t="s">
        <v>339</v>
      </c>
      <c r="I84" s="186">
        <v>250</v>
      </c>
      <c r="J84" s="186" t="s">
        <v>321</v>
      </c>
      <c r="K84" s="186" t="s">
        <v>340</v>
      </c>
      <c r="L84" s="186" t="s">
        <v>811</v>
      </c>
      <c r="M84" s="186" t="s">
        <v>812</v>
      </c>
      <c r="N84" s="186" t="s">
        <v>325</v>
      </c>
      <c r="O84" s="186" t="s">
        <v>820</v>
      </c>
      <c r="P84" s="186"/>
      <c r="Q84" s="186"/>
      <c r="R84" s="186"/>
      <c r="S84" s="186"/>
      <c r="T84" s="186"/>
      <c r="U84" s="186"/>
    </row>
    <row r="85" spans="1:21" x14ac:dyDescent="0.25">
      <c r="A85" s="638" t="s">
        <v>614</v>
      </c>
      <c r="B85" s="637">
        <v>0.99539999999999995</v>
      </c>
      <c r="C85" s="638"/>
      <c r="D85" s="186" t="s">
        <v>319</v>
      </c>
      <c r="E85" s="186" t="s">
        <v>319</v>
      </c>
      <c r="F85" s="186" t="s">
        <v>319</v>
      </c>
      <c r="G85" s="186" t="s">
        <v>614</v>
      </c>
      <c r="H85" s="186" t="s">
        <v>339</v>
      </c>
      <c r="I85" s="186">
        <v>250</v>
      </c>
      <c r="J85" s="186" t="s">
        <v>321</v>
      </c>
      <c r="K85" s="186" t="s">
        <v>340</v>
      </c>
      <c r="L85" s="186" t="s">
        <v>811</v>
      </c>
      <c r="M85" s="186" t="s">
        <v>812</v>
      </c>
      <c r="N85" s="186" t="s">
        <v>325</v>
      </c>
      <c r="O85" s="186" t="s">
        <v>821</v>
      </c>
      <c r="P85" s="186"/>
      <c r="Q85" s="186"/>
      <c r="R85" s="186"/>
      <c r="S85" s="186"/>
      <c r="T85" s="186"/>
      <c r="U85" s="186"/>
    </row>
    <row r="86" spans="1:21" x14ac:dyDescent="0.25">
      <c r="A86" s="638" t="s">
        <v>614</v>
      </c>
      <c r="B86" s="637">
        <v>0.79969999999999997</v>
      </c>
      <c r="C86" s="638"/>
      <c r="D86" s="186" t="s">
        <v>319</v>
      </c>
      <c r="E86" s="186" t="s">
        <v>319</v>
      </c>
      <c r="F86" s="186" t="s">
        <v>319</v>
      </c>
      <c r="G86" s="186" t="s">
        <v>614</v>
      </c>
      <c r="H86" s="186" t="s">
        <v>339</v>
      </c>
      <c r="I86" s="186">
        <v>500</v>
      </c>
      <c r="J86" s="186" t="s">
        <v>321</v>
      </c>
      <c r="K86" s="186" t="s">
        <v>340</v>
      </c>
      <c r="L86" s="186" t="s">
        <v>811</v>
      </c>
      <c r="M86" s="186" t="s">
        <v>812</v>
      </c>
      <c r="N86" s="186" t="s">
        <v>325</v>
      </c>
      <c r="O86" s="186" t="s">
        <v>813</v>
      </c>
      <c r="P86" s="186"/>
      <c r="Q86" s="186"/>
      <c r="R86" s="186"/>
      <c r="S86" s="186"/>
      <c r="T86" s="186"/>
      <c r="U86" s="186"/>
    </row>
    <row r="87" spans="1:21" x14ac:dyDescent="0.25">
      <c r="A87" s="638" t="s">
        <v>614</v>
      </c>
      <c r="B87" s="637">
        <v>0.87160000000000004</v>
      </c>
      <c r="C87" s="638"/>
      <c r="D87" s="186" t="s">
        <v>319</v>
      </c>
      <c r="E87" s="186" t="s">
        <v>319</v>
      </c>
      <c r="F87" s="186" t="s">
        <v>319</v>
      </c>
      <c r="G87" s="186" t="s">
        <v>614</v>
      </c>
      <c r="H87" s="186" t="s">
        <v>339</v>
      </c>
      <c r="I87" s="186">
        <v>500</v>
      </c>
      <c r="J87" s="186" t="s">
        <v>321</v>
      </c>
      <c r="K87" s="186" t="s">
        <v>340</v>
      </c>
      <c r="L87" s="186" t="s">
        <v>811</v>
      </c>
      <c r="M87" s="186" t="s">
        <v>812</v>
      </c>
      <c r="N87" s="186" t="s">
        <v>325</v>
      </c>
      <c r="O87" s="186" t="s">
        <v>814</v>
      </c>
      <c r="P87" s="186"/>
      <c r="Q87" s="186"/>
      <c r="R87" s="186"/>
      <c r="S87" s="186"/>
      <c r="T87" s="186"/>
      <c r="U87" s="186"/>
    </row>
    <row r="88" spans="1:21" x14ac:dyDescent="0.25">
      <c r="A88" s="638" t="s">
        <v>614</v>
      </c>
      <c r="B88" s="637">
        <v>0.9123</v>
      </c>
      <c r="C88" s="638"/>
      <c r="D88" s="186" t="s">
        <v>319</v>
      </c>
      <c r="E88" s="186" t="s">
        <v>319</v>
      </c>
      <c r="F88" s="186" t="s">
        <v>319</v>
      </c>
      <c r="G88" s="186" t="s">
        <v>614</v>
      </c>
      <c r="H88" s="186" t="s">
        <v>339</v>
      </c>
      <c r="I88" s="186">
        <v>500</v>
      </c>
      <c r="J88" s="186" t="s">
        <v>321</v>
      </c>
      <c r="K88" s="186" t="s">
        <v>340</v>
      </c>
      <c r="L88" s="186" t="s">
        <v>811</v>
      </c>
      <c r="M88" s="186" t="s">
        <v>812</v>
      </c>
      <c r="N88" s="186" t="s">
        <v>325</v>
      </c>
      <c r="O88" s="186" t="s">
        <v>815</v>
      </c>
      <c r="P88" s="186"/>
      <c r="Q88" s="186"/>
      <c r="R88" s="186"/>
      <c r="S88" s="186"/>
      <c r="T88" s="186"/>
      <c r="U88" s="186"/>
    </row>
    <row r="89" spans="1:21" x14ac:dyDescent="0.25">
      <c r="A89" s="638" t="s">
        <v>614</v>
      </c>
      <c r="B89" s="637">
        <v>0.93320000000000003</v>
      </c>
      <c r="C89" s="638"/>
      <c r="D89" s="186" t="s">
        <v>319</v>
      </c>
      <c r="E89" s="186" t="s">
        <v>319</v>
      </c>
      <c r="F89" s="186" t="s">
        <v>319</v>
      </c>
      <c r="G89" s="186" t="s">
        <v>614</v>
      </c>
      <c r="H89" s="186" t="s">
        <v>339</v>
      </c>
      <c r="I89" s="186">
        <v>500</v>
      </c>
      <c r="J89" s="186" t="s">
        <v>321</v>
      </c>
      <c r="K89" s="186" t="s">
        <v>340</v>
      </c>
      <c r="L89" s="186" t="s">
        <v>811</v>
      </c>
      <c r="M89" s="186" t="s">
        <v>812</v>
      </c>
      <c r="N89" s="186" t="s">
        <v>325</v>
      </c>
      <c r="O89" s="186" t="s">
        <v>816</v>
      </c>
      <c r="P89" s="186"/>
      <c r="Q89" s="186"/>
      <c r="R89" s="186"/>
      <c r="S89" s="186"/>
      <c r="T89" s="186"/>
      <c r="U89" s="186"/>
    </row>
    <row r="90" spans="1:21" x14ac:dyDescent="0.25">
      <c r="A90" s="638" t="s">
        <v>614</v>
      </c>
      <c r="B90" s="637">
        <v>0.94210000000000005</v>
      </c>
      <c r="C90" s="638"/>
      <c r="D90" s="186" t="s">
        <v>319</v>
      </c>
      <c r="E90" s="186" t="s">
        <v>319</v>
      </c>
      <c r="F90" s="186" t="s">
        <v>319</v>
      </c>
      <c r="G90" s="186" t="s">
        <v>614</v>
      </c>
      <c r="H90" s="186" t="s">
        <v>339</v>
      </c>
      <c r="I90" s="186">
        <v>500</v>
      </c>
      <c r="J90" s="186" t="s">
        <v>321</v>
      </c>
      <c r="K90" s="186" t="s">
        <v>340</v>
      </c>
      <c r="L90" s="186" t="s">
        <v>811</v>
      </c>
      <c r="M90" s="186" t="s">
        <v>812</v>
      </c>
      <c r="N90" s="186" t="s">
        <v>325</v>
      </c>
      <c r="O90" s="186" t="s">
        <v>817</v>
      </c>
      <c r="P90" s="186"/>
      <c r="Q90" s="186"/>
      <c r="R90" s="186"/>
      <c r="S90" s="186"/>
      <c r="T90" s="186"/>
      <c r="U90" s="186"/>
    </row>
    <row r="91" spans="1:21" x14ac:dyDescent="0.25">
      <c r="A91" s="638" t="s">
        <v>614</v>
      </c>
      <c r="B91" s="637">
        <v>0.95879999999999999</v>
      </c>
      <c r="C91" s="638"/>
      <c r="D91" s="186" t="s">
        <v>319</v>
      </c>
      <c r="E91" s="186" t="s">
        <v>319</v>
      </c>
      <c r="F91" s="186" t="s">
        <v>319</v>
      </c>
      <c r="G91" s="186" t="s">
        <v>614</v>
      </c>
      <c r="H91" s="186" t="s">
        <v>339</v>
      </c>
      <c r="I91" s="186">
        <v>500</v>
      </c>
      <c r="J91" s="186" t="s">
        <v>321</v>
      </c>
      <c r="K91" s="186" t="s">
        <v>340</v>
      </c>
      <c r="L91" s="186" t="s">
        <v>811</v>
      </c>
      <c r="M91" s="186" t="s">
        <v>812</v>
      </c>
      <c r="N91" s="186" t="s">
        <v>325</v>
      </c>
      <c r="O91" s="186" t="s">
        <v>818</v>
      </c>
      <c r="P91" s="186"/>
      <c r="Q91" s="186"/>
      <c r="R91" s="186"/>
      <c r="S91" s="186"/>
      <c r="T91" s="186"/>
      <c r="U91" s="186"/>
    </row>
    <row r="92" spans="1:21" x14ac:dyDescent="0.25">
      <c r="A92" s="638" t="s">
        <v>614</v>
      </c>
      <c r="B92" s="637">
        <v>0.96689999999999998</v>
      </c>
      <c r="C92" s="638"/>
      <c r="D92" s="186" t="s">
        <v>319</v>
      </c>
      <c r="E92" s="186" t="s">
        <v>319</v>
      </c>
      <c r="F92" s="186" t="s">
        <v>319</v>
      </c>
      <c r="G92" s="186" t="s">
        <v>614</v>
      </c>
      <c r="H92" s="186" t="s">
        <v>339</v>
      </c>
      <c r="I92" s="186">
        <v>500</v>
      </c>
      <c r="J92" s="186" t="s">
        <v>321</v>
      </c>
      <c r="K92" s="186" t="s">
        <v>340</v>
      </c>
      <c r="L92" s="186" t="s">
        <v>811</v>
      </c>
      <c r="M92" s="186" t="s">
        <v>812</v>
      </c>
      <c r="N92" s="186" t="s">
        <v>325</v>
      </c>
      <c r="O92" s="186" t="s">
        <v>819</v>
      </c>
      <c r="P92" s="186"/>
      <c r="Q92" s="186"/>
      <c r="R92" s="186"/>
      <c r="S92" s="186"/>
      <c r="T92" s="186"/>
      <c r="U92" s="186"/>
    </row>
    <row r="93" spans="1:21" x14ac:dyDescent="0.25">
      <c r="A93" s="638" t="s">
        <v>614</v>
      </c>
      <c r="B93" s="637">
        <v>0.98429999999999995</v>
      </c>
      <c r="C93" s="638"/>
      <c r="D93" s="186" t="s">
        <v>319</v>
      </c>
      <c r="E93" s="186" t="s">
        <v>319</v>
      </c>
      <c r="F93" s="186" t="s">
        <v>319</v>
      </c>
      <c r="G93" s="186" t="s">
        <v>614</v>
      </c>
      <c r="H93" s="186" t="s">
        <v>339</v>
      </c>
      <c r="I93" s="186">
        <v>500</v>
      </c>
      <c r="J93" s="186" t="s">
        <v>321</v>
      </c>
      <c r="K93" s="186" t="s">
        <v>340</v>
      </c>
      <c r="L93" s="186" t="s">
        <v>811</v>
      </c>
      <c r="M93" s="186" t="s">
        <v>812</v>
      </c>
      <c r="N93" s="186" t="s">
        <v>325</v>
      </c>
      <c r="O93" s="186" t="s">
        <v>820</v>
      </c>
      <c r="P93" s="186"/>
      <c r="Q93" s="186"/>
      <c r="R93" s="186"/>
      <c r="S93" s="186"/>
      <c r="T93" s="186"/>
      <c r="U93" s="186"/>
    </row>
    <row r="94" spans="1:21" x14ac:dyDescent="0.25">
      <c r="A94" s="638" t="s">
        <v>614</v>
      </c>
      <c r="B94" s="637">
        <v>0.99119999999999997</v>
      </c>
      <c r="C94" s="638"/>
      <c r="D94" s="186" t="s">
        <v>319</v>
      </c>
      <c r="E94" s="186" t="s">
        <v>319</v>
      </c>
      <c r="F94" s="186" t="s">
        <v>319</v>
      </c>
      <c r="G94" s="186" t="s">
        <v>614</v>
      </c>
      <c r="H94" s="186" t="s">
        <v>339</v>
      </c>
      <c r="I94" s="186">
        <v>500</v>
      </c>
      <c r="J94" s="186" t="s">
        <v>321</v>
      </c>
      <c r="K94" s="186" t="s">
        <v>340</v>
      </c>
      <c r="L94" s="186" t="s">
        <v>811</v>
      </c>
      <c r="M94" s="186" t="s">
        <v>812</v>
      </c>
      <c r="N94" s="186" t="s">
        <v>325</v>
      </c>
      <c r="O94" s="186" t="s">
        <v>821</v>
      </c>
      <c r="P94" s="186"/>
      <c r="Q94" s="186"/>
      <c r="R94" s="186"/>
      <c r="S94" s="186"/>
      <c r="T94" s="186"/>
      <c r="U94" s="186"/>
    </row>
    <row r="95" spans="1:21" x14ac:dyDescent="0.25">
      <c r="A95" s="638" t="s">
        <v>614</v>
      </c>
      <c r="B95" s="637">
        <v>0.73480000000000001</v>
      </c>
      <c r="C95" s="638"/>
      <c r="D95" s="186" t="s">
        <v>319</v>
      </c>
      <c r="E95" s="186" t="s">
        <v>319</v>
      </c>
      <c r="F95" s="186" t="s">
        <v>319</v>
      </c>
      <c r="G95" s="186" t="s">
        <v>614</v>
      </c>
      <c r="H95" s="186" t="s">
        <v>339</v>
      </c>
      <c r="I95" s="186">
        <v>750</v>
      </c>
      <c r="J95" s="186" t="s">
        <v>321</v>
      </c>
      <c r="K95" s="186" t="s">
        <v>340</v>
      </c>
      <c r="L95" s="186" t="s">
        <v>811</v>
      </c>
      <c r="M95" s="186" t="s">
        <v>812</v>
      </c>
      <c r="N95" s="186" t="s">
        <v>325</v>
      </c>
      <c r="O95" s="186" t="s">
        <v>813</v>
      </c>
      <c r="P95" s="186"/>
      <c r="Q95" s="186"/>
      <c r="R95" s="186"/>
      <c r="S95" s="186"/>
      <c r="T95" s="186"/>
      <c r="U95" s="186"/>
    </row>
    <row r="96" spans="1:21" x14ac:dyDescent="0.25">
      <c r="A96" s="638" t="s">
        <v>614</v>
      </c>
      <c r="B96" s="637">
        <v>0.8256</v>
      </c>
      <c r="C96" s="638"/>
      <c r="D96" s="186" t="s">
        <v>319</v>
      </c>
      <c r="E96" s="186" t="s">
        <v>319</v>
      </c>
      <c r="F96" s="186" t="s">
        <v>319</v>
      </c>
      <c r="G96" s="186" t="s">
        <v>614</v>
      </c>
      <c r="H96" s="186" t="s">
        <v>339</v>
      </c>
      <c r="I96" s="186">
        <v>750</v>
      </c>
      <c r="J96" s="186" t="s">
        <v>321</v>
      </c>
      <c r="K96" s="186" t="s">
        <v>340</v>
      </c>
      <c r="L96" s="186" t="s">
        <v>811</v>
      </c>
      <c r="M96" s="186" t="s">
        <v>812</v>
      </c>
      <c r="N96" s="186" t="s">
        <v>325</v>
      </c>
      <c r="O96" s="186" t="s">
        <v>814</v>
      </c>
      <c r="P96" s="186"/>
      <c r="Q96" s="186"/>
      <c r="R96" s="186"/>
      <c r="S96" s="186"/>
      <c r="T96" s="186"/>
      <c r="U96" s="186"/>
    </row>
    <row r="97" spans="1:21" x14ac:dyDescent="0.25">
      <c r="A97" s="638" t="s">
        <v>614</v>
      </c>
      <c r="B97" s="637">
        <v>0.88009999999999999</v>
      </c>
      <c r="C97" s="638"/>
      <c r="D97" s="186" t="s">
        <v>319</v>
      </c>
      <c r="E97" s="186" t="s">
        <v>319</v>
      </c>
      <c r="F97" s="186" t="s">
        <v>319</v>
      </c>
      <c r="G97" s="186" t="s">
        <v>614</v>
      </c>
      <c r="H97" s="186" t="s">
        <v>339</v>
      </c>
      <c r="I97" s="186">
        <v>750</v>
      </c>
      <c r="J97" s="186" t="s">
        <v>321</v>
      </c>
      <c r="K97" s="186" t="s">
        <v>340</v>
      </c>
      <c r="L97" s="186" t="s">
        <v>811</v>
      </c>
      <c r="M97" s="186" t="s">
        <v>812</v>
      </c>
      <c r="N97" s="186" t="s">
        <v>325</v>
      </c>
      <c r="O97" s="186" t="s">
        <v>815</v>
      </c>
      <c r="P97" s="186"/>
      <c r="Q97" s="186"/>
      <c r="R97" s="186"/>
      <c r="S97" s="186"/>
      <c r="T97" s="186"/>
      <c r="U97" s="186"/>
    </row>
    <row r="98" spans="1:21" x14ac:dyDescent="0.25">
      <c r="A98" s="638" t="s">
        <v>614</v>
      </c>
      <c r="B98" s="637">
        <v>0.90710000000000002</v>
      </c>
      <c r="C98" s="638"/>
      <c r="D98" s="186" t="s">
        <v>319</v>
      </c>
      <c r="E98" s="186" t="s">
        <v>319</v>
      </c>
      <c r="F98" s="186" t="s">
        <v>319</v>
      </c>
      <c r="G98" s="186" t="s">
        <v>614</v>
      </c>
      <c r="H98" s="186" t="s">
        <v>339</v>
      </c>
      <c r="I98" s="186">
        <v>750</v>
      </c>
      <c r="J98" s="186" t="s">
        <v>321</v>
      </c>
      <c r="K98" s="186" t="s">
        <v>340</v>
      </c>
      <c r="L98" s="186" t="s">
        <v>811</v>
      </c>
      <c r="M98" s="186" t="s">
        <v>812</v>
      </c>
      <c r="N98" s="186" t="s">
        <v>325</v>
      </c>
      <c r="O98" s="186" t="s">
        <v>816</v>
      </c>
      <c r="P98" s="186"/>
      <c r="Q98" s="186"/>
      <c r="R98" s="186"/>
      <c r="S98" s="186"/>
      <c r="T98" s="186"/>
      <c r="U98" s="186"/>
    </row>
    <row r="99" spans="1:21" x14ac:dyDescent="0.25">
      <c r="A99" s="638" t="s">
        <v>614</v>
      </c>
      <c r="B99" s="637">
        <v>0.91879999999999995</v>
      </c>
      <c r="C99" s="638"/>
      <c r="D99" s="186" t="s">
        <v>319</v>
      </c>
      <c r="E99" s="186" t="s">
        <v>319</v>
      </c>
      <c r="F99" s="186" t="s">
        <v>319</v>
      </c>
      <c r="G99" s="186" t="s">
        <v>614</v>
      </c>
      <c r="H99" s="186" t="s">
        <v>339</v>
      </c>
      <c r="I99" s="186">
        <v>750</v>
      </c>
      <c r="J99" s="186" t="s">
        <v>321</v>
      </c>
      <c r="K99" s="186" t="s">
        <v>340</v>
      </c>
      <c r="L99" s="186" t="s">
        <v>811</v>
      </c>
      <c r="M99" s="186" t="s">
        <v>812</v>
      </c>
      <c r="N99" s="186" t="s">
        <v>325</v>
      </c>
      <c r="O99" s="186" t="s">
        <v>817</v>
      </c>
      <c r="P99" s="186"/>
      <c r="Q99" s="186"/>
      <c r="R99" s="186"/>
      <c r="S99" s="186"/>
      <c r="T99" s="186"/>
      <c r="U99" s="186"/>
    </row>
    <row r="100" spans="1:21" x14ac:dyDescent="0.25">
      <c r="A100" s="638" t="s">
        <v>614</v>
      </c>
      <c r="B100" s="637">
        <v>0.94179999999999997</v>
      </c>
      <c r="C100" s="638"/>
      <c r="D100" s="186" t="s">
        <v>319</v>
      </c>
      <c r="E100" s="186" t="s">
        <v>319</v>
      </c>
      <c r="F100" s="186" t="s">
        <v>319</v>
      </c>
      <c r="G100" s="186" t="s">
        <v>614</v>
      </c>
      <c r="H100" s="186" t="s">
        <v>339</v>
      </c>
      <c r="I100" s="186">
        <v>750</v>
      </c>
      <c r="J100" s="186" t="s">
        <v>321</v>
      </c>
      <c r="K100" s="186" t="s">
        <v>340</v>
      </c>
      <c r="L100" s="186" t="s">
        <v>811</v>
      </c>
      <c r="M100" s="186" t="s">
        <v>812</v>
      </c>
      <c r="N100" s="186" t="s">
        <v>325</v>
      </c>
      <c r="O100" s="186" t="s">
        <v>818</v>
      </c>
      <c r="P100" s="186"/>
      <c r="Q100" s="186"/>
      <c r="R100" s="186"/>
      <c r="S100" s="186"/>
      <c r="T100" s="186"/>
      <c r="U100" s="186"/>
    </row>
    <row r="101" spans="1:21" x14ac:dyDescent="0.25">
      <c r="A101" s="638" t="s">
        <v>614</v>
      </c>
      <c r="B101" s="637">
        <v>0.95130000000000003</v>
      </c>
      <c r="C101" s="638"/>
      <c r="D101" s="186" t="s">
        <v>319</v>
      </c>
      <c r="E101" s="186" t="s">
        <v>319</v>
      </c>
      <c r="F101" s="186" t="s">
        <v>319</v>
      </c>
      <c r="G101" s="186" t="s">
        <v>614</v>
      </c>
      <c r="H101" s="186" t="s">
        <v>339</v>
      </c>
      <c r="I101" s="186">
        <v>750</v>
      </c>
      <c r="J101" s="186" t="s">
        <v>321</v>
      </c>
      <c r="K101" s="186" t="s">
        <v>340</v>
      </c>
      <c r="L101" s="186" t="s">
        <v>811</v>
      </c>
      <c r="M101" s="186" t="s">
        <v>812</v>
      </c>
      <c r="N101" s="186" t="s">
        <v>325</v>
      </c>
      <c r="O101" s="186" t="s">
        <v>819</v>
      </c>
      <c r="P101" s="186"/>
      <c r="Q101" s="186"/>
      <c r="R101" s="186"/>
      <c r="S101" s="186"/>
      <c r="T101" s="186"/>
      <c r="U101" s="186"/>
    </row>
    <row r="102" spans="1:21" x14ac:dyDescent="0.25">
      <c r="A102" s="638" t="s">
        <v>614</v>
      </c>
      <c r="B102" s="637">
        <v>0.97670000000000001</v>
      </c>
      <c r="C102" s="638"/>
      <c r="D102" s="186" t="s">
        <v>319</v>
      </c>
      <c r="E102" s="186" t="s">
        <v>319</v>
      </c>
      <c r="F102" s="186" t="s">
        <v>319</v>
      </c>
      <c r="G102" s="186" t="s">
        <v>614</v>
      </c>
      <c r="H102" s="186" t="s">
        <v>339</v>
      </c>
      <c r="I102" s="186">
        <v>750</v>
      </c>
      <c r="J102" s="186" t="s">
        <v>321</v>
      </c>
      <c r="K102" s="186" t="s">
        <v>340</v>
      </c>
      <c r="L102" s="186" t="s">
        <v>811</v>
      </c>
      <c r="M102" s="186" t="s">
        <v>812</v>
      </c>
      <c r="N102" s="186" t="s">
        <v>325</v>
      </c>
      <c r="O102" s="186" t="s">
        <v>820</v>
      </c>
      <c r="P102" s="186"/>
      <c r="Q102" s="186"/>
      <c r="R102" s="186"/>
      <c r="S102" s="186"/>
      <c r="T102" s="186"/>
      <c r="U102" s="186"/>
    </row>
    <row r="103" spans="1:21" x14ac:dyDescent="0.25">
      <c r="A103" s="638" t="s">
        <v>614</v>
      </c>
      <c r="B103" s="637">
        <v>0.98629999999999995</v>
      </c>
      <c r="C103" s="638"/>
      <c r="D103" s="186" t="s">
        <v>319</v>
      </c>
      <c r="E103" s="186" t="s">
        <v>319</v>
      </c>
      <c r="F103" s="186" t="s">
        <v>319</v>
      </c>
      <c r="G103" s="186" t="s">
        <v>614</v>
      </c>
      <c r="H103" s="186" t="s">
        <v>339</v>
      </c>
      <c r="I103" s="186">
        <v>750</v>
      </c>
      <c r="J103" s="186" t="s">
        <v>321</v>
      </c>
      <c r="K103" s="186" t="s">
        <v>340</v>
      </c>
      <c r="L103" s="186" t="s">
        <v>811</v>
      </c>
      <c r="M103" s="186" t="s">
        <v>812</v>
      </c>
      <c r="N103" s="186" t="s">
        <v>325</v>
      </c>
      <c r="O103" s="186" t="s">
        <v>821</v>
      </c>
      <c r="P103" s="186"/>
      <c r="Q103" s="186"/>
      <c r="R103" s="186"/>
      <c r="S103" s="186"/>
      <c r="T103" s="186"/>
      <c r="U103" s="186"/>
    </row>
    <row r="104" spans="1:21" x14ac:dyDescent="0.25">
      <c r="A104" s="638" t="s">
        <v>614</v>
      </c>
      <c r="B104" s="637">
        <v>0.6946</v>
      </c>
      <c r="C104" s="638"/>
      <c r="D104" s="186" t="s">
        <v>319</v>
      </c>
      <c r="E104" s="186" t="s">
        <v>319</v>
      </c>
      <c r="F104" s="186" t="s">
        <v>319</v>
      </c>
      <c r="G104" s="186" t="s">
        <v>614</v>
      </c>
      <c r="H104" s="186" t="s">
        <v>339</v>
      </c>
      <c r="I104" s="186">
        <v>1000</v>
      </c>
      <c r="J104" s="186" t="s">
        <v>321</v>
      </c>
      <c r="K104" s="186" t="s">
        <v>340</v>
      </c>
      <c r="L104" s="186" t="s">
        <v>811</v>
      </c>
      <c r="M104" s="186" t="s">
        <v>812</v>
      </c>
      <c r="N104" s="186" t="s">
        <v>325</v>
      </c>
      <c r="O104" s="186" t="s">
        <v>813</v>
      </c>
      <c r="P104" s="186"/>
      <c r="Q104" s="186"/>
      <c r="R104" s="186"/>
      <c r="S104" s="186"/>
      <c r="T104" s="186"/>
      <c r="U104" s="186"/>
    </row>
    <row r="105" spans="1:21" x14ac:dyDescent="0.25">
      <c r="A105" s="638" t="s">
        <v>614</v>
      </c>
      <c r="B105" s="637">
        <v>0.78259999999999996</v>
      </c>
      <c r="C105" s="638"/>
      <c r="D105" s="186" t="s">
        <v>319</v>
      </c>
      <c r="E105" s="186" t="s">
        <v>319</v>
      </c>
      <c r="F105" s="186" t="s">
        <v>319</v>
      </c>
      <c r="G105" s="186" t="s">
        <v>614</v>
      </c>
      <c r="H105" s="186" t="s">
        <v>339</v>
      </c>
      <c r="I105" s="186">
        <v>1000</v>
      </c>
      <c r="J105" s="186" t="s">
        <v>321</v>
      </c>
      <c r="K105" s="186" t="s">
        <v>340</v>
      </c>
      <c r="L105" s="186" t="s">
        <v>811</v>
      </c>
      <c r="M105" s="186" t="s">
        <v>812</v>
      </c>
      <c r="N105" s="186" t="s">
        <v>325</v>
      </c>
      <c r="O105" s="186" t="s">
        <v>814</v>
      </c>
      <c r="P105" s="186"/>
      <c r="Q105" s="186"/>
      <c r="R105" s="186"/>
      <c r="S105" s="186"/>
      <c r="T105" s="186"/>
      <c r="U105" s="186"/>
    </row>
    <row r="106" spans="1:21" x14ac:dyDescent="0.25">
      <c r="A106" s="638" t="s">
        <v>614</v>
      </c>
      <c r="B106" s="637">
        <v>0.84850000000000003</v>
      </c>
      <c r="C106" s="638"/>
      <c r="D106" s="186" t="s">
        <v>319</v>
      </c>
      <c r="E106" s="186" t="s">
        <v>319</v>
      </c>
      <c r="F106" s="186" t="s">
        <v>319</v>
      </c>
      <c r="G106" s="186" t="s">
        <v>614</v>
      </c>
      <c r="H106" s="186" t="s">
        <v>339</v>
      </c>
      <c r="I106" s="186">
        <v>1000</v>
      </c>
      <c r="J106" s="186" t="s">
        <v>321</v>
      </c>
      <c r="K106" s="186" t="s">
        <v>340</v>
      </c>
      <c r="L106" s="186" t="s">
        <v>811</v>
      </c>
      <c r="M106" s="186" t="s">
        <v>812</v>
      </c>
      <c r="N106" s="186" t="s">
        <v>325</v>
      </c>
      <c r="O106" s="186" t="s">
        <v>815</v>
      </c>
      <c r="P106" s="186"/>
      <c r="Q106" s="186"/>
      <c r="R106" s="186"/>
      <c r="S106" s="186"/>
      <c r="T106" s="186"/>
      <c r="U106" s="186"/>
    </row>
    <row r="107" spans="1:21" x14ac:dyDescent="0.25">
      <c r="A107" s="638" t="s">
        <v>614</v>
      </c>
      <c r="B107" s="637">
        <v>0.88229999999999997</v>
      </c>
      <c r="C107" s="638"/>
      <c r="D107" s="186" t="s">
        <v>319</v>
      </c>
      <c r="E107" s="186" t="s">
        <v>319</v>
      </c>
      <c r="F107" s="186" t="s">
        <v>319</v>
      </c>
      <c r="G107" s="186" t="s">
        <v>614</v>
      </c>
      <c r="H107" s="186" t="s">
        <v>339</v>
      </c>
      <c r="I107" s="186">
        <v>1000</v>
      </c>
      <c r="J107" s="186" t="s">
        <v>321</v>
      </c>
      <c r="K107" s="186" t="s">
        <v>340</v>
      </c>
      <c r="L107" s="186" t="s">
        <v>811</v>
      </c>
      <c r="M107" s="186" t="s">
        <v>812</v>
      </c>
      <c r="N107" s="186" t="s">
        <v>325</v>
      </c>
      <c r="O107" s="186" t="s">
        <v>816</v>
      </c>
      <c r="P107" s="186"/>
      <c r="Q107" s="186"/>
      <c r="R107" s="186"/>
      <c r="S107" s="186"/>
      <c r="T107" s="186"/>
      <c r="U107" s="186"/>
    </row>
    <row r="108" spans="1:21" x14ac:dyDescent="0.25">
      <c r="A108" s="638" t="s">
        <v>614</v>
      </c>
      <c r="B108" s="637">
        <v>0.8972</v>
      </c>
      <c r="C108" s="638"/>
      <c r="D108" s="186" t="s">
        <v>319</v>
      </c>
      <c r="E108" s="186" t="s">
        <v>319</v>
      </c>
      <c r="F108" s="186" t="s">
        <v>319</v>
      </c>
      <c r="G108" s="186" t="s">
        <v>614</v>
      </c>
      <c r="H108" s="186" t="s">
        <v>339</v>
      </c>
      <c r="I108" s="186">
        <v>1000</v>
      </c>
      <c r="J108" s="186" t="s">
        <v>321</v>
      </c>
      <c r="K108" s="186" t="s">
        <v>340</v>
      </c>
      <c r="L108" s="186" t="s">
        <v>811</v>
      </c>
      <c r="M108" s="186" t="s">
        <v>812</v>
      </c>
      <c r="N108" s="186" t="s">
        <v>325</v>
      </c>
      <c r="O108" s="186" t="s">
        <v>817</v>
      </c>
      <c r="P108" s="186"/>
      <c r="Q108" s="186"/>
      <c r="R108" s="186"/>
      <c r="S108" s="186"/>
      <c r="T108" s="186"/>
      <c r="U108" s="186"/>
    </row>
    <row r="109" spans="1:21" x14ac:dyDescent="0.25">
      <c r="A109" s="638" t="s">
        <v>614</v>
      </c>
      <c r="B109" s="637">
        <v>0.92559999999999998</v>
      </c>
      <c r="C109" s="638"/>
      <c r="D109" s="186" t="s">
        <v>319</v>
      </c>
      <c r="E109" s="186" t="s">
        <v>319</v>
      </c>
      <c r="F109" s="186" t="s">
        <v>319</v>
      </c>
      <c r="G109" s="186" t="s">
        <v>614</v>
      </c>
      <c r="H109" s="186" t="s">
        <v>339</v>
      </c>
      <c r="I109" s="186">
        <v>1000</v>
      </c>
      <c r="J109" s="186" t="s">
        <v>321</v>
      </c>
      <c r="K109" s="186" t="s">
        <v>340</v>
      </c>
      <c r="L109" s="186" t="s">
        <v>811</v>
      </c>
      <c r="M109" s="186" t="s">
        <v>812</v>
      </c>
      <c r="N109" s="186" t="s">
        <v>325</v>
      </c>
      <c r="O109" s="186" t="s">
        <v>818</v>
      </c>
      <c r="P109" s="186"/>
      <c r="Q109" s="186"/>
      <c r="R109" s="186"/>
      <c r="S109" s="186"/>
      <c r="T109" s="186"/>
      <c r="U109" s="186"/>
    </row>
    <row r="110" spans="1:21" x14ac:dyDescent="0.25">
      <c r="A110" s="638" t="s">
        <v>614</v>
      </c>
      <c r="B110" s="637">
        <v>0.93640000000000001</v>
      </c>
      <c r="C110" s="638"/>
      <c r="D110" s="186" t="s">
        <v>319</v>
      </c>
      <c r="E110" s="186" t="s">
        <v>319</v>
      </c>
      <c r="F110" s="186" t="s">
        <v>319</v>
      </c>
      <c r="G110" s="186" t="s">
        <v>614</v>
      </c>
      <c r="H110" s="186" t="s">
        <v>339</v>
      </c>
      <c r="I110" s="186">
        <v>1000</v>
      </c>
      <c r="J110" s="186" t="s">
        <v>321</v>
      </c>
      <c r="K110" s="186" t="s">
        <v>340</v>
      </c>
      <c r="L110" s="186" t="s">
        <v>811</v>
      </c>
      <c r="M110" s="186" t="s">
        <v>812</v>
      </c>
      <c r="N110" s="186" t="s">
        <v>325</v>
      </c>
      <c r="O110" s="186" t="s">
        <v>819</v>
      </c>
      <c r="P110" s="186"/>
      <c r="Q110" s="186"/>
      <c r="R110" s="186"/>
      <c r="S110" s="186"/>
      <c r="T110" s="186"/>
      <c r="U110" s="186"/>
    </row>
    <row r="111" spans="1:21" x14ac:dyDescent="0.25">
      <c r="A111" s="638" t="s">
        <v>614</v>
      </c>
      <c r="B111" s="637">
        <v>0.96930000000000005</v>
      </c>
      <c r="C111" s="638"/>
      <c r="D111" s="186" t="s">
        <v>319</v>
      </c>
      <c r="E111" s="186" t="s">
        <v>319</v>
      </c>
      <c r="F111" s="186" t="s">
        <v>319</v>
      </c>
      <c r="G111" s="186" t="s">
        <v>614</v>
      </c>
      <c r="H111" s="186" t="s">
        <v>339</v>
      </c>
      <c r="I111" s="186">
        <v>1000</v>
      </c>
      <c r="J111" s="186" t="s">
        <v>321</v>
      </c>
      <c r="K111" s="186" t="s">
        <v>340</v>
      </c>
      <c r="L111" s="186" t="s">
        <v>811</v>
      </c>
      <c r="M111" s="186" t="s">
        <v>812</v>
      </c>
      <c r="N111" s="186" t="s">
        <v>325</v>
      </c>
      <c r="O111" s="186" t="s">
        <v>820</v>
      </c>
      <c r="P111" s="186"/>
      <c r="Q111" s="186"/>
      <c r="R111" s="186"/>
      <c r="S111" s="186"/>
      <c r="T111" s="186"/>
      <c r="U111" s="186"/>
    </row>
    <row r="112" spans="1:21" x14ac:dyDescent="0.25">
      <c r="A112" s="638" t="s">
        <v>614</v>
      </c>
      <c r="B112" s="637">
        <v>0.98170000000000002</v>
      </c>
      <c r="C112" s="638"/>
      <c r="D112" s="186" t="s">
        <v>319</v>
      </c>
      <c r="E112" s="186" t="s">
        <v>319</v>
      </c>
      <c r="F112" s="186" t="s">
        <v>319</v>
      </c>
      <c r="G112" s="186" t="s">
        <v>614</v>
      </c>
      <c r="H112" s="186" t="s">
        <v>339</v>
      </c>
      <c r="I112" s="186">
        <v>1000</v>
      </c>
      <c r="J112" s="186" t="s">
        <v>321</v>
      </c>
      <c r="K112" s="186" t="s">
        <v>340</v>
      </c>
      <c r="L112" s="186" t="s">
        <v>811</v>
      </c>
      <c r="M112" s="186" t="s">
        <v>812</v>
      </c>
      <c r="N112" s="186" t="s">
        <v>325</v>
      </c>
      <c r="O112" s="186" t="s">
        <v>821</v>
      </c>
      <c r="P112" s="186"/>
      <c r="Q112" s="186"/>
      <c r="R112" s="186"/>
      <c r="S112" s="186"/>
      <c r="T112" s="186"/>
      <c r="U112" s="186"/>
    </row>
    <row r="113" spans="1:21" x14ac:dyDescent="0.25">
      <c r="A113" s="638" t="s">
        <v>614</v>
      </c>
      <c r="B113" s="637">
        <v>0.65129999999999999</v>
      </c>
      <c r="C113" s="638"/>
      <c r="D113" s="186" t="s">
        <v>319</v>
      </c>
      <c r="E113" s="186" t="s">
        <v>319</v>
      </c>
      <c r="F113" s="186" t="s">
        <v>319</v>
      </c>
      <c r="G113" s="186" t="s">
        <v>614</v>
      </c>
      <c r="H113" s="186" t="s">
        <v>339</v>
      </c>
      <c r="I113" s="186">
        <v>1500</v>
      </c>
      <c r="J113" s="186" t="s">
        <v>321</v>
      </c>
      <c r="K113" s="186" t="s">
        <v>340</v>
      </c>
      <c r="L113" s="186" t="s">
        <v>811</v>
      </c>
      <c r="M113" s="186" t="s">
        <v>812</v>
      </c>
      <c r="N113" s="186" t="s">
        <v>325</v>
      </c>
      <c r="O113" s="186" t="s">
        <v>813</v>
      </c>
      <c r="P113" s="186"/>
      <c r="Q113" s="186"/>
      <c r="R113" s="186"/>
      <c r="S113" s="186"/>
      <c r="T113" s="186"/>
      <c r="U113" s="186"/>
    </row>
    <row r="114" spans="1:21" x14ac:dyDescent="0.25">
      <c r="A114" s="638" t="s">
        <v>614</v>
      </c>
      <c r="B114" s="637">
        <v>0.70809999999999995</v>
      </c>
      <c r="C114" s="638"/>
      <c r="D114" s="186" t="s">
        <v>319</v>
      </c>
      <c r="E114" s="186" t="s">
        <v>319</v>
      </c>
      <c r="F114" s="186" t="s">
        <v>319</v>
      </c>
      <c r="G114" s="186" t="s">
        <v>614</v>
      </c>
      <c r="H114" s="186" t="s">
        <v>339</v>
      </c>
      <c r="I114" s="186">
        <v>1500</v>
      </c>
      <c r="J114" s="186" t="s">
        <v>321</v>
      </c>
      <c r="K114" s="186" t="s">
        <v>340</v>
      </c>
      <c r="L114" s="186" t="s">
        <v>811</v>
      </c>
      <c r="M114" s="186" t="s">
        <v>812</v>
      </c>
      <c r="N114" s="186" t="s">
        <v>325</v>
      </c>
      <c r="O114" s="186" t="s">
        <v>814</v>
      </c>
      <c r="P114" s="186"/>
      <c r="Q114" s="186"/>
      <c r="R114" s="186"/>
      <c r="S114" s="186"/>
      <c r="T114" s="186"/>
      <c r="U114" s="186"/>
    </row>
    <row r="115" spans="1:21" x14ac:dyDescent="0.25">
      <c r="A115" s="638" t="s">
        <v>614</v>
      </c>
      <c r="B115" s="637">
        <v>0.79390000000000005</v>
      </c>
      <c r="C115" s="638"/>
      <c r="D115" s="186" t="s">
        <v>319</v>
      </c>
      <c r="E115" s="186" t="s">
        <v>319</v>
      </c>
      <c r="F115" s="186" t="s">
        <v>319</v>
      </c>
      <c r="G115" s="186" t="s">
        <v>614</v>
      </c>
      <c r="H115" s="186" t="s">
        <v>339</v>
      </c>
      <c r="I115" s="186">
        <v>1500</v>
      </c>
      <c r="J115" s="186" t="s">
        <v>321</v>
      </c>
      <c r="K115" s="186" t="s">
        <v>340</v>
      </c>
      <c r="L115" s="186" t="s">
        <v>811</v>
      </c>
      <c r="M115" s="186" t="s">
        <v>812</v>
      </c>
      <c r="N115" s="186" t="s">
        <v>325</v>
      </c>
      <c r="O115" s="186" t="s">
        <v>815</v>
      </c>
      <c r="P115" s="186"/>
      <c r="Q115" s="186"/>
      <c r="R115" s="186"/>
      <c r="S115" s="186"/>
      <c r="T115" s="186"/>
      <c r="U115" s="186"/>
    </row>
    <row r="116" spans="1:21" x14ac:dyDescent="0.25">
      <c r="A116" s="638" t="s">
        <v>614</v>
      </c>
      <c r="B116" s="637">
        <v>0.83930000000000005</v>
      </c>
      <c r="C116" s="638"/>
      <c r="D116" s="186" t="s">
        <v>319</v>
      </c>
      <c r="E116" s="186" t="s">
        <v>319</v>
      </c>
      <c r="F116" s="186" t="s">
        <v>319</v>
      </c>
      <c r="G116" s="186" t="s">
        <v>614</v>
      </c>
      <c r="H116" s="186" t="s">
        <v>339</v>
      </c>
      <c r="I116" s="186">
        <v>1500</v>
      </c>
      <c r="J116" s="186" t="s">
        <v>321</v>
      </c>
      <c r="K116" s="186" t="s">
        <v>340</v>
      </c>
      <c r="L116" s="186" t="s">
        <v>811</v>
      </c>
      <c r="M116" s="186" t="s">
        <v>812</v>
      </c>
      <c r="N116" s="186" t="s">
        <v>325</v>
      </c>
      <c r="O116" s="186" t="s">
        <v>816</v>
      </c>
      <c r="P116" s="186"/>
      <c r="Q116" s="186"/>
      <c r="R116" s="186"/>
      <c r="S116" s="186"/>
      <c r="T116" s="186"/>
      <c r="U116" s="186"/>
    </row>
    <row r="117" spans="1:21" x14ac:dyDescent="0.25">
      <c r="A117" s="638" t="s">
        <v>614</v>
      </c>
      <c r="B117" s="637">
        <v>0.86140000000000005</v>
      </c>
      <c r="C117" s="638"/>
      <c r="D117" s="186" t="s">
        <v>319</v>
      </c>
      <c r="E117" s="186" t="s">
        <v>319</v>
      </c>
      <c r="F117" s="186" t="s">
        <v>319</v>
      </c>
      <c r="G117" s="186" t="s">
        <v>614</v>
      </c>
      <c r="H117" s="186" t="s">
        <v>339</v>
      </c>
      <c r="I117" s="186">
        <v>1500</v>
      </c>
      <c r="J117" s="186" t="s">
        <v>321</v>
      </c>
      <c r="K117" s="186" t="s">
        <v>340</v>
      </c>
      <c r="L117" s="186" t="s">
        <v>811</v>
      </c>
      <c r="M117" s="186" t="s">
        <v>812</v>
      </c>
      <c r="N117" s="186" t="s">
        <v>325</v>
      </c>
      <c r="O117" s="186" t="s">
        <v>817</v>
      </c>
      <c r="P117" s="186"/>
      <c r="Q117" s="186"/>
      <c r="R117" s="186"/>
      <c r="S117" s="186"/>
      <c r="T117" s="186"/>
      <c r="U117" s="186"/>
    </row>
    <row r="118" spans="1:21" x14ac:dyDescent="0.25">
      <c r="A118" s="638" t="s">
        <v>614</v>
      </c>
      <c r="B118" s="637">
        <v>0.8982</v>
      </c>
      <c r="C118" s="638"/>
      <c r="D118" s="186" t="s">
        <v>319</v>
      </c>
      <c r="E118" s="186" t="s">
        <v>319</v>
      </c>
      <c r="F118" s="186" t="s">
        <v>319</v>
      </c>
      <c r="G118" s="186" t="s">
        <v>614</v>
      </c>
      <c r="H118" s="186" t="s">
        <v>339</v>
      </c>
      <c r="I118" s="186">
        <v>1500</v>
      </c>
      <c r="J118" s="186" t="s">
        <v>321</v>
      </c>
      <c r="K118" s="186" t="s">
        <v>340</v>
      </c>
      <c r="L118" s="186" t="s">
        <v>811</v>
      </c>
      <c r="M118" s="186" t="s">
        <v>812</v>
      </c>
      <c r="N118" s="186" t="s">
        <v>325</v>
      </c>
      <c r="O118" s="186" t="s">
        <v>818</v>
      </c>
      <c r="P118" s="186"/>
      <c r="Q118" s="186"/>
      <c r="R118" s="186"/>
      <c r="S118" s="186"/>
      <c r="T118" s="186"/>
      <c r="U118" s="186"/>
    </row>
    <row r="119" spans="1:21" x14ac:dyDescent="0.25">
      <c r="A119" s="638" t="s">
        <v>614</v>
      </c>
      <c r="B119" s="637">
        <v>0.9093</v>
      </c>
      <c r="C119" s="638"/>
      <c r="D119" s="186" t="s">
        <v>319</v>
      </c>
      <c r="E119" s="186" t="s">
        <v>319</v>
      </c>
      <c r="F119" s="186" t="s">
        <v>319</v>
      </c>
      <c r="G119" s="186" t="s">
        <v>614</v>
      </c>
      <c r="H119" s="186" t="s">
        <v>339</v>
      </c>
      <c r="I119" s="186">
        <v>1500</v>
      </c>
      <c r="J119" s="186" t="s">
        <v>321</v>
      </c>
      <c r="K119" s="186" t="s">
        <v>340</v>
      </c>
      <c r="L119" s="186" t="s">
        <v>811</v>
      </c>
      <c r="M119" s="186" t="s">
        <v>812</v>
      </c>
      <c r="N119" s="186" t="s">
        <v>325</v>
      </c>
      <c r="O119" s="186" t="s">
        <v>819</v>
      </c>
      <c r="P119" s="186"/>
      <c r="Q119" s="186"/>
      <c r="R119" s="186"/>
      <c r="S119" s="186"/>
      <c r="T119" s="186"/>
      <c r="U119" s="186"/>
    </row>
    <row r="120" spans="1:21" x14ac:dyDescent="0.25">
      <c r="A120" s="638" t="s">
        <v>614</v>
      </c>
      <c r="B120" s="637">
        <v>0.9536</v>
      </c>
      <c r="C120" s="638"/>
      <c r="D120" s="186" t="s">
        <v>319</v>
      </c>
      <c r="E120" s="186" t="s">
        <v>319</v>
      </c>
      <c r="F120" s="186" t="s">
        <v>319</v>
      </c>
      <c r="G120" s="186" t="s">
        <v>614</v>
      </c>
      <c r="H120" s="186" t="s">
        <v>339</v>
      </c>
      <c r="I120" s="186">
        <v>1500</v>
      </c>
      <c r="J120" s="186" t="s">
        <v>321</v>
      </c>
      <c r="K120" s="186" t="s">
        <v>340</v>
      </c>
      <c r="L120" s="186" t="s">
        <v>811</v>
      </c>
      <c r="M120" s="186" t="s">
        <v>812</v>
      </c>
      <c r="N120" s="186" t="s">
        <v>325</v>
      </c>
      <c r="O120" s="186" t="s">
        <v>820</v>
      </c>
      <c r="P120" s="186"/>
      <c r="Q120" s="186"/>
      <c r="R120" s="186"/>
      <c r="S120" s="186"/>
      <c r="T120" s="186"/>
      <c r="U120" s="186"/>
    </row>
    <row r="121" spans="1:21" x14ac:dyDescent="0.25">
      <c r="A121" s="638" t="s">
        <v>614</v>
      </c>
      <c r="B121" s="637">
        <v>0.97030000000000005</v>
      </c>
      <c r="C121" s="638"/>
      <c r="D121" s="186" t="s">
        <v>319</v>
      </c>
      <c r="E121" s="186" t="s">
        <v>319</v>
      </c>
      <c r="F121" s="186" t="s">
        <v>319</v>
      </c>
      <c r="G121" s="186" t="s">
        <v>614</v>
      </c>
      <c r="H121" s="186" t="s">
        <v>339</v>
      </c>
      <c r="I121" s="186">
        <v>1500</v>
      </c>
      <c r="J121" s="186" t="s">
        <v>321</v>
      </c>
      <c r="K121" s="186" t="s">
        <v>340</v>
      </c>
      <c r="L121" s="186" t="s">
        <v>811</v>
      </c>
      <c r="M121" s="186" t="s">
        <v>812</v>
      </c>
      <c r="N121" s="186" t="s">
        <v>325</v>
      </c>
      <c r="O121" s="186" t="s">
        <v>821</v>
      </c>
      <c r="P121" s="186"/>
      <c r="Q121" s="186"/>
      <c r="R121" s="186"/>
      <c r="S121" s="186"/>
      <c r="T121" s="186"/>
      <c r="U121" s="186"/>
    </row>
    <row r="122" spans="1:21" x14ac:dyDescent="0.25">
      <c r="A122" s="638" t="s">
        <v>614</v>
      </c>
      <c r="B122" s="637">
        <v>0.61170000000000002</v>
      </c>
      <c r="C122" s="638"/>
      <c r="D122" s="186" t="s">
        <v>319</v>
      </c>
      <c r="E122" s="186" t="s">
        <v>319</v>
      </c>
      <c r="F122" s="186" t="s">
        <v>319</v>
      </c>
      <c r="G122" s="186" t="s">
        <v>614</v>
      </c>
      <c r="H122" s="186" t="s">
        <v>339</v>
      </c>
      <c r="I122" s="186">
        <v>2500</v>
      </c>
      <c r="J122" s="186" t="s">
        <v>321</v>
      </c>
      <c r="K122" s="186" t="s">
        <v>340</v>
      </c>
      <c r="L122" s="186" t="s">
        <v>811</v>
      </c>
      <c r="M122" s="186" t="s">
        <v>812</v>
      </c>
      <c r="N122" s="186" t="s">
        <v>325</v>
      </c>
      <c r="O122" s="186" t="s">
        <v>813</v>
      </c>
      <c r="P122" s="186"/>
      <c r="Q122" s="186"/>
      <c r="R122" s="186"/>
      <c r="S122" s="186"/>
      <c r="T122" s="186"/>
      <c r="U122" s="186"/>
    </row>
    <row r="123" spans="1:21" x14ac:dyDescent="0.25">
      <c r="A123" s="638" t="s">
        <v>614</v>
      </c>
      <c r="B123" s="637">
        <v>0.61170000000000002</v>
      </c>
      <c r="C123" s="638"/>
      <c r="D123" s="186" t="s">
        <v>319</v>
      </c>
      <c r="E123" s="186" t="s">
        <v>319</v>
      </c>
      <c r="F123" s="186" t="s">
        <v>319</v>
      </c>
      <c r="G123" s="186" t="s">
        <v>614</v>
      </c>
      <c r="H123" s="186" t="s">
        <v>339</v>
      </c>
      <c r="I123" s="186">
        <v>2500</v>
      </c>
      <c r="J123" s="186" t="s">
        <v>321</v>
      </c>
      <c r="K123" s="186" t="s">
        <v>340</v>
      </c>
      <c r="L123" s="186" t="s">
        <v>811</v>
      </c>
      <c r="M123" s="186" t="s">
        <v>812</v>
      </c>
      <c r="N123" s="186" t="s">
        <v>325</v>
      </c>
      <c r="O123" s="186" t="s">
        <v>814</v>
      </c>
      <c r="P123" s="186"/>
      <c r="Q123" s="186"/>
      <c r="R123" s="186"/>
      <c r="S123" s="186"/>
      <c r="T123" s="186"/>
      <c r="U123" s="186"/>
    </row>
    <row r="124" spans="1:21" x14ac:dyDescent="0.25">
      <c r="A124" s="638" t="s">
        <v>614</v>
      </c>
      <c r="B124" s="637">
        <v>0.70240000000000002</v>
      </c>
      <c r="C124" s="638"/>
      <c r="D124" s="186" t="s">
        <v>319</v>
      </c>
      <c r="E124" s="186" t="s">
        <v>319</v>
      </c>
      <c r="F124" s="186" t="s">
        <v>319</v>
      </c>
      <c r="G124" s="186" t="s">
        <v>614</v>
      </c>
      <c r="H124" s="186" t="s">
        <v>339</v>
      </c>
      <c r="I124" s="186">
        <v>2500</v>
      </c>
      <c r="J124" s="186" t="s">
        <v>321</v>
      </c>
      <c r="K124" s="186" t="s">
        <v>340</v>
      </c>
      <c r="L124" s="186" t="s">
        <v>811</v>
      </c>
      <c r="M124" s="186" t="s">
        <v>812</v>
      </c>
      <c r="N124" s="186" t="s">
        <v>325</v>
      </c>
      <c r="O124" s="186" t="s">
        <v>815</v>
      </c>
      <c r="P124" s="186"/>
      <c r="Q124" s="186"/>
      <c r="R124" s="186"/>
      <c r="S124" s="186"/>
      <c r="T124" s="186"/>
      <c r="U124" s="186"/>
    </row>
    <row r="125" spans="1:21" x14ac:dyDescent="0.25">
      <c r="A125" s="638" t="s">
        <v>614</v>
      </c>
      <c r="B125" s="637">
        <v>0.76629999999999998</v>
      </c>
      <c r="C125" s="638"/>
      <c r="D125" s="186" t="s">
        <v>319</v>
      </c>
      <c r="E125" s="186" t="s">
        <v>319</v>
      </c>
      <c r="F125" s="186" t="s">
        <v>319</v>
      </c>
      <c r="G125" s="186" t="s">
        <v>614</v>
      </c>
      <c r="H125" s="186" t="s">
        <v>339</v>
      </c>
      <c r="I125" s="186">
        <v>2500</v>
      </c>
      <c r="J125" s="186" t="s">
        <v>321</v>
      </c>
      <c r="K125" s="186" t="s">
        <v>340</v>
      </c>
      <c r="L125" s="186" t="s">
        <v>811</v>
      </c>
      <c r="M125" s="186" t="s">
        <v>812</v>
      </c>
      <c r="N125" s="186" t="s">
        <v>325</v>
      </c>
      <c r="O125" s="186" t="s">
        <v>816</v>
      </c>
      <c r="P125" s="186"/>
      <c r="Q125" s="186"/>
      <c r="R125" s="186"/>
      <c r="S125" s="186"/>
      <c r="T125" s="186"/>
      <c r="U125" s="186"/>
    </row>
    <row r="126" spans="1:21" x14ac:dyDescent="0.25">
      <c r="A126" s="638" t="s">
        <v>614</v>
      </c>
      <c r="B126" s="637">
        <v>0.80069999999999997</v>
      </c>
      <c r="C126" s="638"/>
      <c r="D126" s="186" t="s">
        <v>319</v>
      </c>
      <c r="E126" s="186" t="s">
        <v>319</v>
      </c>
      <c r="F126" s="186" t="s">
        <v>319</v>
      </c>
      <c r="G126" s="186" t="s">
        <v>614</v>
      </c>
      <c r="H126" s="186" t="s">
        <v>339</v>
      </c>
      <c r="I126" s="186">
        <v>2500</v>
      </c>
      <c r="J126" s="186" t="s">
        <v>321</v>
      </c>
      <c r="K126" s="186" t="s">
        <v>340</v>
      </c>
      <c r="L126" s="186" t="s">
        <v>811</v>
      </c>
      <c r="M126" s="186" t="s">
        <v>812</v>
      </c>
      <c r="N126" s="186" t="s">
        <v>325</v>
      </c>
      <c r="O126" s="186" t="s">
        <v>817</v>
      </c>
      <c r="P126" s="186"/>
      <c r="Q126" s="186"/>
      <c r="R126" s="186"/>
      <c r="S126" s="186"/>
      <c r="T126" s="186"/>
      <c r="U126" s="186"/>
    </row>
    <row r="127" spans="1:21" x14ac:dyDescent="0.25">
      <c r="A127" s="638" t="s">
        <v>614</v>
      </c>
      <c r="B127" s="637">
        <v>0.84919999999999995</v>
      </c>
      <c r="C127" s="638"/>
      <c r="D127" s="186" t="s">
        <v>319</v>
      </c>
      <c r="E127" s="186" t="s">
        <v>319</v>
      </c>
      <c r="F127" s="186" t="s">
        <v>319</v>
      </c>
      <c r="G127" s="186" t="s">
        <v>614</v>
      </c>
      <c r="H127" s="186" t="s">
        <v>339</v>
      </c>
      <c r="I127" s="186">
        <v>2500</v>
      </c>
      <c r="J127" s="186" t="s">
        <v>321</v>
      </c>
      <c r="K127" s="186" t="s">
        <v>340</v>
      </c>
      <c r="L127" s="186" t="s">
        <v>811</v>
      </c>
      <c r="M127" s="186" t="s">
        <v>812</v>
      </c>
      <c r="N127" s="186" t="s">
        <v>325</v>
      </c>
      <c r="O127" s="186" t="s">
        <v>818</v>
      </c>
      <c r="P127" s="186"/>
      <c r="Q127" s="186"/>
      <c r="R127" s="186"/>
      <c r="S127" s="186"/>
      <c r="T127" s="186"/>
      <c r="U127" s="186"/>
    </row>
    <row r="128" spans="1:21" x14ac:dyDescent="0.25">
      <c r="A128" s="638" t="s">
        <v>614</v>
      </c>
      <c r="B128" s="637">
        <v>0.86250000000000004</v>
      </c>
      <c r="C128" s="638"/>
      <c r="D128" s="186" t="s">
        <v>319</v>
      </c>
      <c r="E128" s="186" t="s">
        <v>319</v>
      </c>
      <c r="F128" s="186" t="s">
        <v>319</v>
      </c>
      <c r="G128" s="186" t="s">
        <v>614</v>
      </c>
      <c r="H128" s="186" t="s">
        <v>339</v>
      </c>
      <c r="I128" s="186">
        <v>2500</v>
      </c>
      <c r="J128" s="186" t="s">
        <v>321</v>
      </c>
      <c r="K128" s="186" t="s">
        <v>340</v>
      </c>
      <c r="L128" s="186" t="s">
        <v>811</v>
      </c>
      <c r="M128" s="186" t="s">
        <v>812</v>
      </c>
      <c r="N128" s="186" t="s">
        <v>325</v>
      </c>
      <c r="O128" s="186" t="s">
        <v>819</v>
      </c>
      <c r="P128" s="186"/>
      <c r="Q128" s="186"/>
      <c r="R128" s="186"/>
      <c r="S128" s="186"/>
      <c r="T128" s="186"/>
      <c r="U128" s="186"/>
    </row>
    <row r="129" spans="1:21" x14ac:dyDescent="0.25">
      <c r="A129" s="638" t="s">
        <v>614</v>
      </c>
      <c r="B129" s="637">
        <v>0.92920000000000003</v>
      </c>
      <c r="C129" s="638"/>
      <c r="D129" s="186" t="s">
        <v>319</v>
      </c>
      <c r="E129" s="186" t="s">
        <v>319</v>
      </c>
      <c r="F129" s="186" t="s">
        <v>319</v>
      </c>
      <c r="G129" s="186" t="s">
        <v>614</v>
      </c>
      <c r="H129" s="186" t="s">
        <v>339</v>
      </c>
      <c r="I129" s="186">
        <v>2500</v>
      </c>
      <c r="J129" s="186" t="s">
        <v>321</v>
      </c>
      <c r="K129" s="186" t="s">
        <v>340</v>
      </c>
      <c r="L129" s="186" t="s">
        <v>811</v>
      </c>
      <c r="M129" s="186" t="s">
        <v>812</v>
      </c>
      <c r="N129" s="186" t="s">
        <v>325</v>
      </c>
      <c r="O129" s="186" t="s">
        <v>820</v>
      </c>
      <c r="P129" s="186"/>
      <c r="Q129" s="186"/>
      <c r="R129" s="186"/>
      <c r="S129" s="186"/>
      <c r="T129" s="186"/>
      <c r="U129" s="186"/>
    </row>
    <row r="130" spans="1:21" x14ac:dyDescent="0.25">
      <c r="A130" s="638" t="s">
        <v>614</v>
      </c>
      <c r="B130" s="637">
        <v>0.95269999999999999</v>
      </c>
      <c r="C130" s="638"/>
      <c r="D130" s="186" t="s">
        <v>319</v>
      </c>
      <c r="E130" s="186" t="s">
        <v>319</v>
      </c>
      <c r="F130" s="186" t="s">
        <v>319</v>
      </c>
      <c r="G130" s="186" t="s">
        <v>614</v>
      </c>
      <c r="H130" s="186" t="s">
        <v>339</v>
      </c>
      <c r="I130" s="186">
        <v>2500</v>
      </c>
      <c r="J130" s="186" t="s">
        <v>321</v>
      </c>
      <c r="K130" s="186" t="s">
        <v>340</v>
      </c>
      <c r="L130" s="186" t="s">
        <v>811</v>
      </c>
      <c r="M130" s="186" t="s">
        <v>812</v>
      </c>
      <c r="N130" s="186" t="s">
        <v>325</v>
      </c>
      <c r="O130" s="186" t="s">
        <v>821</v>
      </c>
      <c r="P130" s="186"/>
      <c r="Q130" s="186"/>
      <c r="R130" s="186"/>
      <c r="S130" s="186"/>
      <c r="T130" s="186"/>
      <c r="U130" s="186"/>
    </row>
    <row r="131" spans="1:21" x14ac:dyDescent="0.25">
      <c r="A131" s="638" t="s">
        <v>614</v>
      </c>
      <c r="B131" s="637">
        <v>0.56789999999999996</v>
      </c>
      <c r="C131" s="638"/>
      <c r="D131" s="186" t="s">
        <v>319</v>
      </c>
      <c r="E131" s="186" t="s">
        <v>319</v>
      </c>
      <c r="F131" s="186" t="s">
        <v>319</v>
      </c>
      <c r="G131" s="186" t="s">
        <v>614</v>
      </c>
      <c r="H131" s="186" t="s">
        <v>339</v>
      </c>
      <c r="I131" s="186">
        <v>5000</v>
      </c>
      <c r="J131" s="186" t="s">
        <v>321</v>
      </c>
      <c r="K131" s="186" t="s">
        <v>340</v>
      </c>
      <c r="L131" s="186" t="s">
        <v>811</v>
      </c>
      <c r="M131" s="186" t="s">
        <v>812</v>
      </c>
      <c r="N131" s="186" t="s">
        <v>325</v>
      </c>
      <c r="O131" s="186" t="s">
        <v>813</v>
      </c>
      <c r="P131" s="186"/>
      <c r="Q131" s="186"/>
      <c r="R131" s="186"/>
      <c r="S131" s="186"/>
      <c r="T131" s="186"/>
      <c r="U131" s="186"/>
    </row>
    <row r="132" spans="1:21" x14ac:dyDescent="0.25">
      <c r="A132" s="638" t="s">
        <v>614</v>
      </c>
      <c r="B132" s="637">
        <v>0.56789999999999996</v>
      </c>
      <c r="C132" s="638"/>
      <c r="D132" s="186" t="s">
        <v>319</v>
      </c>
      <c r="E132" s="186" t="s">
        <v>319</v>
      </c>
      <c r="F132" s="186" t="s">
        <v>319</v>
      </c>
      <c r="G132" s="186" t="s">
        <v>614</v>
      </c>
      <c r="H132" s="186" t="s">
        <v>339</v>
      </c>
      <c r="I132" s="186">
        <v>5000</v>
      </c>
      <c r="J132" s="186" t="s">
        <v>321</v>
      </c>
      <c r="K132" s="186" t="s">
        <v>340</v>
      </c>
      <c r="L132" s="186" t="s">
        <v>811</v>
      </c>
      <c r="M132" s="186" t="s">
        <v>812</v>
      </c>
      <c r="N132" s="186" t="s">
        <v>325</v>
      </c>
      <c r="O132" s="186" t="s">
        <v>814</v>
      </c>
      <c r="P132" s="186"/>
      <c r="Q132" s="186"/>
      <c r="R132" s="186"/>
      <c r="S132" s="186"/>
      <c r="T132" s="186"/>
      <c r="U132" s="186"/>
    </row>
    <row r="133" spans="1:21" x14ac:dyDescent="0.25">
      <c r="A133" s="638" t="s">
        <v>614</v>
      </c>
      <c r="B133" s="637">
        <v>0.56789999999999996</v>
      </c>
      <c r="C133" s="638"/>
      <c r="D133" s="186" t="s">
        <v>319</v>
      </c>
      <c r="E133" s="186" t="s">
        <v>319</v>
      </c>
      <c r="F133" s="186" t="s">
        <v>319</v>
      </c>
      <c r="G133" s="186" t="s">
        <v>614</v>
      </c>
      <c r="H133" s="186" t="s">
        <v>339</v>
      </c>
      <c r="I133" s="186">
        <v>5000</v>
      </c>
      <c r="J133" s="186" t="s">
        <v>321</v>
      </c>
      <c r="K133" s="186" t="s">
        <v>340</v>
      </c>
      <c r="L133" s="186" t="s">
        <v>811</v>
      </c>
      <c r="M133" s="186" t="s">
        <v>812</v>
      </c>
      <c r="N133" s="186" t="s">
        <v>325</v>
      </c>
      <c r="O133" s="186" t="s">
        <v>815</v>
      </c>
      <c r="P133" s="186"/>
      <c r="Q133" s="186"/>
      <c r="R133" s="186"/>
      <c r="S133" s="186"/>
      <c r="T133" s="186"/>
      <c r="U133" s="186"/>
    </row>
    <row r="134" spans="1:21" x14ac:dyDescent="0.25">
      <c r="A134" s="638" t="s">
        <v>614</v>
      </c>
      <c r="B134" s="637">
        <v>0.63349999999999995</v>
      </c>
      <c r="C134" s="638"/>
      <c r="D134" s="186" t="s">
        <v>319</v>
      </c>
      <c r="E134" s="186" t="s">
        <v>319</v>
      </c>
      <c r="F134" s="186" t="s">
        <v>319</v>
      </c>
      <c r="G134" s="186" t="s">
        <v>614</v>
      </c>
      <c r="H134" s="186" t="s">
        <v>339</v>
      </c>
      <c r="I134" s="186">
        <v>5000</v>
      </c>
      <c r="J134" s="186" t="s">
        <v>321</v>
      </c>
      <c r="K134" s="186" t="s">
        <v>340</v>
      </c>
      <c r="L134" s="186" t="s">
        <v>811</v>
      </c>
      <c r="M134" s="186" t="s">
        <v>812</v>
      </c>
      <c r="N134" s="186" t="s">
        <v>325</v>
      </c>
      <c r="O134" s="186" t="s">
        <v>816</v>
      </c>
      <c r="P134" s="186"/>
      <c r="Q134" s="186"/>
      <c r="R134" s="186"/>
      <c r="S134" s="186"/>
      <c r="T134" s="186"/>
      <c r="U134" s="186"/>
    </row>
    <row r="135" spans="1:21" x14ac:dyDescent="0.25">
      <c r="A135" s="638" t="s">
        <v>614</v>
      </c>
      <c r="B135" s="637">
        <v>0.68989999999999996</v>
      </c>
      <c r="C135" s="638"/>
      <c r="D135" s="186" t="s">
        <v>319</v>
      </c>
      <c r="E135" s="186" t="s">
        <v>319</v>
      </c>
      <c r="F135" s="186" t="s">
        <v>319</v>
      </c>
      <c r="G135" s="186" t="s">
        <v>614</v>
      </c>
      <c r="H135" s="186" t="s">
        <v>339</v>
      </c>
      <c r="I135" s="186">
        <v>5000</v>
      </c>
      <c r="J135" s="186" t="s">
        <v>321</v>
      </c>
      <c r="K135" s="186" t="s">
        <v>340</v>
      </c>
      <c r="L135" s="186" t="s">
        <v>811</v>
      </c>
      <c r="M135" s="186" t="s">
        <v>812</v>
      </c>
      <c r="N135" s="186" t="s">
        <v>325</v>
      </c>
      <c r="O135" s="186" t="s">
        <v>817</v>
      </c>
      <c r="P135" s="186"/>
      <c r="Q135" s="186"/>
      <c r="R135" s="186"/>
      <c r="S135" s="186"/>
      <c r="T135" s="186"/>
      <c r="U135" s="186"/>
    </row>
    <row r="136" spans="1:21" x14ac:dyDescent="0.25">
      <c r="A136" s="638" t="s">
        <v>614</v>
      </c>
      <c r="B136" s="637">
        <v>0.75749999999999995</v>
      </c>
      <c r="C136" s="638"/>
      <c r="D136" s="186" t="s">
        <v>319</v>
      </c>
      <c r="E136" s="186" t="s">
        <v>319</v>
      </c>
      <c r="F136" s="186" t="s">
        <v>319</v>
      </c>
      <c r="G136" s="186" t="s">
        <v>614</v>
      </c>
      <c r="H136" s="186" t="s">
        <v>339</v>
      </c>
      <c r="I136" s="186">
        <v>5000</v>
      </c>
      <c r="J136" s="186" t="s">
        <v>321</v>
      </c>
      <c r="K136" s="186" t="s">
        <v>340</v>
      </c>
      <c r="L136" s="186" t="s">
        <v>811</v>
      </c>
      <c r="M136" s="186" t="s">
        <v>812</v>
      </c>
      <c r="N136" s="186" t="s">
        <v>325</v>
      </c>
      <c r="O136" s="186" t="s">
        <v>818</v>
      </c>
      <c r="P136" s="186"/>
      <c r="Q136" s="186"/>
      <c r="R136" s="186"/>
      <c r="S136" s="186"/>
      <c r="T136" s="186"/>
      <c r="U136" s="186"/>
    </row>
    <row r="137" spans="1:21" x14ac:dyDescent="0.25">
      <c r="A137" s="638" t="s">
        <v>614</v>
      </c>
      <c r="B137" s="637">
        <v>0.77690000000000003</v>
      </c>
      <c r="C137" s="638"/>
      <c r="D137" s="186" t="s">
        <v>319</v>
      </c>
      <c r="E137" s="186" t="s">
        <v>319</v>
      </c>
      <c r="F137" s="186" t="s">
        <v>319</v>
      </c>
      <c r="G137" s="186" t="s">
        <v>614</v>
      </c>
      <c r="H137" s="186" t="s">
        <v>339</v>
      </c>
      <c r="I137" s="186">
        <v>5000</v>
      </c>
      <c r="J137" s="186" t="s">
        <v>321</v>
      </c>
      <c r="K137" s="186" t="s">
        <v>340</v>
      </c>
      <c r="L137" s="186" t="s">
        <v>811</v>
      </c>
      <c r="M137" s="186" t="s">
        <v>812</v>
      </c>
      <c r="N137" s="186" t="s">
        <v>325</v>
      </c>
      <c r="O137" s="186" t="s">
        <v>819</v>
      </c>
      <c r="P137" s="186"/>
      <c r="Q137" s="186"/>
      <c r="R137" s="186"/>
      <c r="S137" s="186"/>
      <c r="T137" s="186"/>
      <c r="U137" s="186"/>
    </row>
    <row r="138" spans="1:21" x14ac:dyDescent="0.25">
      <c r="A138" s="638" t="s">
        <v>614</v>
      </c>
      <c r="B138" s="637">
        <v>0.87109999999999999</v>
      </c>
      <c r="C138" s="638"/>
      <c r="D138" s="186" t="s">
        <v>319</v>
      </c>
      <c r="E138" s="186" t="s">
        <v>319</v>
      </c>
      <c r="F138" s="186" t="s">
        <v>319</v>
      </c>
      <c r="G138" s="186" t="s">
        <v>614</v>
      </c>
      <c r="H138" s="186" t="s">
        <v>339</v>
      </c>
      <c r="I138" s="186">
        <v>5000</v>
      </c>
      <c r="J138" s="186" t="s">
        <v>321</v>
      </c>
      <c r="K138" s="186" t="s">
        <v>340</v>
      </c>
      <c r="L138" s="186" t="s">
        <v>811</v>
      </c>
      <c r="M138" s="186" t="s">
        <v>812</v>
      </c>
      <c r="N138" s="186" t="s">
        <v>325</v>
      </c>
      <c r="O138" s="186" t="s">
        <v>820</v>
      </c>
      <c r="P138" s="186"/>
      <c r="Q138" s="186"/>
      <c r="R138" s="186"/>
      <c r="S138" s="186"/>
      <c r="T138" s="186"/>
      <c r="U138" s="186"/>
    </row>
    <row r="139" spans="1:21" x14ac:dyDescent="0.25">
      <c r="A139" s="638" t="s">
        <v>614</v>
      </c>
      <c r="B139" s="637">
        <v>0.91539999999999999</v>
      </c>
      <c r="C139" s="638"/>
      <c r="D139" s="186" t="s">
        <v>319</v>
      </c>
      <c r="E139" s="186" t="s">
        <v>319</v>
      </c>
      <c r="F139" s="186" t="s">
        <v>319</v>
      </c>
      <c r="G139" s="186" t="s">
        <v>614</v>
      </c>
      <c r="H139" s="186" t="s">
        <v>339</v>
      </c>
      <c r="I139" s="186">
        <v>5000</v>
      </c>
      <c r="J139" s="186" t="s">
        <v>321</v>
      </c>
      <c r="K139" s="186" t="s">
        <v>340</v>
      </c>
      <c r="L139" s="186" t="s">
        <v>811</v>
      </c>
      <c r="M139" s="186" t="s">
        <v>812</v>
      </c>
      <c r="N139" s="186" t="s">
        <v>325</v>
      </c>
      <c r="O139" s="186" t="s">
        <v>821</v>
      </c>
      <c r="P139" s="186"/>
      <c r="Q139" s="186"/>
      <c r="R139" s="186"/>
      <c r="S139" s="186"/>
      <c r="T139" s="186"/>
      <c r="U139" s="186"/>
    </row>
    <row r="140" spans="1:21" x14ac:dyDescent="0.25">
      <c r="A140" s="638" t="s">
        <v>614</v>
      </c>
      <c r="B140" s="637">
        <v>0.52880000000000005</v>
      </c>
      <c r="C140" s="638"/>
      <c r="D140" s="186" t="s">
        <v>319</v>
      </c>
      <c r="E140" s="186" t="s">
        <v>319</v>
      </c>
      <c r="F140" s="186" t="s">
        <v>319</v>
      </c>
      <c r="G140" s="186" t="s">
        <v>614</v>
      </c>
      <c r="H140" s="186" t="s">
        <v>339</v>
      </c>
      <c r="I140" s="186">
        <v>10000</v>
      </c>
      <c r="J140" s="186" t="s">
        <v>321</v>
      </c>
      <c r="K140" s="186" t="s">
        <v>340</v>
      </c>
      <c r="L140" s="186" t="s">
        <v>811</v>
      </c>
      <c r="M140" s="186" t="s">
        <v>812</v>
      </c>
      <c r="N140" s="186" t="s">
        <v>325</v>
      </c>
      <c r="O140" s="186" t="s">
        <v>814</v>
      </c>
      <c r="P140" s="186"/>
      <c r="Q140" s="186"/>
      <c r="R140" s="186"/>
      <c r="S140" s="186"/>
      <c r="T140" s="186"/>
      <c r="U140" s="186"/>
    </row>
    <row r="141" spans="1:21" x14ac:dyDescent="0.25">
      <c r="A141" s="638" t="s">
        <v>614</v>
      </c>
      <c r="B141" s="637">
        <v>0.52880000000000005</v>
      </c>
      <c r="C141" s="638"/>
      <c r="D141" s="186" t="s">
        <v>319</v>
      </c>
      <c r="E141" s="186" t="s">
        <v>319</v>
      </c>
      <c r="F141" s="186" t="s">
        <v>319</v>
      </c>
      <c r="G141" s="186" t="s">
        <v>614</v>
      </c>
      <c r="H141" s="186" t="s">
        <v>339</v>
      </c>
      <c r="I141" s="186">
        <v>10000</v>
      </c>
      <c r="J141" s="186" t="s">
        <v>321</v>
      </c>
      <c r="K141" s="186" t="s">
        <v>340</v>
      </c>
      <c r="L141" s="186" t="s">
        <v>811</v>
      </c>
      <c r="M141" s="186" t="s">
        <v>812</v>
      </c>
      <c r="N141" s="186" t="s">
        <v>325</v>
      </c>
      <c r="O141" s="186" t="s">
        <v>815</v>
      </c>
      <c r="P141" s="186"/>
      <c r="Q141" s="186"/>
      <c r="R141" s="186"/>
      <c r="S141" s="186"/>
      <c r="T141" s="186"/>
      <c r="U141" s="186"/>
    </row>
    <row r="142" spans="1:21" x14ac:dyDescent="0.25">
      <c r="A142" s="638" t="s">
        <v>614</v>
      </c>
      <c r="B142" s="637">
        <v>0.52880000000000005</v>
      </c>
      <c r="C142" s="638"/>
      <c r="D142" s="186" t="s">
        <v>319</v>
      </c>
      <c r="E142" s="186" t="s">
        <v>319</v>
      </c>
      <c r="F142" s="186" t="s">
        <v>319</v>
      </c>
      <c r="G142" s="186" t="s">
        <v>614</v>
      </c>
      <c r="H142" s="186" t="s">
        <v>339</v>
      </c>
      <c r="I142" s="186">
        <v>10000</v>
      </c>
      <c r="J142" s="186" t="s">
        <v>321</v>
      </c>
      <c r="K142" s="186" t="s">
        <v>340</v>
      </c>
      <c r="L142" s="186" t="s">
        <v>811</v>
      </c>
      <c r="M142" s="186" t="s">
        <v>812</v>
      </c>
      <c r="N142" s="186" t="s">
        <v>325</v>
      </c>
      <c r="O142" s="186" t="s">
        <v>816</v>
      </c>
      <c r="P142" s="186"/>
      <c r="Q142" s="186"/>
      <c r="R142" s="186"/>
      <c r="S142" s="186"/>
      <c r="T142" s="186"/>
      <c r="U142" s="186"/>
    </row>
    <row r="143" spans="1:21" x14ac:dyDescent="0.25">
      <c r="A143" s="638" t="s">
        <v>614</v>
      </c>
      <c r="B143" s="637">
        <v>0.54079999999999995</v>
      </c>
      <c r="C143" s="638"/>
      <c r="D143" s="186" t="s">
        <v>319</v>
      </c>
      <c r="E143" s="186" t="s">
        <v>319</v>
      </c>
      <c r="F143" s="186" t="s">
        <v>319</v>
      </c>
      <c r="G143" s="186" t="s">
        <v>614</v>
      </c>
      <c r="H143" s="186" t="s">
        <v>339</v>
      </c>
      <c r="I143" s="186">
        <v>10000</v>
      </c>
      <c r="J143" s="186" t="s">
        <v>321</v>
      </c>
      <c r="K143" s="186" t="s">
        <v>340</v>
      </c>
      <c r="L143" s="186" t="s">
        <v>811</v>
      </c>
      <c r="M143" s="186" t="s">
        <v>812</v>
      </c>
      <c r="N143" s="186" t="s">
        <v>325</v>
      </c>
      <c r="O143" s="186" t="s">
        <v>817</v>
      </c>
      <c r="P143" s="186"/>
      <c r="Q143" s="186"/>
      <c r="R143" s="186"/>
      <c r="S143" s="186"/>
      <c r="T143" s="186"/>
      <c r="U143" s="186"/>
    </row>
    <row r="144" spans="1:21" x14ac:dyDescent="0.25">
      <c r="A144" s="638" t="s">
        <v>614</v>
      </c>
      <c r="B144" s="637">
        <v>0.63119999999999998</v>
      </c>
      <c r="C144" s="638"/>
      <c r="D144" s="186" t="s">
        <v>319</v>
      </c>
      <c r="E144" s="186" t="s">
        <v>319</v>
      </c>
      <c r="F144" s="186" t="s">
        <v>319</v>
      </c>
      <c r="G144" s="186" t="s">
        <v>614</v>
      </c>
      <c r="H144" s="186" t="s">
        <v>339</v>
      </c>
      <c r="I144" s="186">
        <v>10000</v>
      </c>
      <c r="J144" s="186" t="s">
        <v>321</v>
      </c>
      <c r="K144" s="186" t="s">
        <v>340</v>
      </c>
      <c r="L144" s="186" t="s">
        <v>811</v>
      </c>
      <c r="M144" s="186" t="s">
        <v>812</v>
      </c>
      <c r="N144" s="186" t="s">
        <v>325</v>
      </c>
      <c r="O144" s="186" t="s">
        <v>818</v>
      </c>
      <c r="P144" s="186"/>
      <c r="Q144" s="186"/>
      <c r="R144" s="186"/>
      <c r="S144" s="186"/>
      <c r="T144" s="186"/>
      <c r="U144" s="186"/>
    </row>
    <row r="145" spans="1:21" x14ac:dyDescent="0.25">
      <c r="A145" s="638" t="s">
        <v>614</v>
      </c>
      <c r="B145" s="637">
        <v>0.68559999999999999</v>
      </c>
      <c r="C145" s="638"/>
      <c r="D145" s="186" t="s">
        <v>319</v>
      </c>
      <c r="E145" s="186" t="s">
        <v>319</v>
      </c>
      <c r="F145" s="186" t="s">
        <v>319</v>
      </c>
      <c r="G145" s="186" t="s">
        <v>614</v>
      </c>
      <c r="H145" s="186" t="s">
        <v>339</v>
      </c>
      <c r="I145" s="186">
        <v>10000</v>
      </c>
      <c r="J145" s="186" t="s">
        <v>321</v>
      </c>
      <c r="K145" s="186" t="s">
        <v>340</v>
      </c>
      <c r="L145" s="186" t="s">
        <v>811</v>
      </c>
      <c r="M145" s="186" t="s">
        <v>812</v>
      </c>
      <c r="N145" s="186" t="s">
        <v>325</v>
      </c>
      <c r="O145" s="186" t="s">
        <v>819</v>
      </c>
      <c r="P145" s="186"/>
      <c r="Q145" s="186"/>
      <c r="R145" s="186"/>
      <c r="S145" s="186"/>
      <c r="T145" s="186"/>
      <c r="U145" s="186"/>
    </row>
    <row r="146" spans="1:21" x14ac:dyDescent="0.25">
      <c r="A146" s="638" t="s">
        <v>614</v>
      </c>
      <c r="B146" s="637">
        <v>0.78910000000000002</v>
      </c>
      <c r="C146" s="638"/>
      <c r="D146" s="186" t="s">
        <v>319</v>
      </c>
      <c r="E146" s="186" t="s">
        <v>319</v>
      </c>
      <c r="F146" s="186" t="s">
        <v>319</v>
      </c>
      <c r="G146" s="186" t="s">
        <v>614</v>
      </c>
      <c r="H146" s="186" t="s">
        <v>339</v>
      </c>
      <c r="I146" s="186">
        <v>10000</v>
      </c>
      <c r="J146" s="186" t="s">
        <v>321</v>
      </c>
      <c r="K146" s="186" t="s">
        <v>340</v>
      </c>
      <c r="L146" s="186" t="s">
        <v>811</v>
      </c>
      <c r="M146" s="186" t="s">
        <v>812</v>
      </c>
      <c r="N146" s="186" t="s">
        <v>325</v>
      </c>
      <c r="O146" s="186" t="s">
        <v>820</v>
      </c>
      <c r="P146" s="186"/>
      <c r="Q146" s="186"/>
      <c r="R146" s="186"/>
      <c r="S146" s="186"/>
      <c r="T146" s="186"/>
      <c r="U146" s="186"/>
    </row>
    <row r="147" spans="1:21" x14ac:dyDescent="0.25">
      <c r="A147" s="638" t="s">
        <v>614</v>
      </c>
      <c r="B147" s="637">
        <v>0.87409999999999999</v>
      </c>
      <c r="C147" s="638"/>
      <c r="D147" s="186" t="s">
        <v>319</v>
      </c>
      <c r="E147" s="186" t="s">
        <v>319</v>
      </c>
      <c r="F147" s="186" t="s">
        <v>319</v>
      </c>
      <c r="G147" s="186" t="s">
        <v>614</v>
      </c>
      <c r="H147" s="186" t="s">
        <v>339</v>
      </c>
      <c r="I147" s="186">
        <v>10000</v>
      </c>
      <c r="J147" s="186" t="s">
        <v>321</v>
      </c>
      <c r="K147" s="186" t="s">
        <v>340</v>
      </c>
      <c r="L147" s="186" t="s">
        <v>811</v>
      </c>
      <c r="M147" s="186" t="s">
        <v>812</v>
      </c>
      <c r="N147" s="186" t="s">
        <v>325</v>
      </c>
      <c r="O147" s="186" t="s">
        <v>821</v>
      </c>
      <c r="P147" s="186"/>
      <c r="Q147" s="186"/>
      <c r="R147" s="186"/>
      <c r="S147" s="186"/>
      <c r="T147" s="186"/>
      <c r="U147" s="186"/>
    </row>
    <row r="148" spans="1:21" x14ac:dyDescent="0.25">
      <c r="A148" s="638" t="s">
        <v>614</v>
      </c>
      <c r="B148" s="637">
        <v>0.48320000000000002</v>
      </c>
      <c r="C148" s="638"/>
      <c r="D148" s="186" t="s">
        <v>319</v>
      </c>
      <c r="E148" s="186" t="s">
        <v>319</v>
      </c>
      <c r="F148" s="186" t="s">
        <v>319</v>
      </c>
      <c r="G148" s="186" t="s">
        <v>614</v>
      </c>
      <c r="H148" s="186" t="s">
        <v>339</v>
      </c>
      <c r="I148" s="186">
        <v>20000</v>
      </c>
      <c r="J148" s="186" t="s">
        <v>321</v>
      </c>
      <c r="K148" s="186" t="s">
        <v>340</v>
      </c>
      <c r="L148" s="186" t="s">
        <v>811</v>
      </c>
      <c r="M148" s="186" t="s">
        <v>812</v>
      </c>
      <c r="N148" s="186" t="s">
        <v>325</v>
      </c>
      <c r="O148" s="186" t="s">
        <v>815</v>
      </c>
      <c r="P148" s="186"/>
      <c r="Q148" s="186"/>
      <c r="R148" s="186"/>
      <c r="S148" s="186"/>
      <c r="T148" s="186"/>
      <c r="U148" s="186"/>
    </row>
    <row r="149" spans="1:21" x14ac:dyDescent="0.25">
      <c r="A149" s="638" t="s">
        <v>614</v>
      </c>
      <c r="B149" s="637">
        <v>0.48320000000000002</v>
      </c>
      <c r="C149" s="638"/>
      <c r="D149" s="186" t="s">
        <v>319</v>
      </c>
      <c r="E149" s="186" t="s">
        <v>319</v>
      </c>
      <c r="F149" s="186" t="s">
        <v>319</v>
      </c>
      <c r="G149" s="186" t="s">
        <v>614</v>
      </c>
      <c r="H149" s="186" t="s">
        <v>339</v>
      </c>
      <c r="I149" s="186">
        <v>20000</v>
      </c>
      <c r="J149" s="186" t="s">
        <v>321</v>
      </c>
      <c r="K149" s="186" t="s">
        <v>340</v>
      </c>
      <c r="L149" s="186" t="s">
        <v>811</v>
      </c>
      <c r="M149" s="186" t="s">
        <v>812</v>
      </c>
      <c r="N149" s="186" t="s">
        <v>325</v>
      </c>
      <c r="O149" s="186" t="s">
        <v>816</v>
      </c>
      <c r="P149" s="186"/>
      <c r="Q149" s="186"/>
      <c r="R149" s="186"/>
      <c r="S149" s="186"/>
      <c r="T149" s="186"/>
      <c r="U149" s="186"/>
    </row>
    <row r="150" spans="1:21" x14ac:dyDescent="0.25">
      <c r="A150" s="638" t="s">
        <v>614</v>
      </c>
      <c r="B150" s="637">
        <v>0.48320000000000002</v>
      </c>
      <c r="C150" s="638"/>
      <c r="D150" s="186" t="s">
        <v>319</v>
      </c>
      <c r="E150" s="186" t="s">
        <v>319</v>
      </c>
      <c r="F150" s="186" t="s">
        <v>319</v>
      </c>
      <c r="G150" s="186" t="s">
        <v>614</v>
      </c>
      <c r="H150" s="186" t="s">
        <v>339</v>
      </c>
      <c r="I150" s="186">
        <v>20000</v>
      </c>
      <c r="J150" s="186" t="s">
        <v>321</v>
      </c>
      <c r="K150" s="186" t="s">
        <v>340</v>
      </c>
      <c r="L150" s="186" t="s">
        <v>811</v>
      </c>
      <c r="M150" s="186" t="s">
        <v>812</v>
      </c>
      <c r="N150" s="186" t="s">
        <v>325</v>
      </c>
      <c r="O150" s="186" t="s">
        <v>817</v>
      </c>
      <c r="P150" s="186"/>
      <c r="Q150" s="186"/>
      <c r="R150" s="186"/>
      <c r="S150" s="186"/>
      <c r="T150" s="186"/>
      <c r="U150" s="186"/>
    </row>
    <row r="151" spans="1:21" x14ac:dyDescent="0.25">
      <c r="A151" s="638" t="s">
        <v>614</v>
      </c>
      <c r="B151" s="637">
        <v>0.51600000000000001</v>
      </c>
      <c r="C151" s="638"/>
      <c r="D151" s="186" t="s">
        <v>319</v>
      </c>
      <c r="E151" s="186" t="s">
        <v>319</v>
      </c>
      <c r="F151" s="186" t="s">
        <v>319</v>
      </c>
      <c r="G151" s="186" t="s">
        <v>614</v>
      </c>
      <c r="H151" s="186" t="s">
        <v>339</v>
      </c>
      <c r="I151" s="186">
        <v>20000</v>
      </c>
      <c r="J151" s="186" t="s">
        <v>321</v>
      </c>
      <c r="K151" s="186" t="s">
        <v>340</v>
      </c>
      <c r="L151" s="186" t="s">
        <v>811</v>
      </c>
      <c r="M151" s="186" t="s">
        <v>812</v>
      </c>
      <c r="N151" s="186" t="s">
        <v>325</v>
      </c>
      <c r="O151" s="186" t="s">
        <v>818</v>
      </c>
      <c r="P151" s="186"/>
      <c r="Q151" s="186"/>
      <c r="R151" s="186"/>
      <c r="S151" s="186"/>
      <c r="T151" s="186"/>
      <c r="U151" s="186"/>
    </row>
    <row r="152" spans="1:21" x14ac:dyDescent="0.25">
      <c r="A152" s="638" t="s">
        <v>614</v>
      </c>
      <c r="B152" s="637">
        <v>0.57869999999999999</v>
      </c>
      <c r="C152" s="638"/>
      <c r="D152" s="186" t="s">
        <v>319</v>
      </c>
      <c r="E152" s="186" t="s">
        <v>319</v>
      </c>
      <c r="F152" s="186" t="s">
        <v>319</v>
      </c>
      <c r="G152" s="186" t="s">
        <v>614</v>
      </c>
      <c r="H152" s="186" t="s">
        <v>339</v>
      </c>
      <c r="I152" s="186">
        <v>20000</v>
      </c>
      <c r="J152" s="186" t="s">
        <v>321</v>
      </c>
      <c r="K152" s="186" t="s">
        <v>340</v>
      </c>
      <c r="L152" s="186" t="s">
        <v>811</v>
      </c>
      <c r="M152" s="186" t="s">
        <v>812</v>
      </c>
      <c r="N152" s="186" t="s">
        <v>325</v>
      </c>
      <c r="O152" s="186" t="s">
        <v>819</v>
      </c>
      <c r="P152" s="186"/>
      <c r="Q152" s="186"/>
      <c r="R152" s="186"/>
      <c r="S152" s="186"/>
      <c r="T152" s="186"/>
      <c r="U152" s="186"/>
    </row>
    <row r="153" spans="1:21" x14ac:dyDescent="0.25">
      <c r="A153" s="638" t="s">
        <v>614</v>
      </c>
      <c r="B153" s="637">
        <v>0.67989999999999995</v>
      </c>
      <c r="C153" s="638"/>
      <c r="D153" s="186" t="s">
        <v>319</v>
      </c>
      <c r="E153" s="186" t="s">
        <v>319</v>
      </c>
      <c r="F153" s="186" t="s">
        <v>319</v>
      </c>
      <c r="G153" s="186" t="s">
        <v>614</v>
      </c>
      <c r="H153" s="186" t="s">
        <v>339</v>
      </c>
      <c r="I153" s="186">
        <v>20000</v>
      </c>
      <c r="J153" s="186" t="s">
        <v>321</v>
      </c>
      <c r="K153" s="186" t="s">
        <v>340</v>
      </c>
      <c r="L153" s="186" t="s">
        <v>811</v>
      </c>
      <c r="M153" s="186" t="s">
        <v>812</v>
      </c>
      <c r="N153" s="186" t="s">
        <v>325</v>
      </c>
      <c r="O153" s="186" t="s">
        <v>820</v>
      </c>
      <c r="P153" s="186"/>
      <c r="Q153" s="186"/>
      <c r="R153" s="186"/>
      <c r="S153" s="186"/>
      <c r="T153" s="186"/>
      <c r="U153" s="186"/>
    </row>
    <row r="154" spans="1:21" x14ac:dyDescent="0.25">
      <c r="A154" s="638" t="s">
        <v>614</v>
      </c>
      <c r="B154" s="637">
        <v>0.80889999999999995</v>
      </c>
      <c r="C154" s="638"/>
      <c r="D154" s="186" t="s">
        <v>319</v>
      </c>
      <c r="E154" s="186" t="s">
        <v>319</v>
      </c>
      <c r="F154" s="186" t="s">
        <v>319</v>
      </c>
      <c r="G154" s="186" t="s">
        <v>614</v>
      </c>
      <c r="H154" s="186" t="s">
        <v>339</v>
      </c>
      <c r="I154" s="186">
        <v>20000</v>
      </c>
      <c r="J154" s="186" t="s">
        <v>321</v>
      </c>
      <c r="K154" s="186" t="s">
        <v>340</v>
      </c>
      <c r="L154" s="186" t="s">
        <v>811</v>
      </c>
      <c r="M154" s="186" t="s">
        <v>812</v>
      </c>
      <c r="N154" s="186" t="s">
        <v>325</v>
      </c>
      <c r="O154" s="186" t="s">
        <v>821</v>
      </c>
      <c r="P154" s="186"/>
      <c r="Q154" s="186"/>
      <c r="R154" s="186"/>
      <c r="S154" s="186"/>
      <c r="T154" s="186"/>
      <c r="U154" s="186"/>
    </row>
    <row r="155" spans="1:21" x14ac:dyDescent="0.25">
      <c r="A155" s="638" t="s">
        <v>614</v>
      </c>
      <c r="B155" s="637">
        <v>0.42859999999999998</v>
      </c>
      <c r="C155" s="638"/>
      <c r="D155" s="186" t="s">
        <v>319</v>
      </c>
      <c r="E155" s="186" t="s">
        <v>319</v>
      </c>
      <c r="F155" s="186" t="s">
        <v>319</v>
      </c>
      <c r="G155" s="186" t="s">
        <v>614</v>
      </c>
      <c r="H155" s="186" t="s">
        <v>339</v>
      </c>
      <c r="I155" s="186">
        <v>50000</v>
      </c>
      <c r="J155" s="186" t="s">
        <v>321</v>
      </c>
      <c r="K155" s="186" t="s">
        <v>340</v>
      </c>
      <c r="L155" s="186" t="s">
        <v>811</v>
      </c>
      <c r="M155" s="186" t="s">
        <v>812</v>
      </c>
      <c r="N155" s="186" t="s">
        <v>325</v>
      </c>
      <c r="O155" s="186" t="s">
        <v>818</v>
      </c>
      <c r="P155" s="186"/>
      <c r="Q155" s="186"/>
      <c r="R155" s="186"/>
      <c r="S155" s="186"/>
      <c r="T155" s="186"/>
      <c r="U155" s="186"/>
    </row>
    <row r="156" spans="1:21" x14ac:dyDescent="0.25">
      <c r="A156" s="638" t="s">
        <v>614</v>
      </c>
      <c r="B156" s="637">
        <v>0.42859999999999998</v>
      </c>
      <c r="C156" s="638"/>
      <c r="D156" s="186" t="s">
        <v>319</v>
      </c>
      <c r="E156" s="186" t="s">
        <v>319</v>
      </c>
      <c r="F156" s="186" t="s">
        <v>319</v>
      </c>
      <c r="G156" s="186" t="s">
        <v>614</v>
      </c>
      <c r="H156" s="186" t="s">
        <v>339</v>
      </c>
      <c r="I156" s="186">
        <v>50000</v>
      </c>
      <c r="J156" s="186" t="s">
        <v>321</v>
      </c>
      <c r="K156" s="186" t="s">
        <v>340</v>
      </c>
      <c r="L156" s="186" t="s">
        <v>811</v>
      </c>
      <c r="M156" s="186" t="s">
        <v>812</v>
      </c>
      <c r="N156" s="186" t="s">
        <v>325</v>
      </c>
      <c r="O156" s="186" t="s">
        <v>819</v>
      </c>
      <c r="P156" s="186"/>
      <c r="Q156" s="186"/>
      <c r="R156" s="186"/>
      <c r="S156" s="186"/>
      <c r="T156" s="186"/>
      <c r="U156" s="186"/>
    </row>
    <row r="157" spans="1:21" x14ac:dyDescent="0.25">
      <c r="A157" s="638" t="s">
        <v>614</v>
      </c>
      <c r="B157" s="637">
        <v>0.48749999999999999</v>
      </c>
      <c r="C157" s="638"/>
      <c r="D157" s="186" t="s">
        <v>319</v>
      </c>
      <c r="E157" s="186" t="s">
        <v>319</v>
      </c>
      <c r="F157" s="186" t="s">
        <v>319</v>
      </c>
      <c r="G157" s="186" t="s">
        <v>614</v>
      </c>
      <c r="H157" s="186" t="s">
        <v>339</v>
      </c>
      <c r="I157" s="186">
        <v>50000</v>
      </c>
      <c r="J157" s="186" t="s">
        <v>321</v>
      </c>
      <c r="K157" s="186" t="s">
        <v>340</v>
      </c>
      <c r="L157" s="186" t="s">
        <v>811</v>
      </c>
      <c r="M157" s="186" t="s">
        <v>812</v>
      </c>
      <c r="N157" s="186" t="s">
        <v>325</v>
      </c>
      <c r="O157" s="186" t="s">
        <v>820</v>
      </c>
      <c r="P157" s="186"/>
      <c r="Q157" s="186"/>
      <c r="R157" s="186"/>
      <c r="S157" s="186"/>
      <c r="T157" s="186"/>
      <c r="U157" s="186"/>
    </row>
    <row r="158" spans="1:21" x14ac:dyDescent="0.25">
      <c r="A158" s="638" t="s">
        <v>614</v>
      </c>
      <c r="B158" s="637">
        <v>0.66759999999999997</v>
      </c>
      <c r="C158" s="638"/>
      <c r="D158" s="186" t="s">
        <v>319</v>
      </c>
      <c r="E158" s="186" t="s">
        <v>319</v>
      </c>
      <c r="F158" s="186" t="s">
        <v>319</v>
      </c>
      <c r="G158" s="186" t="s">
        <v>614</v>
      </c>
      <c r="H158" s="186" t="s">
        <v>339</v>
      </c>
      <c r="I158" s="186">
        <v>50000</v>
      </c>
      <c r="J158" s="186" t="s">
        <v>321</v>
      </c>
      <c r="K158" s="186" t="s">
        <v>340</v>
      </c>
      <c r="L158" s="186" t="s">
        <v>811</v>
      </c>
      <c r="M158" s="186" t="s">
        <v>812</v>
      </c>
      <c r="N158" s="186" t="s">
        <v>325</v>
      </c>
      <c r="O158" s="186" t="s">
        <v>821</v>
      </c>
      <c r="P158" s="186"/>
      <c r="Q158" s="186"/>
      <c r="R158" s="186"/>
      <c r="S158" s="186"/>
      <c r="T158" s="186"/>
      <c r="U158" s="186"/>
    </row>
    <row r="159" spans="1:21" x14ac:dyDescent="0.25">
      <c r="A159" s="638" t="s">
        <v>614</v>
      </c>
      <c r="B159" s="637">
        <v>0.3518</v>
      </c>
      <c r="C159" s="638"/>
      <c r="D159" s="186" t="s">
        <v>319</v>
      </c>
      <c r="E159" s="186" t="s">
        <v>319</v>
      </c>
      <c r="F159" s="186" t="s">
        <v>319</v>
      </c>
      <c r="G159" s="186" t="s">
        <v>614</v>
      </c>
      <c r="H159" s="186" t="s">
        <v>339</v>
      </c>
      <c r="I159" s="186">
        <v>100000</v>
      </c>
      <c r="J159" s="186" t="s">
        <v>321</v>
      </c>
      <c r="K159" s="186" t="s">
        <v>340</v>
      </c>
      <c r="L159" s="186" t="s">
        <v>811</v>
      </c>
      <c r="M159" s="186" t="s">
        <v>812</v>
      </c>
      <c r="N159" s="186" t="s">
        <v>325</v>
      </c>
      <c r="O159" s="186" t="s">
        <v>819</v>
      </c>
      <c r="P159" s="186"/>
      <c r="Q159" s="186"/>
      <c r="R159" s="186"/>
      <c r="S159" s="186"/>
      <c r="T159" s="186"/>
      <c r="U159" s="186"/>
    </row>
    <row r="160" spans="1:21" x14ac:dyDescent="0.25">
      <c r="A160" s="638" t="s">
        <v>614</v>
      </c>
      <c r="B160" s="637">
        <v>0.39639999999999997</v>
      </c>
      <c r="C160" s="638"/>
      <c r="D160" s="186" t="s">
        <v>319</v>
      </c>
      <c r="E160" s="186" t="s">
        <v>319</v>
      </c>
      <c r="F160" s="186" t="s">
        <v>319</v>
      </c>
      <c r="G160" s="186" t="s">
        <v>614</v>
      </c>
      <c r="H160" s="186" t="s">
        <v>339</v>
      </c>
      <c r="I160" s="186">
        <v>100000</v>
      </c>
      <c r="J160" s="186" t="s">
        <v>321</v>
      </c>
      <c r="K160" s="186" t="s">
        <v>340</v>
      </c>
      <c r="L160" s="186" t="s">
        <v>811</v>
      </c>
      <c r="M160" s="186" t="s">
        <v>812</v>
      </c>
      <c r="N160" s="186" t="s">
        <v>325</v>
      </c>
      <c r="O160" s="186" t="s">
        <v>820</v>
      </c>
      <c r="P160" s="186"/>
      <c r="Q160" s="186"/>
      <c r="R160" s="186"/>
      <c r="S160" s="186"/>
      <c r="T160" s="186"/>
      <c r="U160" s="186"/>
    </row>
    <row r="161" spans="1:21" x14ac:dyDescent="0.25">
      <c r="A161" s="638" t="s">
        <v>614</v>
      </c>
      <c r="B161" s="637">
        <v>0.4894</v>
      </c>
      <c r="C161" s="638"/>
      <c r="D161" s="186" t="s">
        <v>319</v>
      </c>
      <c r="E161" s="186" t="s">
        <v>319</v>
      </c>
      <c r="F161" s="186" t="s">
        <v>319</v>
      </c>
      <c r="G161" s="186" t="s">
        <v>614</v>
      </c>
      <c r="H161" s="186" t="s">
        <v>339</v>
      </c>
      <c r="I161" s="186">
        <v>100000</v>
      </c>
      <c r="J161" s="186" t="s">
        <v>321</v>
      </c>
      <c r="K161" s="186" t="s">
        <v>340</v>
      </c>
      <c r="L161" s="186" t="s">
        <v>811</v>
      </c>
      <c r="M161" s="186" t="s">
        <v>812</v>
      </c>
      <c r="N161" s="186" t="s">
        <v>325</v>
      </c>
      <c r="O161" s="186" t="s">
        <v>821</v>
      </c>
      <c r="P161" s="186"/>
      <c r="Q161" s="186"/>
      <c r="R161" s="186"/>
      <c r="S161" s="186"/>
      <c r="T161" s="186"/>
      <c r="U161" s="186"/>
    </row>
    <row r="162" spans="1:21" x14ac:dyDescent="0.25">
      <c r="A162" s="638" t="s">
        <v>883</v>
      </c>
      <c r="B162" s="636">
        <v>0.97250000000000003</v>
      </c>
      <c r="C162" s="638"/>
      <c r="D162" s="186" t="s">
        <v>319</v>
      </c>
      <c r="E162" s="186" t="s">
        <v>319</v>
      </c>
      <c r="F162" s="186" t="s">
        <v>319</v>
      </c>
      <c r="G162" s="186" t="s">
        <v>614</v>
      </c>
      <c r="H162" s="186" t="s">
        <v>339</v>
      </c>
      <c r="I162" s="186">
        <v>100</v>
      </c>
      <c r="J162" s="186" t="s">
        <v>321</v>
      </c>
      <c r="K162" s="186" t="s">
        <v>340</v>
      </c>
      <c r="L162" s="186" t="s">
        <v>811</v>
      </c>
      <c r="M162" s="186" t="s">
        <v>812</v>
      </c>
      <c r="N162" s="186" t="s">
        <v>325</v>
      </c>
      <c r="O162" s="186" t="s">
        <v>813</v>
      </c>
      <c r="P162" s="186" t="s">
        <v>884</v>
      </c>
      <c r="Q162" s="186" t="s">
        <v>339</v>
      </c>
      <c r="R162" s="186" t="b">
        <v>1</v>
      </c>
      <c r="S162" s="186"/>
      <c r="T162" s="186"/>
      <c r="U162" s="186"/>
    </row>
    <row r="163" spans="1:21" x14ac:dyDescent="0.25">
      <c r="A163" s="638" t="s">
        <v>883</v>
      </c>
      <c r="B163" s="636">
        <v>0.98119999999999996</v>
      </c>
      <c r="C163" s="638"/>
      <c r="D163" s="186" t="s">
        <v>319</v>
      </c>
      <c r="E163" s="186" t="s">
        <v>319</v>
      </c>
      <c r="F163" s="186" t="s">
        <v>319</v>
      </c>
      <c r="G163" s="186" t="s">
        <v>614</v>
      </c>
      <c r="H163" s="186" t="s">
        <v>339</v>
      </c>
      <c r="I163" s="186">
        <v>100</v>
      </c>
      <c r="J163" s="186" t="s">
        <v>321</v>
      </c>
      <c r="K163" s="186" t="s">
        <v>340</v>
      </c>
      <c r="L163" s="186" t="s">
        <v>811</v>
      </c>
      <c r="M163" s="186" t="s">
        <v>812</v>
      </c>
      <c r="N163" s="186" t="s">
        <v>325</v>
      </c>
      <c r="O163" s="186" t="s">
        <v>814</v>
      </c>
      <c r="P163" s="186" t="s">
        <v>884</v>
      </c>
      <c r="Q163" s="186" t="s">
        <v>339</v>
      </c>
      <c r="R163" s="186" t="b">
        <v>1</v>
      </c>
      <c r="S163" s="186"/>
      <c r="T163" s="186"/>
      <c r="U163" s="186"/>
    </row>
    <row r="164" spans="1:21" x14ac:dyDescent="0.25">
      <c r="A164" s="638" t="s">
        <v>883</v>
      </c>
      <c r="B164" s="636">
        <v>0.98609999999999998</v>
      </c>
      <c r="C164" s="638"/>
      <c r="D164" s="186" t="s">
        <v>319</v>
      </c>
      <c r="E164" s="186" t="s">
        <v>319</v>
      </c>
      <c r="F164" s="186" t="s">
        <v>319</v>
      </c>
      <c r="G164" s="186" t="s">
        <v>614</v>
      </c>
      <c r="H164" s="186" t="s">
        <v>339</v>
      </c>
      <c r="I164" s="186">
        <v>100</v>
      </c>
      <c r="J164" s="186" t="s">
        <v>321</v>
      </c>
      <c r="K164" s="186" t="s">
        <v>340</v>
      </c>
      <c r="L164" s="186" t="s">
        <v>811</v>
      </c>
      <c r="M164" s="186" t="s">
        <v>812</v>
      </c>
      <c r="N164" s="186" t="s">
        <v>325</v>
      </c>
      <c r="O164" s="186" t="s">
        <v>815</v>
      </c>
      <c r="P164" s="186" t="s">
        <v>884</v>
      </c>
      <c r="Q164" s="186" t="s">
        <v>339</v>
      </c>
      <c r="R164" s="186" t="b">
        <v>1</v>
      </c>
      <c r="S164" s="186"/>
      <c r="T164" s="186"/>
      <c r="U164" s="186"/>
    </row>
    <row r="165" spans="1:21" x14ac:dyDescent="0.25">
      <c r="A165" s="638" t="s">
        <v>883</v>
      </c>
      <c r="B165" s="636">
        <v>0.98929999999999996</v>
      </c>
      <c r="C165" s="638"/>
      <c r="D165" s="186" t="s">
        <v>319</v>
      </c>
      <c r="E165" s="186" t="s">
        <v>319</v>
      </c>
      <c r="F165" s="186" t="s">
        <v>319</v>
      </c>
      <c r="G165" s="186" t="s">
        <v>614</v>
      </c>
      <c r="H165" s="186" t="s">
        <v>339</v>
      </c>
      <c r="I165" s="186">
        <v>100</v>
      </c>
      <c r="J165" s="186" t="s">
        <v>321</v>
      </c>
      <c r="K165" s="186" t="s">
        <v>340</v>
      </c>
      <c r="L165" s="186" t="s">
        <v>811</v>
      </c>
      <c r="M165" s="186" t="s">
        <v>812</v>
      </c>
      <c r="N165" s="186" t="s">
        <v>325</v>
      </c>
      <c r="O165" s="186" t="s">
        <v>816</v>
      </c>
      <c r="P165" s="186" t="s">
        <v>884</v>
      </c>
      <c r="Q165" s="186" t="s">
        <v>339</v>
      </c>
      <c r="R165" s="186" t="b">
        <v>1</v>
      </c>
      <c r="S165" s="186"/>
      <c r="T165" s="186"/>
      <c r="U165" s="186"/>
    </row>
    <row r="166" spans="1:21" x14ac:dyDescent="0.25">
      <c r="A166" s="638" t="s">
        <v>883</v>
      </c>
      <c r="B166" s="636">
        <v>0.99080000000000001</v>
      </c>
      <c r="C166" s="638"/>
      <c r="D166" s="186" t="s">
        <v>319</v>
      </c>
      <c r="E166" s="186" t="s">
        <v>319</v>
      </c>
      <c r="F166" s="186" t="s">
        <v>319</v>
      </c>
      <c r="G166" s="186" t="s">
        <v>614</v>
      </c>
      <c r="H166" s="186" t="s">
        <v>339</v>
      </c>
      <c r="I166" s="186">
        <v>100</v>
      </c>
      <c r="J166" s="186" t="s">
        <v>321</v>
      </c>
      <c r="K166" s="186" t="s">
        <v>340</v>
      </c>
      <c r="L166" s="186" t="s">
        <v>811</v>
      </c>
      <c r="M166" s="186" t="s">
        <v>812</v>
      </c>
      <c r="N166" s="186" t="s">
        <v>325</v>
      </c>
      <c r="O166" s="186" t="s">
        <v>817</v>
      </c>
      <c r="P166" s="186" t="s">
        <v>884</v>
      </c>
      <c r="Q166" s="186" t="s">
        <v>339</v>
      </c>
      <c r="R166" s="186" t="b">
        <v>1</v>
      </c>
      <c r="S166" s="186"/>
      <c r="T166" s="186"/>
      <c r="U166" s="186"/>
    </row>
    <row r="167" spans="1:21" x14ac:dyDescent="0.25">
      <c r="A167" s="638" t="s">
        <v>883</v>
      </c>
      <c r="B167" s="636">
        <v>0.99329999999999996</v>
      </c>
      <c r="C167" s="638"/>
      <c r="D167" s="186" t="s">
        <v>319</v>
      </c>
      <c r="E167" s="186" t="s">
        <v>319</v>
      </c>
      <c r="F167" s="186" t="s">
        <v>319</v>
      </c>
      <c r="G167" s="186" t="s">
        <v>614</v>
      </c>
      <c r="H167" s="186" t="s">
        <v>339</v>
      </c>
      <c r="I167" s="186">
        <v>100</v>
      </c>
      <c r="J167" s="186" t="s">
        <v>321</v>
      </c>
      <c r="K167" s="186" t="s">
        <v>340</v>
      </c>
      <c r="L167" s="186" t="s">
        <v>811</v>
      </c>
      <c r="M167" s="186" t="s">
        <v>812</v>
      </c>
      <c r="N167" s="186" t="s">
        <v>325</v>
      </c>
      <c r="O167" s="186" t="s">
        <v>818</v>
      </c>
      <c r="P167" s="186" t="s">
        <v>884</v>
      </c>
      <c r="Q167" s="186" t="s">
        <v>339</v>
      </c>
      <c r="R167" s="186" t="b">
        <v>1</v>
      </c>
      <c r="S167" s="186"/>
      <c r="T167" s="186"/>
      <c r="U167" s="186"/>
    </row>
    <row r="168" spans="1:21" x14ac:dyDescent="0.25">
      <c r="A168" s="638" t="s">
        <v>883</v>
      </c>
      <c r="B168" s="636">
        <v>0.99450000000000005</v>
      </c>
      <c r="C168" s="638"/>
      <c r="D168" s="186" t="s">
        <v>319</v>
      </c>
      <c r="E168" s="186" t="s">
        <v>319</v>
      </c>
      <c r="F168" s="186" t="s">
        <v>319</v>
      </c>
      <c r="G168" s="186" t="s">
        <v>614</v>
      </c>
      <c r="H168" s="186" t="s">
        <v>339</v>
      </c>
      <c r="I168" s="186">
        <v>100</v>
      </c>
      <c r="J168" s="186" t="s">
        <v>321</v>
      </c>
      <c r="K168" s="186" t="s">
        <v>340</v>
      </c>
      <c r="L168" s="186" t="s">
        <v>811</v>
      </c>
      <c r="M168" s="186" t="s">
        <v>812</v>
      </c>
      <c r="N168" s="186" t="s">
        <v>325</v>
      </c>
      <c r="O168" s="186" t="s">
        <v>819</v>
      </c>
      <c r="P168" s="186" t="s">
        <v>884</v>
      </c>
      <c r="Q168" s="186" t="s">
        <v>339</v>
      </c>
      <c r="R168" s="186" t="b">
        <v>1</v>
      </c>
      <c r="S168" s="186"/>
      <c r="T168" s="186"/>
      <c r="U168" s="186"/>
    </row>
    <row r="169" spans="1:21" x14ac:dyDescent="0.25">
      <c r="A169" s="638" t="s">
        <v>883</v>
      </c>
      <c r="B169" s="636">
        <v>0.99709999999999999</v>
      </c>
      <c r="C169" s="638"/>
      <c r="D169" s="186" t="s">
        <v>319</v>
      </c>
      <c r="E169" s="186" t="s">
        <v>319</v>
      </c>
      <c r="F169" s="186" t="s">
        <v>319</v>
      </c>
      <c r="G169" s="186" t="s">
        <v>614</v>
      </c>
      <c r="H169" s="186" t="s">
        <v>339</v>
      </c>
      <c r="I169" s="186">
        <v>100</v>
      </c>
      <c r="J169" s="186" t="s">
        <v>321</v>
      </c>
      <c r="K169" s="186" t="s">
        <v>340</v>
      </c>
      <c r="L169" s="186" t="s">
        <v>811</v>
      </c>
      <c r="M169" s="186" t="s">
        <v>812</v>
      </c>
      <c r="N169" s="186" t="s">
        <v>325</v>
      </c>
      <c r="O169" s="186" t="s">
        <v>820</v>
      </c>
      <c r="P169" s="186" t="s">
        <v>884</v>
      </c>
      <c r="Q169" s="186" t="s">
        <v>339</v>
      </c>
      <c r="R169" s="186" t="b">
        <v>1</v>
      </c>
      <c r="S169" s="186"/>
      <c r="T169" s="186"/>
      <c r="U169" s="186"/>
    </row>
    <row r="170" spans="1:21" x14ac:dyDescent="0.25">
      <c r="A170" s="638" t="s">
        <v>883</v>
      </c>
      <c r="B170" s="636">
        <v>0.99829999999999997</v>
      </c>
      <c r="C170" s="638"/>
      <c r="D170" s="186" t="s">
        <v>319</v>
      </c>
      <c r="E170" s="186" t="s">
        <v>319</v>
      </c>
      <c r="F170" s="186" t="s">
        <v>319</v>
      </c>
      <c r="G170" s="186" t="s">
        <v>614</v>
      </c>
      <c r="H170" s="186" t="s">
        <v>339</v>
      </c>
      <c r="I170" s="186">
        <v>100</v>
      </c>
      <c r="J170" s="186" t="s">
        <v>321</v>
      </c>
      <c r="K170" s="186" t="s">
        <v>340</v>
      </c>
      <c r="L170" s="186" t="s">
        <v>811</v>
      </c>
      <c r="M170" s="186" t="s">
        <v>812</v>
      </c>
      <c r="N170" s="186" t="s">
        <v>325</v>
      </c>
      <c r="O170" s="186" t="s">
        <v>821</v>
      </c>
      <c r="P170" s="186" t="s">
        <v>884</v>
      </c>
      <c r="Q170" s="186" t="s">
        <v>339</v>
      </c>
      <c r="R170" s="186" t="b">
        <v>1</v>
      </c>
      <c r="S170" s="186"/>
      <c r="T170" s="186"/>
      <c r="U170" s="186"/>
    </row>
    <row r="171" spans="1:21" x14ac:dyDescent="0.25">
      <c r="A171" s="638" t="s">
        <v>883</v>
      </c>
      <c r="B171" s="636">
        <v>0.93210000000000004</v>
      </c>
      <c r="C171" s="638"/>
      <c r="D171" s="186" t="s">
        <v>319</v>
      </c>
      <c r="E171" s="186" t="s">
        <v>319</v>
      </c>
      <c r="F171" s="186" t="s">
        <v>319</v>
      </c>
      <c r="G171" s="186" t="s">
        <v>614</v>
      </c>
      <c r="H171" s="186" t="s">
        <v>339</v>
      </c>
      <c r="I171" s="186">
        <v>250</v>
      </c>
      <c r="J171" s="186" t="s">
        <v>321</v>
      </c>
      <c r="K171" s="186" t="s">
        <v>340</v>
      </c>
      <c r="L171" s="186" t="s">
        <v>811</v>
      </c>
      <c r="M171" s="186" t="s">
        <v>812</v>
      </c>
      <c r="N171" s="186" t="s">
        <v>325</v>
      </c>
      <c r="O171" s="186" t="s">
        <v>813</v>
      </c>
      <c r="P171" s="186" t="s">
        <v>884</v>
      </c>
      <c r="Q171" s="186" t="s">
        <v>339</v>
      </c>
      <c r="R171" s="186" t="b">
        <v>1</v>
      </c>
      <c r="S171" s="186"/>
      <c r="T171" s="186"/>
      <c r="U171" s="186"/>
    </row>
    <row r="172" spans="1:21" x14ac:dyDescent="0.25">
      <c r="A172" s="638" t="s">
        <v>883</v>
      </c>
      <c r="B172" s="636">
        <v>0.95330000000000004</v>
      </c>
      <c r="C172" s="638"/>
      <c r="D172" s="186" t="s">
        <v>319</v>
      </c>
      <c r="E172" s="186" t="s">
        <v>319</v>
      </c>
      <c r="F172" s="186" t="s">
        <v>319</v>
      </c>
      <c r="G172" s="186" t="s">
        <v>614</v>
      </c>
      <c r="H172" s="186" t="s">
        <v>339</v>
      </c>
      <c r="I172" s="186">
        <v>250</v>
      </c>
      <c r="J172" s="186" t="s">
        <v>321</v>
      </c>
      <c r="K172" s="186" t="s">
        <v>340</v>
      </c>
      <c r="L172" s="186" t="s">
        <v>811</v>
      </c>
      <c r="M172" s="186" t="s">
        <v>812</v>
      </c>
      <c r="N172" s="186" t="s">
        <v>325</v>
      </c>
      <c r="O172" s="186" t="s">
        <v>814</v>
      </c>
      <c r="P172" s="186" t="s">
        <v>884</v>
      </c>
      <c r="Q172" s="186" t="s">
        <v>339</v>
      </c>
      <c r="R172" s="186" t="b">
        <v>1</v>
      </c>
      <c r="S172" s="186"/>
      <c r="T172" s="186"/>
      <c r="U172" s="186"/>
    </row>
    <row r="173" spans="1:21" x14ac:dyDescent="0.25">
      <c r="A173" s="638" t="s">
        <v>883</v>
      </c>
      <c r="B173" s="636">
        <v>0.9657</v>
      </c>
      <c r="C173" s="638"/>
      <c r="D173" s="186" t="s">
        <v>319</v>
      </c>
      <c r="E173" s="186" t="s">
        <v>319</v>
      </c>
      <c r="F173" s="186" t="s">
        <v>319</v>
      </c>
      <c r="G173" s="186" t="s">
        <v>614</v>
      </c>
      <c r="H173" s="186" t="s">
        <v>339</v>
      </c>
      <c r="I173" s="186">
        <v>250</v>
      </c>
      <c r="J173" s="186" t="s">
        <v>321</v>
      </c>
      <c r="K173" s="186" t="s">
        <v>340</v>
      </c>
      <c r="L173" s="186" t="s">
        <v>811</v>
      </c>
      <c r="M173" s="186" t="s">
        <v>812</v>
      </c>
      <c r="N173" s="186" t="s">
        <v>325</v>
      </c>
      <c r="O173" s="186" t="s">
        <v>815</v>
      </c>
      <c r="P173" s="186" t="s">
        <v>884</v>
      </c>
      <c r="Q173" s="186" t="s">
        <v>339</v>
      </c>
      <c r="R173" s="186" t="b">
        <v>1</v>
      </c>
      <c r="S173" s="186"/>
      <c r="T173" s="186"/>
      <c r="U173" s="186"/>
    </row>
    <row r="174" spans="1:21" x14ac:dyDescent="0.25">
      <c r="A174" s="638" t="s">
        <v>883</v>
      </c>
      <c r="B174" s="636">
        <v>0.97350000000000003</v>
      </c>
      <c r="C174" s="638"/>
      <c r="D174" s="186" t="s">
        <v>319</v>
      </c>
      <c r="E174" s="186" t="s">
        <v>319</v>
      </c>
      <c r="F174" s="186" t="s">
        <v>319</v>
      </c>
      <c r="G174" s="186" t="s">
        <v>614</v>
      </c>
      <c r="H174" s="186" t="s">
        <v>339</v>
      </c>
      <c r="I174" s="186">
        <v>250</v>
      </c>
      <c r="J174" s="186" t="s">
        <v>321</v>
      </c>
      <c r="K174" s="186" t="s">
        <v>340</v>
      </c>
      <c r="L174" s="186" t="s">
        <v>811</v>
      </c>
      <c r="M174" s="186" t="s">
        <v>812</v>
      </c>
      <c r="N174" s="186" t="s">
        <v>325</v>
      </c>
      <c r="O174" s="186" t="s">
        <v>816</v>
      </c>
      <c r="P174" s="186" t="s">
        <v>884</v>
      </c>
      <c r="Q174" s="186" t="s">
        <v>339</v>
      </c>
      <c r="R174" s="186" t="b">
        <v>1</v>
      </c>
      <c r="S174" s="186"/>
      <c r="T174" s="186"/>
      <c r="U174" s="186"/>
    </row>
    <row r="175" spans="1:21" x14ac:dyDescent="0.25">
      <c r="A175" s="638" t="s">
        <v>883</v>
      </c>
      <c r="B175" s="636">
        <v>0.97729999999999995</v>
      </c>
      <c r="C175" s="638"/>
      <c r="D175" s="186" t="s">
        <v>319</v>
      </c>
      <c r="E175" s="186" t="s">
        <v>319</v>
      </c>
      <c r="F175" s="186" t="s">
        <v>319</v>
      </c>
      <c r="G175" s="186" t="s">
        <v>614</v>
      </c>
      <c r="H175" s="186" t="s">
        <v>339</v>
      </c>
      <c r="I175" s="186">
        <v>250</v>
      </c>
      <c r="J175" s="186" t="s">
        <v>321</v>
      </c>
      <c r="K175" s="186" t="s">
        <v>340</v>
      </c>
      <c r="L175" s="186" t="s">
        <v>811</v>
      </c>
      <c r="M175" s="186" t="s">
        <v>812</v>
      </c>
      <c r="N175" s="186" t="s">
        <v>325</v>
      </c>
      <c r="O175" s="186" t="s">
        <v>817</v>
      </c>
      <c r="P175" s="186" t="s">
        <v>884</v>
      </c>
      <c r="Q175" s="186" t="s">
        <v>339</v>
      </c>
      <c r="R175" s="186" t="b">
        <v>1</v>
      </c>
      <c r="S175" s="186"/>
      <c r="T175" s="186"/>
      <c r="U175" s="186"/>
    </row>
    <row r="176" spans="1:21" x14ac:dyDescent="0.25">
      <c r="A176" s="638" t="s">
        <v>883</v>
      </c>
      <c r="B176" s="636">
        <v>0.98329999999999995</v>
      </c>
      <c r="C176" s="638"/>
      <c r="D176" s="186" t="s">
        <v>319</v>
      </c>
      <c r="E176" s="186" t="s">
        <v>319</v>
      </c>
      <c r="F176" s="186" t="s">
        <v>319</v>
      </c>
      <c r="G176" s="186" t="s">
        <v>614</v>
      </c>
      <c r="H176" s="186" t="s">
        <v>339</v>
      </c>
      <c r="I176" s="186">
        <v>250</v>
      </c>
      <c r="J176" s="186" t="s">
        <v>321</v>
      </c>
      <c r="K176" s="186" t="s">
        <v>340</v>
      </c>
      <c r="L176" s="186" t="s">
        <v>811</v>
      </c>
      <c r="M176" s="186" t="s">
        <v>812</v>
      </c>
      <c r="N176" s="186" t="s">
        <v>325</v>
      </c>
      <c r="O176" s="186" t="s">
        <v>818</v>
      </c>
      <c r="P176" s="186" t="s">
        <v>884</v>
      </c>
      <c r="Q176" s="186" t="s">
        <v>339</v>
      </c>
      <c r="R176" s="186" t="b">
        <v>1</v>
      </c>
      <c r="S176" s="186"/>
      <c r="T176" s="186"/>
      <c r="U176" s="186"/>
    </row>
    <row r="177" spans="1:21" x14ac:dyDescent="0.25">
      <c r="A177" s="638" t="s">
        <v>883</v>
      </c>
      <c r="B177" s="636">
        <v>0.98640000000000005</v>
      </c>
      <c r="C177" s="638"/>
      <c r="D177" s="186" t="s">
        <v>319</v>
      </c>
      <c r="E177" s="186" t="s">
        <v>319</v>
      </c>
      <c r="F177" s="186" t="s">
        <v>319</v>
      </c>
      <c r="G177" s="186" t="s">
        <v>614</v>
      </c>
      <c r="H177" s="186" t="s">
        <v>339</v>
      </c>
      <c r="I177" s="186">
        <v>250</v>
      </c>
      <c r="J177" s="186" t="s">
        <v>321</v>
      </c>
      <c r="K177" s="186" t="s">
        <v>340</v>
      </c>
      <c r="L177" s="186" t="s">
        <v>811</v>
      </c>
      <c r="M177" s="186" t="s">
        <v>812</v>
      </c>
      <c r="N177" s="186" t="s">
        <v>325</v>
      </c>
      <c r="O177" s="186" t="s">
        <v>819</v>
      </c>
      <c r="P177" s="186" t="s">
        <v>884</v>
      </c>
      <c r="Q177" s="186" t="s">
        <v>339</v>
      </c>
      <c r="R177" s="186" t="b">
        <v>1</v>
      </c>
      <c r="S177" s="186"/>
      <c r="T177" s="186"/>
      <c r="U177" s="186"/>
    </row>
    <row r="178" spans="1:21" x14ac:dyDescent="0.25">
      <c r="A178" s="638" t="s">
        <v>883</v>
      </c>
      <c r="B178" s="636">
        <v>0.9929</v>
      </c>
      <c r="C178" s="638"/>
      <c r="D178" s="186" t="s">
        <v>319</v>
      </c>
      <c r="E178" s="186" t="s">
        <v>319</v>
      </c>
      <c r="F178" s="186" t="s">
        <v>319</v>
      </c>
      <c r="G178" s="186" t="s">
        <v>614</v>
      </c>
      <c r="H178" s="186" t="s">
        <v>339</v>
      </c>
      <c r="I178" s="186">
        <v>250</v>
      </c>
      <c r="J178" s="186" t="s">
        <v>321</v>
      </c>
      <c r="K178" s="186" t="s">
        <v>340</v>
      </c>
      <c r="L178" s="186" t="s">
        <v>811</v>
      </c>
      <c r="M178" s="186" t="s">
        <v>812</v>
      </c>
      <c r="N178" s="186" t="s">
        <v>325</v>
      </c>
      <c r="O178" s="186" t="s">
        <v>820</v>
      </c>
      <c r="P178" s="186" t="s">
        <v>884</v>
      </c>
      <c r="Q178" s="186" t="s">
        <v>339</v>
      </c>
      <c r="R178" s="186" t="b">
        <v>1</v>
      </c>
      <c r="S178" s="186"/>
      <c r="T178" s="186"/>
      <c r="U178" s="186"/>
    </row>
    <row r="179" spans="1:21" x14ac:dyDescent="0.25">
      <c r="A179" s="638" t="s">
        <v>883</v>
      </c>
      <c r="B179" s="636">
        <v>0.996</v>
      </c>
      <c r="C179" s="638"/>
      <c r="D179" s="186" t="s">
        <v>319</v>
      </c>
      <c r="E179" s="186" t="s">
        <v>319</v>
      </c>
      <c r="F179" s="186" t="s">
        <v>319</v>
      </c>
      <c r="G179" s="186" t="s">
        <v>614</v>
      </c>
      <c r="H179" s="186" t="s">
        <v>339</v>
      </c>
      <c r="I179" s="186">
        <v>250</v>
      </c>
      <c r="J179" s="186" t="s">
        <v>321</v>
      </c>
      <c r="K179" s="186" t="s">
        <v>340</v>
      </c>
      <c r="L179" s="186" t="s">
        <v>811</v>
      </c>
      <c r="M179" s="186" t="s">
        <v>812</v>
      </c>
      <c r="N179" s="186" t="s">
        <v>325</v>
      </c>
      <c r="O179" s="186" t="s">
        <v>821</v>
      </c>
      <c r="P179" s="186" t="s">
        <v>884</v>
      </c>
      <c r="Q179" s="186" t="s">
        <v>339</v>
      </c>
      <c r="R179" s="186" t="b">
        <v>1</v>
      </c>
      <c r="S179" s="186"/>
      <c r="T179" s="186"/>
      <c r="U179" s="186"/>
    </row>
    <row r="180" spans="1:21" x14ac:dyDescent="0.25">
      <c r="A180" s="638" t="s">
        <v>883</v>
      </c>
      <c r="B180" s="637">
        <v>0.86699999999999999</v>
      </c>
      <c r="C180" s="638"/>
      <c r="D180" s="186" t="s">
        <v>319</v>
      </c>
      <c r="E180" s="186" t="s">
        <v>319</v>
      </c>
      <c r="F180" s="186" t="s">
        <v>319</v>
      </c>
      <c r="G180" s="186" t="s">
        <v>614</v>
      </c>
      <c r="H180" s="186" t="s">
        <v>339</v>
      </c>
      <c r="I180" s="186">
        <v>500</v>
      </c>
      <c r="J180" s="186" t="s">
        <v>321</v>
      </c>
      <c r="K180" s="186" t="s">
        <v>340</v>
      </c>
      <c r="L180" s="186" t="s">
        <v>811</v>
      </c>
      <c r="M180" s="186" t="s">
        <v>812</v>
      </c>
      <c r="N180" s="186" t="s">
        <v>325</v>
      </c>
      <c r="O180" s="186" t="s">
        <v>813</v>
      </c>
      <c r="P180" s="186" t="s">
        <v>884</v>
      </c>
      <c r="Q180" s="186" t="s">
        <v>339</v>
      </c>
      <c r="R180" s="186" t="b">
        <v>1</v>
      </c>
      <c r="S180" s="186"/>
      <c r="T180" s="186"/>
      <c r="U180" s="186"/>
    </row>
    <row r="181" spans="1:21" x14ac:dyDescent="0.25">
      <c r="A181" s="638" t="s">
        <v>883</v>
      </c>
      <c r="B181" s="637">
        <v>0.90859999999999996</v>
      </c>
      <c r="C181" s="638"/>
      <c r="D181" s="186" t="s">
        <v>319</v>
      </c>
      <c r="E181" s="186" t="s">
        <v>319</v>
      </c>
      <c r="F181" s="186" t="s">
        <v>319</v>
      </c>
      <c r="G181" s="186" t="s">
        <v>614</v>
      </c>
      <c r="H181" s="186" t="s">
        <v>339</v>
      </c>
      <c r="I181" s="186">
        <v>500</v>
      </c>
      <c r="J181" s="186" t="s">
        <v>321</v>
      </c>
      <c r="K181" s="186" t="s">
        <v>340</v>
      </c>
      <c r="L181" s="186" t="s">
        <v>811</v>
      </c>
      <c r="M181" s="186" t="s">
        <v>812</v>
      </c>
      <c r="N181" s="186" t="s">
        <v>325</v>
      </c>
      <c r="O181" s="186" t="s">
        <v>814</v>
      </c>
      <c r="P181" s="186" t="s">
        <v>884</v>
      </c>
      <c r="Q181" s="186" t="s">
        <v>339</v>
      </c>
      <c r="R181" s="186" t="b">
        <v>1</v>
      </c>
      <c r="S181" s="186"/>
      <c r="T181" s="186"/>
      <c r="U181" s="186"/>
    </row>
    <row r="182" spans="1:21" x14ac:dyDescent="0.25">
      <c r="A182" s="638" t="s">
        <v>883</v>
      </c>
      <c r="B182" s="637">
        <v>0.9325</v>
      </c>
      <c r="C182" s="638"/>
      <c r="D182" s="186" t="s">
        <v>319</v>
      </c>
      <c r="E182" s="186" t="s">
        <v>319</v>
      </c>
      <c r="F182" s="186" t="s">
        <v>319</v>
      </c>
      <c r="G182" s="186" t="s">
        <v>614</v>
      </c>
      <c r="H182" s="186" t="s">
        <v>339</v>
      </c>
      <c r="I182" s="186">
        <v>500</v>
      </c>
      <c r="J182" s="186" t="s">
        <v>321</v>
      </c>
      <c r="K182" s="186" t="s">
        <v>340</v>
      </c>
      <c r="L182" s="186" t="s">
        <v>811</v>
      </c>
      <c r="M182" s="186" t="s">
        <v>812</v>
      </c>
      <c r="N182" s="186" t="s">
        <v>325</v>
      </c>
      <c r="O182" s="186" t="s">
        <v>815</v>
      </c>
      <c r="P182" s="186" t="s">
        <v>884</v>
      </c>
      <c r="Q182" s="186" t="s">
        <v>339</v>
      </c>
      <c r="R182" s="186" t="b">
        <v>1</v>
      </c>
      <c r="S182" s="186"/>
      <c r="T182" s="186"/>
      <c r="U182" s="186"/>
    </row>
    <row r="183" spans="1:21" x14ac:dyDescent="0.25">
      <c r="A183" s="638" t="s">
        <v>883</v>
      </c>
      <c r="B183" s="637">
        <v>0.94750000000000001</v>
      </c>
      <c r="C183" s="638"/>
      <c r="D183" s="186" t="s">
        <v>319</v>
      </c>
      <c r="E183" s="186" t="s">
        <v>319</v>
      </c>
      <c r="F183" s="186" t="s">
        <v>319</v>
      </c>
      <c r="G183" s="186" t="s">
        <v>614</v>
      </c>
      <c r="H183" s="186" t="s">
        <v>339</v>
      </c>
      <c r="I183" s="186">
        <v>500</v>
      </c>
      <c r="J183" s="186" t="s">
        <v>321</v>
      </c>
      <c r="K183" s="186" t="s">
        <v>340</v>
      </c>
      <c r="L183" s="186" t="s">
        <v>811</v>
      </c>
      <c r="M183" s="186" t="s">
        <v>812</v>
      </c>
      <c r="N183" s="186" t="s">
        <v>325</v>
      </c>
      <c r="O183" s="186" t="s">
        <v>816</v>
      </c>
      <c r="P183" s="186" t="s">
        <v>884</v>
      </c>
      <c r="Q183" s="186" t="s">
        <v>339</v>
      </c>
      <c r="R183" s="186" t="b">
        <v>1</v>
      </c>
      <c r="S183" s="186"/>
      <c r="T183" s="186"/>
      <c r="U183" s="186"/>
    </row>
    <row r="184" spans="1:21" x14ac:dyDescent="0.25">
      <c r="A184" s="638" t="s">
        <v>883</v>
      </c>
      <c r="B184" s="637">
        <v>0.95489999999999997</v>
      </c>
      <c r="C184" s="638"/>
      <c r="D184" s="186" t="s">
        <v>319</v>
      </c>
      <c r="E184" s="186" t="s">
        <v>319</v>
      </c>
      <c r="F184" s="186" t="s">
        <v>319</v>
      </c>
      <c r="G184" s="186" t="s">
        <v>614</v>
      </c>
      <c r="H184" s="186" t="s">
        <v>339</v>
      </c>
      <c r="I184" s="186">
        <v>500</v>
      </c>
      <c r="J184" s="186" t="s">
        <v>321</v>
      </c>
      <c r="K184" s="186" t="s">
        <v>340</v>
      </c>
      <c r="L184" s="186" t="s">
        <v>811</v>
      </c>
      <c r="M184" s="186" t="s">
        <v>812</v>
      </c>
      <c r="N184" s="186" t="s">
        <v>325</v>
      </c>
      <c r="O184" s="186" t="s">
        <v>817</v>
      </c>
      <c r="P184" s="186" t="s">
        <v>884</v>
      </c>
      <c r="Q184" s="186" t="s">
        <v>339</v>
      </c>
      <c r="R184" s="186" t="b">
        <v>1</v>
      </c>
      <c r="S184" s="186"/>
      <c r="T184" s="186"/>
      <c r="U184" s="186"/>
    </row>
    <row r="185" spans="1:21" x14ac:dyDescent="0.25">
      <c r="A185" s="638" t="s">
        <v>883</v>
      </c>
      <c r="B185" s="637">
        <v>0.96740000000000004</v>
      </c>
      <c r="C185" s="638"/>
      <c r="D185" s="186" t="s">
        <v>319</v>
      </c>
      <c r="E185" s="186" t="s">
        <v>319</v>
      </c>
      <c r="F185" s="186" t="s">
        <v>319</v>
      </c>
      <c r="G185" s="186" t="s">
        <v>614</v>
      </c>
      <c r="H185" s="186" t="s">
        <v>339</v>
      </c>
      <c r="I185" s="186">
        <v>500</v>
      </c>
      <c r="J185" s="186" t="s">
        <v>321</v>
      </c>
      <c r="K185" s="186" t="s">
        <v>340</v>
      </c>
      <c r="L185" s="186" t="s">
        <v>811</v>
      </c>
      <c r="M185" s="186" t="s">
        <v>812</v>
      </c>
      <c r="N185" s="186" t="s">
        <v>325</v>
      </c>
      <c r="O185" s="186" t="s">
        <v>818</v>
      </c>
      <c r="P185" s="186" t="s">
        <v>884</v>
      </c>
      <c r="Q185" s="186" t="s">
        <v>339</v>
      </c>
      <c r="R185" s="186" t="b">
        <v>1</v>
      </c>
      <c r="S185" s="186"/>
      <c r="T185" s="186"/>
      <c r="U185" s="186"/>
    </row>
    <row r="186" spans="1:21" x14ac:dyDescent="0.25">
      <c r="A186" s="638" t="s">
        <v>883</v>
      </c>
      <c r="B186" s="637">
        <v>0.9728</v>
      </c>
      <c r="C186" s="638"/>
      <c r="D186" s="186" t="s">
        <v>319</v>
      </c>
      <c r="E186" s="186" t="s">
        <v>319</v>
      </c>
      <c r="F186" s="186" t="s">
        <v>319</v>
      </c>
      <c r="G186" s="186" t="s">
        <v>614</v>
      </c>
      <c r="H186" s="186" t="s">
        <v>339</v>
      </c>
      <c r="I186" s="186">
        <v>500</v>
      </c>
      <c r="J186" s="186" t="s">
        <v>321</v>
      </c>
      <c r="K186" s="186" t="s">
        <v>340</v>
      </c>
      <c r="L186" s="186" t="s">
        <v>811</v>
      </c>
      <c r="M186" s="186" t="s">
        <v>812</v>
      </c>
      <c r="N186" s="186" t="s">
        <v>325</v>
      </c>
      <c r="O186" s="186" t="s">
        <v>819</v>
      </c>
      <c r="P186" s="186" t="s">
        <v>884</v>
      </c>
      <c r="Q186" s="186" t="s">
        <v>339</v>
      </c>
      <c r="R186" s="186" t="b">
        <v>1</v>
      </c>
      <c r="S186" s="186"/>
      <c r="T186" s="186"/>
      <c r="U186" s="186"/>
    </row>
    <row r="187" spans="1:21" x14ac:dyDescent="0.25">
      <c r="A187" s="638" t="s">
        <v>883</v>
      </c>
      <c r="B187" s="637">
        <v>0.98599999999999999</v>
      </c>
      <c r="C187" s="638"/>
      <c r="D187" s="186" t="s">
        <v>319</v>
      </c>
      <c r="E187" s="186" t="s">
        <v>319</v>
      </c>
      <c r="F187" s="186" t="s">
        <v>319</v>
      </c>
      <c r="G187" s="186" t="s">
        <v>614</v>
      </c>
      <c r="H187" s="186" t="s">
        <v>339</v>
      </c>
      <c r="I187" s="186">
        <v>500</v>
      </c>
      <c r="J187" s="186" t="s">
        <v>321</v>
      </c>
      <c r="K187" s="186" t="s">
        <v>340</v>
      </c>
      <c r="L187" s="186" t="s">
        <v>811</v>
      </c>
      <c r="M187" s="186" t="s">
        <v>812</v>
      </c>
      <c r="N187" s="186" t="s">
        <v>325</v>
      </c>
      <c r="O187" s="186" t="s">
        <v>820</v>
      </c>
      <c r="P187" s="186" t="s">
        <v>884</v>
      </c>
      <c r="Q187" s="186" t="s">
        <v>339</v>
      </c>
      <c r="R187" s="186" t="b">
        <v>1</v>
      </c>
      <c r="S187" s="186"/>
      <c r="T187" s="186"/>
      <c r="U187" s="186"/>
    </row>
    <row r="188" spans="1:21" x14ac:dyDescent="0.25">
      <c r="A188" s="638" t="s">
        <v>883</v>
      </c>
      <c r="B188" s="637">
        <v>0.99229999999999996</v>
      </c>
      <c r="C188" s="638"/>
      <c r="D188" s="186" t="s">
        <v>319</v>
      </c>
      <c r="E188" s="186" t="s">
        <v>319</v>
      </c>
      <c r="F188" s="186" t="s">
        <v>319</v>
      </c>
      <c r="G188" s="186" t="s">
        <v>614</v>
      </c>
      <c r="H188" s="186" t="s">
        <v>339</v>
      </c>
      <c r="I188" s="186">
        <v>500</v>
      </c>
      <c r="J188" s="186" t="s">
        <v>321</v>
      </c>
      <c r="K188" s="186" t="s">
        <v>340</v>
      </c>
      <c r="L188" s="186" t="s">
        <v>811</v>
      </c>
      <c r="M188" s="186" t="s">
        <v>812</v>
      </c>
      <c r="N188" s="186" t="s">
        <v>325</v>
      </c>
      <c r="O188" s="186" t="s">
        <v>821</v>
      </c>
      <c r="P188" s="186" t="s">
        <v>884</v>
      </c>
      <c r="Q188" s="186" t="s">
        <v>339</v>
      </c>
      <c r="R188" s="186" t="b">
        <v>1</v>
      </c>
      <c r="S188" s="186"/>
      <c r="T188" s="186"/>
      <c r="U188" s="186"/>
    </row>
    <row r="189" spans="1:21" x14ac:dyDescent="0.25">
      <c r="A189" s="638" t="s">
        <v>883</v>
      </c>
      <c r="B189" s="637">
        <v>0.75780000000000003</v>
      </c>
      <c r="C189" s="638"/>
      <c r="D189" s="186" t="s">
        <v>319</v>
      </c>
      <c r="E189" s="186" t="s">
        <v>319</v>
      </c>
      <c r="F189" s="186" t="s">
        <v>319</v>
      </c>
      <c r="G189" s="186" t="s">
        <v>614</v>
      </c>
      <c r="H189" s="186" t="s">
        <v>339</v>
      </c>
      <c r="I189" s="186">
        <v>1000</v>
      </c>
      <c r="J189" s="186" t="s">
        <v>321</v>
      </c>
      <c r="K189" s="186" t="s">
        <v>340</v>
      </c>
      <c r="L189" s="186" t="s">
        <v>811</v>
      </c>
      <c r="M189" s="186" t="s">
        <v>812</v>
      </c>
      <c r="N189" s="186" t="s">
        <v>325</v>
      </c>
      <c r="O189" s="186" t="s">
        <v>813</v>
      </c>
      <c r="P189" s="186" t="s">
        <v>884</v>
      </c>
      <c r="Q189" s="186" t="s">
        <v>339</v>
      </c>
      <c r="R189" s="186" t="b">
        <v>1</v>
      </c>
      <c r="S189" s="186"/>
      <c r="T189" s="186"/>
      <c r="U189" s="186"/>
    </row>
    <row r="190" spans="1:21" x14ac:dyDescent="0.25">
      <c r="A190" s="638" t="s">
        <v>883</v>
      </c>
      <c r="B190" s="637">
        <v>0.82730000000000004</v>
      </c>
      <c r="C190" s="638"/>
      <c r="D190" s="186" t="s">
        <v>319</v>
      </c>
      <c r="E190" s="186" t="s">
        <v>319</v>
      </c>
      <c r="F190" s="186" t="s">
        <v>319</v>
      </c>
      <c r="G190" s="186" t="s">
        <v>614</v>
      </c>
      <c r="H190" s="186" t="s">
        <v>339</v>
      </c>
      <c r="I190" s="186">
        <v>1000</v>
      </c>
      <c r="J190" s="186" t="s">
        <v>321</v>
      </c>
      <c r="K190" s="186" t="s">
        <v>340</v>
      </c>
      <c r="L190" s="186" t="s">
        <v>811</v>
      </c>
      <c r="M190" s="186" t="s">
        <v>812</v>
      </c>
      <c r="N190" s="186" t="s">
        <v>325</v>
      </c>
      <c r="O190" s="186" t="s">
        <v>814</v>
      </c>
      <c r="P190" s="186" t="s">
        <v>884</v>
      </c>
      <c r="Q190" s="186" t="s">
        <v>339</v>
      </c>
      <c r="R190" s="186" t="b">
        <v>1</v>
      </c>
      <c r="S190" s="186"/>
      <c r="T190" s="186"/>
      <c r="U190" s="186"/>
    </row>
    <row r="191" spans="1:21" x14ac:dyDescent="0.25">
      <c r="A191" s="638" t="s">
        <v>883</v>
      </c>
      <c r="B191" s="637">
        <v>0.87329999999999997</v>
      </c>
      <c r="C191" s="638"/>
      <c r="D191" s="186" t="s">
        <v>319</v>
      </c>
      <c r="E191" s="186" t="s">
        <v>319</v>
      </c>
      <c r="F191" s="186" t="s">
        <v>319</v>
      </c>
      <c r="G191" s="186" t="s">
        <v>614</v>
      </c>
      <c r="H191" s="186" t="s">
        <v>339</v>
      </c>
      <c r="I191" s="186">
        <v>1000</v>
      </c>
      <c r="J191" s="186" t="s">
        <v>321</v>
      </c>
      <c r="K191" s="186" t="s">
        <v>340</v>
      </c>
      <c r="L191" s="186" t="s">
        <v>811</v>
      </c>
      <c r="M191" s="186" t="s">
        <v>812</v>
      </c>
      <c r="N191" s="186" t="s">
        <v>325</v>
      </c>
      <c r="O191" s="186" t="s">
        <v>815</v>
      </c>
      <c r="P191" s="186" t="s">
        <v>884</v>
      </c>
      <c r="Q191" s="186" t="s">
        <v>339</v>
      </c>
      <c r="R191" s="186" t="b">
        <v>1</v>
      </c>
      <c r="S191" s="186"/>
      <c r="T191" s="186"/>
      <c r="U191" s="186"/>
    </row>
    <row r="192" spans="1:21" x14ac:dyDescent="0.25">
      <c r="A192" s="638" t="s">
        <v>883</v>
      </c>
      <c r="B192" s="637">
        <v>0.90029999999999999</v>
      </c>
      <c r="C192" s="638"/>
      <c r="D192" s="186" t="s">
        <v>319</v>
      </c>
      <c r="E192" s="186" t="s">
        <v>319</v>
      </c>
      <c r="F192" s="186" t="s">
        <v>319</v>
      </c>
      <c r="G192" s="186" t="s">
        <v>614</v>
      </c>
      <c r="H192" s="186" t="s">
        <v>339</v>
      </c>
      <c r="I192" s="186">
        <v>1000</v>
      </c>
      <c r="J192" s="186" t="s">
        <v>321</v>
      </c>
      <c r="K192" s="186" t="s">
        <v>340</v>
      </c>
      <c r="L192" s="186" t="s">
        <v>811</v>
      </c>
      <c r="M192" s="186" t="s">
        <v>812</v>
      </c>
      <c r="N192" s="186" t="s">
        <v>325</v>
      </c>
      <c r="O192" s="186" t="s">
        <v>816</v>
      </c>
      <c r="P192" s="186" t="s">
        <v>884</v>
      </c>
      <c r="Q192" s="186" t="s">
        <v>339</v>
      </c>
      <c r="R192" s="186" t="b">
        <v>1</v>
      </c>
      <c r="S192" s="186"/>
      <c r="T192" s="186"/>
      <c r="U192" s="186"/>
    </row>
    <row r="193" spans="1:21" x14ac:dyDescent="0.25">
      <c r="A193" s="638" t="s">
        <v>883</v>
      </c>
      <c r="B193" s="637">
        <v>0.91420000000000001</v>
      </c>
      <c r="C193" s="638"/>
      <c r="D193" s="186" t="s">
        <v>319</v>
      </c>
      <c r="E193" s="186" t="s">
        <v>319</v>
      </c>
      <c r="F193" s="186" t="s">
        <v>319</v>
      </c>
      <c r="G193" s="186" t="s">
        <v>614</v>
      </c>
      <c r="H193" s="186" t="s">
        <v>339</v>
      </c>
      <c r="I193" s="186">
        <v>1000</v>
      </c>
      <c r="J193" s="186" t="s">
        <v>321</v>
      </c>
      <c r="K193" s="186" t="s">
        <v>340</v>
      </c>
      <c r="L193" s="186" t="s">
        <v>811</v>
      </c>
      <c r="M193" s="186" t="s">
        <v>812</v>
      </c>
      <c r="N193" s="186" t="s">
        <v>325</v>
      </c>
      <c r="O193" s="186" t="s">
        <v>817</v>
      </c>
      <c r="P193" s="186" t="s">
        <v>884</v>
      </c>
      <c r="Q193" s="186" t="s">
        <v>339</v>
      </c>
      <c r="R193" s="186" t="b">
        <v>1</v>
      </c>
      <c r="S193" s="186"/>
      <c r="T193" s="186"/>
      <c r="U193" s="186"/>
    </row>
    <row r="194" spans="1:21" x14ac:dyDescent="0.25">
      <c r="A194" s="638" t="s">
        <v>883</v>
      </c>
      <c r="B194" s="637">
        <v>0.93799999999999994</v>
      </c>
      <c r="C194" s="638"/>
      <c r="D194" s="186" t="s">
        <v>319</v>
      </c>
      <c r="E194" s="186" t="s">
        <v>319</v>
      </c>
      <c r="F194" s="186" t="s">
        <v>319</v>
      </c>
      <c r="G194" s="186" t="s">
        <v>614</v>
      </c>
      <c r="H194" s="186" t="s">
        <v>339</v>
      </c>
      <c r="I194" s="186">
        <v>1000</v>
      </c>
      <c r="J194" s="186" t="s">
        <v>321</v>
      </c>
      <c r="K194" s="186" t="s">
        <v>340</v>
      </c>
      <c r="L194" s="186" t="s">
        <v>811</v>
      </c>
      <c r="M194" s="186" t="s">
        <v>812</v>
      </c>
      <c r="N194" s="186" t="s">
        <v>325</v>
      </c>
      <c r="O194" s="186" t="s">
        <v>818</v>
      </c>
      <c r="P194" s="186" t="s">
        <v>884</v>
      </c>
      <c r="Q194" s="186" t="s">
        <v>339</v>
      </c>
      <c r="R194" s="186" t="b">
        <v>1</v>
      </c>
      <c r="S194" s="186"/>
      <c r="T194" s="186"/>
      <c r="U194" s="186"/>
    </row>
    <row r="195" spans="1:21" x14ac:dyDescent="0.25">
      <c r="A195" s="638" t="s">
        <v>883</v>
      </c>
      <c r="B195" s="637">
        <v>0.94630000000000003</v>
      </c>
      <c r="C195" s="638"/>
      <c r="D195" s="186" t="s">
        <v>319</v>
      </c>
      <c r="E195" s="186" t="s">
        <v>319</v>
      </c>
      <c r="F195" s="186" t="s">
        <v>319</v>
      </c>
      <c r="G195" s="186" t="s">
        <v>614</v>
      </c>
      <c r="H195" s="186" t="s">
        <v>339</v>
      </c>
      <c r="I195" s="186">
        <v>1000</v>
      </c>
      <c r="J195" s="186" t="s">
        <v>321</v>
      </c>
      <c r="K195" s="186" t="s">
        <v>340</v>
      </c>
      <c r="L195" s="186" t="s">
        <v>811</v>
      </c>
      <c r="M195" s="186" t="s">
        <v>812</v>
      </c>
      <c r="N195" s="186" t="s">
        <v>325</v>
      </c>
      <c r="O195" s="186" t="s">
        <v>819</v>
      </c>
      <c r="P195" s="186" t="s">
        <v>884</v>
      </c>
      <c r="Q195" s="186" t="s">
        <v>339</v>
      </c>
      <c r="R195" s="186" t="b">
        <v>1</v>
      </c>
      <c r="S195" s="186"/>
      <c r="T195" s="186"/>
      <c r="U195" s="186"/>
    </row>
    <row r="196" spans="1:21" x14ac:dyDescent="0.25">
      <c r="A196" s="638" t="s">
        <v>883</v>
      </c>
      <c r="B196" s="637">
        <v>0.97240000000000004</v>
      </c>
      <c r="C196" s="638"/>
      <c r="D196" s="186" t="s">
        <v>319</v>
      </c>
      <c r="E196" s="186" t="s">
        <v>319</v>
      </c>
      <c r="F196" s="186" t="s">
        <v>319</v>
      </c>
      <c r="G196" s="186" t="s">
        <v>614</v>
      </c>
      <c r="H196" s="186" t="s">
        <v>339</v>
      </c>
      <c r="I196" s="186">
        <v>1000</v>
      </c>
      <c r="J196" s="186" t="s">
        <v>321</v>
      </c>
      <c r="K196" s="186" t="s">
        <v>340</v>
      </c>
      <c r="L196" s="186" t="s">
        <v>811</v>
      </c>
      <c r="M196" s="186" t="s">
        <v>812</v>
      </c>
      <c r="N196" s="186" t="s">
        <v>325</v>
      </c>
      <c r="O196" s="186" t="s">
        <v>820</v>
      </c>
      <c r="P196" s="186" t="s">
        <v>884</v>
      </c>
      <c r="Q196" s="186" t="s">
        <v>339</v>
      </c>
      <c r="R196" s="186" t="b">
        <v>1</v>
      </c>
      <c r="S196" s="186"/>
      <c r="T196" s="186"/>
      <c r="U196" s="186"/>
    </row>
    <row r="197" spans="1:21" x14ac:dyDescent="0.25">
      <c r="A197" s="638" t="s">
        <v>883</v>
      </c>
      <c r="B197" s="637">
        <v>0.98470000000000002</v>
      </c>
      <c r="C197" s="638"/>
      <c r="D197" s="186" t="s">
        <v>319</v>
      </c>
      <c r="E197" s="186" t="s">
        <v>319</v>
      </c>
      <c r="F197" s="186" t="s">
        <v>319</v>
      </c>
      <c r="G197" s="186" t="s">
        <v>614</v>
      </c>
      <c r="H197" s="186" t="s">
        <v>339</v>
      </c>
      <c r="I197" s="186">
        <v>1000</v>
      </c>
      <c r="J197" s="186" t="s">
        <v>321</v>
      </c>
      <c r="K197" s="186" t="s">
        <v>340</v>
      </c>
      <c r="L197" s="186" t="s">
        <v>811</v>
      </c>
      <c r="M197" s="186" t="s">
        <v>812</v>
      </c>
      <c r="N197" s="186" t="s">
        <v>325</v>
      </c>
      <c r="O197" s="186" t="s">
        <v>821</v>
      </c>
      <c r="P197" s="186" t="s">
        <v>884</v>
      </c>
      <c r="Q197" s="186" t="s">
        <v>339</v>
      </c>
      <c r="R197" s="186" t="b">
        <v>1</v>
      </c>
      <c r="S197" s="186"/>
      <c r="T197" s="186"/>
      <c r="U197" s="186"/>
    </row>
    <row r="198" spans="1:21" x14ac:dyDescent="0.25">
      <c r="A198" s="638" t="s">
        <v>883</v>
      </c>
      <c r="B198" s="637">
        <v>0.72209999999999996</v>
      </c>
      <c r="C198" s="638"/>
      <c r="D198" s="186" t="s">
        <v>319</v>
      </c>
      <c r="E198" s="186" t="s">
        <v>319</v>
      </c>
      <c r="F198" s="186" t="s">
        <v>319</v>
      </c>
      <c r="G198" s="186" t="s">
        <v>614</v>
      </c>
      <c r="H198" s="186" t="s">
        <v>339</v>
      </c>
      <c r="I198" s="186">
        <v>1500</v>
      </c>
      <c r="J198" s="186" t="s">
        <v>321</v>
      </c>
      <c r="K198" s="186" t="s">
        <v>340</v>
      </c>
      <c r="L198" s="186" t="s">
        <v>811</v>
      </c>
      <c r="M198" s="186" t="s">
        <v>812</v>
      </c>
      <c r="N198" s="186" t="s">
        <v>325</v>
      </c>
      <c r="O198" s="186" t="s">
        <v>813</v>
      </c>
      <c r="P198" s="186" t="s">
        <v>884</v>
      </c>
      <c r="Q198" s="186" t="s">
        <v>339</v>
      </c>
      <c r="R198" s="186" t="b">
        <v>1</v>
      </c>
      <c r="S198" s="186"/>
      <c r="T198" s="186"/>
      <c r="U198" s="186"/>
    </row>
    <row r="199" spans="1:21" x14ac:dyDescent="0.25">
      <c r="A199" s="638" t="s">
        <v>883</v>
      </c>
      <c r="B199" s="637">
        <v>0.75590000000000002</v>
      </c>
      <c r="C199" s="638"/>
      <c r="D199" s="186" t="s">
        <v>319</v>
      </c>
      <c r="E199" s="186" t="s">
        <v>319</v>
      </c>
      <c r="F199" s="186" t="s">
        <v>319</v>
      </c>
      <c r="G199" s="186" t="s">
        <v>614</v>
      </c>
      <c r="H199" s="186" t="s">
        <v>339</v>
      </c>
      <c r="I199" s="186">
        <v>1500</v>
      </c>
      <c r="J199" s="186" t="s">
        <v>321</v>
      </c>
      <c r="K199" s="186" t="s">
        <v>340</v>
      </c>
      <c r="L199" s="186" t="s">
        <v>811</v>
      </c>
      <c r="M199" s="186" t="s">
        <v>812</v>
      </c>
      <c r="N199" s="186" t="s">
        <v>325</v>
      </c>
      <c r="O199" s="186" t="s">
        <v>814</v>
      </c>
      <c r="P199" s="186" t="s">
        <v>884</v>
      </c>
      <c r="Q199" s="186" t="s">
        <v>339</v>
      </c>
      <c r="R199" s="186" t="b">
        <v>1</v>
      </c>
      <c r="S199" s="186"/>
      <c r="T199" s="186"/>
      <c r="U199" s="186"/>
    </row>
    <row r="200" spans="1:21" x14ac:dyDescent="0.25">
      <c r="A200" s="638" t="s">
        <v>883</v>
      </c>
      <c r="B200" s="637">
        <v>0.82089999999999996</v>
      </c>
      <c r="C200" s="638"/>
      <c r="D200" s="186" t="s">
        <v>319</v>
      </c>
      <c r="E200" s="186" t="s">
        <v>319</v>
      </c>
      <c r="F200" s="186" t="s">
        <v>319</v>
      </c>
      <c r="G200" s="186" t="s">
        <v>614</v>
      </c>
      <c r="H200" s="186" t="s">
        <v>339</v>
      </c>
      <c r="I200" s="186">
        <v>1500</v>
      </c>
      <c r="J200" s="186" t="s">
        <v>321</v>
      </c>
      <c r="K200" s="186" t="s">
        <v>340</v>
      </c>
      <c r="L200" s="186" t="s">
        <v>811</v>
      </c>
      <c r="M200" s="186" t="s">
        <v>812</v>
      </c>
      <c r="N200" s="186" t="s">
        <v>325</v>
      </c>
      <c r="O200" s="186" t="s">
        <v>815</v>
      </c>
      <c r="P200" s="186" t="s">
        <v>884</v>
      </c>
      <c r="Q200" s="186" t="s">
        <v>339</v>
      </c>
      <c r="R200" s="186" t="b">
        <v>1</v>
      </c>
      <c r="S200" s="186"/>
      <c r="T200" s="186"/>
      <c r="U200" s="186"/>
    </row>
    <row r="201" spans="1:21" x14ac:dyDescent="0.25">
      <c r="A201" s="638" t="s">
        <v>883</v>
      </c>
      <c r="B201" s="637">
        <v>0.85940000000000005</v>
      </c>
      <c r="C201" s="638"/>
      <c r="D201" s="186" t="s">
        <v>319</v>
      </c>
      <c r="E201" s="186" t="s">
        <v>319</v>
      </c>
      <c r="F201" s="186" t="s">
        <v>319</v>
      </c>
      <c r="G201" s="186" t="s">
        <v>614</v>
      </c>
      <c r="H201" s="186" t="s">
        <v>339</v>
      </c>
      <c r="I201" s="186">
        <v>1500</v>
      </c>
      <c r="J201" s="186" t="s">
        <v>321</v>
      </c>
      <c r="K201" s="186" t="s">
        <v>340</v>
      </c>
      <c r="L201" s="186" t="s">
        <v>811</v>
      </c>
      <c r="M201" s="186" t="s">
        <v>812</v>
      </c>
      <c r="N201" s="186" t="s">
        <v>325</v>
      </c>
      <c r="O201" s="186" t="s">
        <v>816</v>
      </c>
      <c r="P201" s="186" t="s">
        <v>884</v>
      </c>
      <c r="Q201" s="186" t="s">
        <v>339</v>
      </c>
      <c r="R201" s="186" t="b">
        <v>1</v>
      </c>
      <c r="S201" s="186"/>
      <c r="T201" s="186"/>
      <c r="U201" s="186"/>
    </row>
    <row r="202" spans="1:21" x14ac:dyDescent="0.25">
      <c r="A202" s="638" t="s">
        <v>883</v>
      </c>
      <c r="B202" s="637">
        <v>0.87960000000000005</v>
      </c>
      <c r="C202" s="638"/>
      <c r="D202" s="186" t="s">
        <v>319</v>
      </c>
      <c r="E202" s="186" t="s">
        <v>319</v>
      </c>
      <c r="F202" s="186" t="s">
        <v>319</v>
      </c>
      <c r="G202" s="186" t="s">
        <v>614</v>
      </c>
      <c r="H202" s="186" t="s">
        <v>339</v>
      </c>
      <c r="I202" s="186">
        <v>1500</v>
      </c>
      <c r="J202" s="186" t="s">
        <v>321</v>
      </c>
      <c r="K202" s="186" t="s">
        <v>340</v>
      </c>
      <c r="L202" s="186" t="s">
        <v>811</v>
      </c>
      <c r="M202" s="186" t="s">
        <v>812</v>
      </c>
      <c r="N202" s="186" t="s">
        <v>325</v>
      </c>
      <c r="O202" s="186" t="s">
        <v>817</v>
      </c>
      <c r="P202" s="186" t="s">
        <v>884</v>
      </c>
      <c r="Q202" s="186" t="s">
        <v>339</v>
      </c>
      <c r="R202" s="186" t="b">
        <v>1</v>
      </c>
      <c r="S202" s="186"/>
      <c r="T202" s="186"/>
      <c r="U202" s="186"/>
    </row>
    <row r="203" spans="1:21" x14ac:dyDescent="0.25">
      <c r="A203" s="638" t="s">
        <v>883</v>
      </c>
      <c r="B203" s="637">
        <v>0.91320000000000001</v>
      </c>
      <c r="C203" s="638"/>
      <c r="D203" s="186" t="s">
        <v>319</v>
      </c>
      <c r="E203" s="186" t="s">
        <v>319</v>
      </c>
      <c r="F203" s="186" t="s">
        <v>319</v>
      </c>
      <c r="G203" s="186" t="s">
        <v>614</v>
      </c>
      <c r="H203" s="186" t="s">
        <v>339</v>
      </c>
      <c r="I203" s="186">
        <v>1500</v>
      </c>
      <c r="J203" s="186" t="s">
        <v>321</v>
      </c>
      <c r="K203" s="186" t="s">
        <v>340</v>
      </c>
      <c r="L203" s="186" t="s">
        <v>811</v>
      </c>
      <c r="M203" s="186" t="s">
        <v>812</v>
      </c>
      <c r="N203" s="186" t="s">
        <v>325</v>
      </c>
      <c r="O203" s="186" t="s">
        <v>818</v>
      </c>
      <c r="P203" s="186" t="s">
        <v>884</v>
      </c>
      <c r="Q203" s="186" t="s">
        <v>339</v>
      </c>
      <c r="R203" s="186" t="b">
        <v>1</v>
      </c>
      <c r="S203" s="186"/>
      <c r="T203" s="186"/>
      <c r="U203" s="186"/>
    </row>
    <row r="204" spans="1:21" x14ac:dyDescent="0.25">
      <c r="A204" s="638" t="s">
        <v>883</v>
      </c>
      <c r="B204" s="637">
        <v>0.92430000000000001</v>
      </c>
      <c r="C204" s="638"/>
      <c r="D204" s="186" t="s">
        <v>319</v>
      </c>
      <c r="E204" s="186" t="s">
        <v>319</v>
      </c>
      <c r="F204" s="186" t="s">
        <v>319</v>
      </c>
      <c r="G204" s="186" t="s">
        <v>614</v>
      </c>
      <c r="H204" s="186" t="s">
        <v>339</v>
      </c>
      <c r="I204" s="186">
        <v>1500</v>
      </c>
      <c r="J204" s="186" t="s">
        <v>321</v>
      </c>
      <c r="K204" s="186" t="s">
        <v>340</v>
      </c>
      <c r="L204" s="186" t="s">
        <v>811</v>
      </c>
      <c r="M204" s="186" t="s">
        <v>812</v>
      </c>
      <c r="N204" s="186" t="s">
        <v>325</v>
      </c>
      <c r="O204" s="186" t="s">
        <v>819</v>
      </c>
      <c r="P204" s="186" t="s">
        <v>884</v>
      </c>
      <c r="Q204" s="186" t="s">
        <v>339</v>
      </c>
      <c r="R204" s="186" t="b">
        <v>1</v>
      </c>
      <c r="S204" s="186"/>
      <c r="T204" s="186"/>
      <c r="U204" s="186"/>
    </row>
    <row r="205" spans="1:21" x14ac:dyDescent="0.25">
      <c r="A205" s="638" t="s">
        <v>883</v>
      </c>
      <c r="B205" s="637">
        <v>0.95960000000000001</v>
      </c>
      <c r="C205" s="638"/>
      <c r="D205" s="186" t="s">
        <v>319</v>
      </c>
      <c r="E205" s="186" t="s">
        <v>319</v>
      </c>
      <c r="F205" s="186" t="s">
        <v>319</v>
      </c>
      <c r="G205" s="186" t="s">
        <v>614</v>
      </c>
      <c r="H205" s="186" t="s">
        <v>339</v>
      </c>
      <c r="I205" s="186">
        <v>1500</v>
      </c>
      <c r="J205" s="186" t="s">
        <v>321</v>
      </c>
      <c r="K205" s="186" t="s">
        <v>340</v>
      </c>
      <c r="L205" s="186" t="s">
        <v>811</v>
      </c>
      <c r="M205" s="186" t="s">
        <v>812</v>
      </c>
      <c r="N205" s="186" t="s">
        <v>325</v>
      </c>
      <c r="O205" s="186" t="s">
        <v>820</v>
      </c>
      <c r="P205" s="186" t="s">
        <v>884</v>
      </c>
      <c r="Q205" s="186" t="s">
        <v>339</v>
      </c>
      <c r="R205" s="186" t="b">
        <v>1</v>
      </c>
      <c r="S205" s="186"/>
      <c r="T205" s="186"/>
      <c r="U205" s="186"/>
    </row>
    <row r="206" spans="1:21" x14ac:dyDescent="0.25">
      <c r="A206" s="638" t="s">
        <v>883</v>
      </c>
      <c r="B206" s="637">
        <v>0.97599999999999998</v>
      </c>
      <c r="C206" s="638"/>
      <c r="D206" s="186" t="s">
        <v>319</v>
      </c>
      <c r="E206" s="186" t="s">
        <v>319</v>
      </c>
      <c r="F206" s="186" t="s">
        <v>319</v>
      </c>
      <c r="G206" s="186" t="s">
        <v>614</v>
      </c>
      <c r="H206" s="186" t="s">
        <v>339</v>
      </c>
      <c r="I206" s="186">
        <v>1500</v>
      </c>
      <c r="J206" s="186" t="s">
        <v>321</v>
      </c>
      <c r="K206" s="186" t="s">
        <v>340</v>
      </c>
      <c r="L206" s="186" t="s">
        <v>811</v>
      </c>
      <c r="M206" s="186" t="s">
        <v>812</v>
      </c>
      <c r="N206" s="186" t="s">
        <v>325</v>
      </c>
      <c r="O206" s="186" t="s">
        <v>821</v>
      </c>
      <c r="P206" s="186" t="s">
        <v>884</v>
      </c>
      <c r="Q206" s="186" t="s">
        <v>339</v>
      </c>
      <c r="R206" s="186" t="b">
        <v>1</v>
      </c>
      <c r="S206" s="186"/>
      <c r="T206" s="186"/>
      <c r="U206" s="186"/>
    </row>
    <row r="207" spans="1:21" x14ac:dyDescent="0.25">
      <c r="A207" s="638" t="s">
        <v>883</v>
      </c>
      <c r="B207" s="637">
        <v>0.68140000000000001</v>
      </c>
      <c r="C207" s="638"/>
      <c r="D207" s="186" t="s">
        <v>319</v>
      </c>
      <c r="E207" s="186" t="s">
        <v>319</v>
      </c>
      <c r="F207" s="186" t="s">
        <v>319</v>
      </c>
      <c r="G207" s="186" t="s">
        <v>614</v>
      </c>
      <c r="H207" s="186" t="s">
        <v>339</v>
      </c>
      <c r="I207" s="186">
        <v>2500</v>
      </c>
      <c r="J207" s="186" t="s">
        <v>321</v>
      </c>
      <c r="K207" s="186" t="s">
        <v>340</v>
      </c>
      <c r="L207" s="186" t="s">
        <v>811</v>
      </c>
      <c r="M207" s="186" t="s">
        <v>812</v>
      </c>
      <c r="N207" s="186" t="s">
        <v>325</v>
      </c>
      <c r="O207" s="186" t="s">
        <v>813</v>
      </c>
      <c r="P207" s="186" t="s">
        <v>884</v>
      </c>
      <c r="Q207" s="186" t="s">
        <v>339</v>
      </c>
      <c r="R207" s="186" t="b">
        <v>1</v>
      </c>
      <c r="S207" s="186"/>
      <c r="T207" s="186"/>
      <c r="U207" s="186"/>
    </row>
    <row r="208" spans="1:21" x14ac:dyDescent="0.25">
      <c r="A208" s="638" t="s">
        <v>883</v>
      </c>
      <c r="B208" s="637">
        <v>0.68140000000000001</v>
      </c>
      <c r="C208" s="638"/>
      <c r="D208" s="186" t="s">
        <v>319</v>
      </c>
      <c r="E208" s="186" t="s">
        <v>319</v>
      </c>
      <c r="F208" s="186" t="s">
        <v>319</v>
      </c>
      <c r="G208" s="186" t="s">
        <v>614</v>
      </c>
      <c r="H208" s="186" t="s">
        <v>339</v>
      </c>
      <c r="I208" s="186">
        <v>2500</v>
      </c>
      <c r="J208" s="186" t="s">
        <v>321</v>
      </c>
      <c r="K208" s="186" t="s">
        <v>340</v>
      </c>
      <c r="L208" s="186" t="s">
        <v>811</v>
      </c>
      <c r="M208" s="186" t="s">
        <v>812</v>
      </c>
      <c r="N208" s="186" t="s">
        <v>325</v>
      </c>
      <c r="O208" s="186" t="s">
        <v>814</v>
      </c>
      <c r="P208" s="186" t="s">
        <v>884</v>
      </c>
      <c r="Q208" s="186" t="s">
        <v>339</v>
      </c>
      <c r="R208" s="186" t="b">
        <v>1</v>
      </c>
      <c r="S208" s="186"/>
      <c r="T208" s="186"/>
      <c r="U208" s="186"/>
    </row>
    <row r="209" spans="1:21" x14ac:dyDescent="0.25">
      <c r="A209" s="638" t="s">
        <v>883</v>
      </c>
      <c r="B209" s="637">
        <v>0.73109999999999997</v>
      </c>
      <c r="C209" s="638"/>
      <c r="D209" s="186" t="s">
        <v>319</v>
      </c>
      <c r="E209" s="186" t="s">
        <v>319</v>
      </c>
      <c r="F209" s="186" t="s">
        <v>319</v>
      </c>
      <c r="G209" s="186" t="s">
        <v>614</v>
      </c>
      <c r="H209" s="186" t="s">
        <v>339</v>
      </c>
      <c r="I209" s="186">
        <v>2500</v>
      </c>
      <c r="J209" s="186" t="s">
        <v>321</v>
      </c>
      <c r="K209" s="186" t="s">
        <v>340</v>
      </c>
      <c r="L209" s="186" t="s">
        <v>811</v>
      </c>
      <c r="M209" s="186" t="s">
        <v>812</v>
      </c>
      <c r="N209" s="186" t="s">
        <v>325</v>
      </c>
      <c r="O209" s="186" t="s">
        <v>815</v>
      </c>
      <c r="P209" s="186" t="s">
        <v>884</v>
      </c>
      <c r="Q209" s="186" t="s">
        <v>339</v>
      </c>
      <c r="R209" s="186" t="b">
        <v>1</v>
      </c>
      <c r="S209" s="186"/>
      <c r="T209" s="186"/>
      <c r="U209" s="186"/>
    </row>
    <row r="210" spans="1:21" x14ac:dyDescent="0.25">
      <c r="A210" s="638" t="s">
        <v>883</v>
      </c>
      <c r="B210" s="637">
        <v>0.78790000000000004</v>
      </c>
      <c r="C210" s="638"/>
      <c r="D210" s="186" t="s">
        <v>319</v>
      </c>
      <c r="E210" s="186" t="s">
        <v>319</v>
      </c>
      <c r="F210" s="186" t="s">
        <v>319</v>
      </c>
      <c r="G210" s="186" t="s">
        <v>614</v>
      </c>
      <c r="H210" s="186" t="s">
        <v>339</v>
      </c>
      <c r="I210" s="186">
        <v>2500</v>
      </c>
      <c r="J210" s="186" t="s">
        <v>321</v>
      </c>
      <c r="K210" s="186" t="s">
        <v>340</v>
      </c>
      <c r="L210" s="186" t="s">
        <v>811</v>
      </c>
      <c r="M210" s="186" t="s">
        <v>812</v>
      </c>
      <c r="N210" s="186" t="s">
        <v>325</v>
      </c>
      <c r="O210" s="186" t="s">
        <v>816</v>
      </c>
      <c r="P210" s="186" t="s">
        <v>884</v>
      </c>
      <c r="Q210" s="186" t="s">
        <v>339</v>
      </c>
      <c r="R210" s="186" t="b">
        <v>1</v>
      </c>
      <c r="S210" s="186"/>
      <c r="T210" s="186"/>
      <c r="U210" s="186"/>
    </row>
    <row r="211" spans="1:21" x14ac:dyDescent="0.25">
      <c r="A211" s="638" t="s">
        <v>883</v>
      </c>
      <c r="B211" s="637">
        <v>0.81969999999999998</v>
      </c>
      <c r="C211" s="638"/>
      <c r="D211" s="186" t="s">
        <v>319</v>
      </c>
      <c r="E211" s="186" t="s">
        <v>319</v>
      </c>
      <c r="F211" s="186" t="s">
        <v>319</v>
      </c>
      <c r="G211" s="186" t="s">
        <v>614</v>
      </c>
      <c r="H211" s="186" t="s">
        <v>339</v>
      </c>
      <c r="I211" s="186">
        <v>2500</v>
      </c>
      <c r="J211" s="186" t="s">
        <v>321</v>
      </c>
      <c r="K211" s="186" t="s">
        <v>340</v>
      </c>
      <c r="L211" s="186" t="s">
        <v>811</v>
      </c>
      <c r="M211" s="186" t="s">
        <v>812</v>
      </c>
      <c r="N211" s="186" t="s">
        <v>325</v>
      </c>
      <c r="O211" s="186" t="s">
        <v>817</v>
      </c>
      <c r="P211" s="186" t="s">
        <v>884</v>
      </c>
      <c r="Q211" s="186" t="s">
        <v>339</v>
      </c>
      <c r="R211" s="186" t="b">
        <v>1</v>
      </c>
      <c r="S211" s="186"/>
      <c r="T211" s="186"/>
      <c r="U211" s="186"/>
    </row>
    <row r="212" spans="1:21" x14ac:dyDescent="0.25">
      <c r="A212" s="638" t="s">
        <v>883</v>
      </c>
      <c r="B212" s="637">
        <v>0.86639999999999995</v>
      </c>
      <c r="C212" s="638"/>
      <c r="D212" s="186" t="s">
        <v>319</v>
      </c>
      <c r="E212" s="186" t="s">
        <v>319</v>
      </c>
      <c r="F212" s="186" t="s">
        <v>319</v>
      </c>
      <c r="G212" s="186" t="s">
        <v>614</v>
      </c>
      <c r="H212" s="186" t="s">
        <v>339</v>
      </c>
      <c r="I212" s="186">
        <v>2500</v>
      </c>
      <c r="J212" s="186" t="s">
        <v>321</v>
      </c>
      <c r="K212" s="186" t="s">
        <v>340</v>
      </c>
      <c r="L212" s="186" t="s">
        <v>811</v>
      </c>
      <c r="M212" s="186" t="s">
        <v>812</v>
      </c>
      <c r="N212" s="186" t="s">
        <v>325</v>
      </c>
      <c r="O212" s="186" t="s">
        <v>818</v>
      </c>
      <c r="P212" s="186" t="s">
        <v>884</v>
      </c>
      <c r="Q212" s="186" t="s">
        <v>339</v>
      </c>
      <c r="R212" s="186" t="b">
        <v>1</v>
      </c>
      <c r="S212" s="186"/>
      <c r="T212" s="186"/>
      <c r="U212" s="186"/>
    </row>
    <row r="213" spans="1:21" x14ac:dyDescent="0.25">
      <c r="A213" s="638" t="s">
        <v>883</v>
      </c>
      <c r="B213" s="637">
        <v>0.88049999999999995</v>
      </c>
      <c r="C213" s="638"/>
      <c r="D213" s="186" t="s">
        <v>319</v>
      </c>
      <c r="E213" s="186" t="s">
        <v>319</v>
      </c>
      <c r="F213" s="186" t="s">
        <v>319</v>
      </c>
      <c r="G213" s="186" t="s">
        <v>614</v>
      </c>
      <c r="H213" s="186" t="s">
        <v>339</v>
      </c>
      <c r="I213" s="186">
        <v>2500</v>
      </c>
      <c r="J213" s="186" t="s">
        <v>321</v>
      </c>
      <c r="K213" s="186" t="s">
        <v>340</v>
      </c>
      <c r="L213" s="186" t="s">
        <v>811</v>
      </c>
      <c r="M213" s="186" t="s">
        <v>812</v>
      </c>
      <c r="N213" s="186" t="s">
        <v>325</v>
      </c>
      <c r="O213" s="186" t="s">
        <v>819</v>
      </c>
      <c r="P213" s="186" t="s">
        <v>884</v>
      </c>
      <c r="Q213" s="186" t="s">
        <v>339</v>
      </c>
      <c r="R213" s="186" t="b">
        <v>1</v>
      </c>
      <c r="S213" s="186"/>
      <c r="T213" s="186"/>
      <c r="U213" s="186"/>
    </row>
    <row r="214" spans="1:21" x14ac:dyDescent="0.25">
      <c r="A214" s="638" t="s">
        <v>883</v>
      </c>
      <c r="B214" s="637">
        <v>0.93730000000000002</v>
      </c>
      <c r="C214" s="638"/>
      <c r="D214" s="186" t="s">
        <v>319</v>
      </c>
      <c r="E214" s="186" t="s">
        <v>319</v>
      </c>
      <c r="F214" s="186" t="s">
        <v>319</v>
      </c>
      <c r="G214" s="186" t="s">
        <v>614</v>
      </c>
      <c r="H214" s="186" t="s">
        <v>339</v>
      </c>
      <c r="I214" s="186">
        <v>2500</v>
      </c>
      <c r="J214" s="186" t="s">
        <v>321</v>
      </c>
      <c r="K214" s="186" t="s">
        <v>340</v>
      </c>
      <c r="L214" s="186" t="s">
        <v>811</v>
      </c>
      <c r="M214" s="186" t="s">
        <v>812</v>
      </c>
      <c r="N214" s="186" t="s">
        <v>325</v>
      </c>
      <c r="O214" s="186" t="s">
        <v>820</v>
      </c>
      <c r="P214" s="186" t="s">
        <v>884</v>
      </c>
      <c r="Q214" s="186" t="s">
        <v>339</v>
      </c>
      <c r="R214" s="186" t="b">
        <v>1</v>
      </c>
      <c r="S214" s="186"/>
      <c r="T214" s="186"/>
      <c r="U214" s="186"/>
    </row>
    <row r="215" spans="1:21" x14ac:dyDescent="0.25">
      <c r="A215" s="638" t="s">
        <v>883</v>
      </c>
      <c r="B215" s="637">
        <v>0.96199999999999997</v>
      </c>
      <c r="C215" s="638"/>
      <c r="D215" s="186" t="s">
        <v>319</v>
      </c>
      <c r="E215" s="186" t="s">
        <v>319</v>
      </c>
      <c r="F215" s="186" t="s">
        <v>319</v>
      </c>
      <c r="G215" s="186" t="s">
        <v>614</v>
      </c>
      <c r="H215" s="186" t="s">
        <v>339</v>
      </c>
      <c r="I215" s="186">
        <v>2500</v>
      </c>
      <c r="J215" s="186" t="s">
        <v>321</v>
      </c>
      <c r="K215" s="186" t="s">
        <v>340</v>
      </c>
      <c r="L215" s="186" t="s">
        <v>811</v>
      </c>
      <c r="M215" s="186" t="s">
        <v>812</v>
      </c>
      <c r="N215" s="186" t="s">
        <v>325</v>
      </c>
      <c r="O215" s="186" t="s">
        <v>821</v>
      </c>
      <c r="P215" s="186" t="s">
        <v>884</v>
      </c>
      <c r="Q215" s="186" t="s">
        <v>339</v>
      </c>
      <c r="R215" s="186" t="b">
        <v>1</v>
      </c>
      <c r="S215" s="186"/>
      <c r="T215" s="186"/>
      <c r="U215" s="186"/>
    </row>
    <row r="216" spans="1:21" x14ac:dyDescent="0.25">
      <c r="A216" s="638" t="s">
        <v>883</v>
      </c>
      <c r="B216" s="637">
        <v>0.63470000000000004</v>
      </c>
      <c r="C216" s="638"/>
      <c r="D216" s="186" t="s">
        <v>319</v>
      </c>
      <c r="E216" s="186" t="s">
        <v>319</v>
      </c>
      <c r="F216" s="186" t="s">
        <v>319</v>
      </c>
      <c r="G216" s="186" t="s">
        <v>614</v>
      </c>
      <c r="H216" s="186" t="s">
        <v>339</v>
      </c>
      <c r="I216" s="186">
        <v>5000</v>
      </c>
      <c r="J216" s="186" t="s">
        <v>321</v>
      </c>
      <c r="K216" s="186" t="s">
        <v>340</v>
      </c>
      <c r="L216" s="186" t="s">
        <v>811</v>
      </c>
      <c r="M216" s="186" t="s">
        <v>812</v>
      </c>
      <c r="N216" s="186" t="s">
        <v>325</v>
      </c>
      <c r="O216" s="186" t="s">
        <v>813</v>
      </c>
      <c r="P216" s="186" t="s">
        <v>884</v>
      </c>
      <c r="Q216" s="186" t="s">
        <v>339</v>
      </c>
      <c r="R216" s="186" t="b">
        <v>1</v>
      </c>
      <c r="S216" s="186"/>
      <c r="T216" s="186"/>
      <c r="U216" s="186"/>
    </row>
    <row r="217" spans="1:21" x14ac:dyDescent="0.25">
      <c r="A217" s="638" t="s">
        <v>883</v>
      </c>
      <c r="B217" s="637">
        <v>0.63470000000000004</v>
      </c>
      <c r="C217" s="638"/>
      <c r="D217" s="186" t="s">
        <v>319</v>
      </c>
      <c r="E217" s="186" t="s">
        <v>319</v>
      </c>
      <c r="F217" s="186" t="s">
        <v>319</v>
      </c>
      <c r="G217" s="186" t="s">
        <v>614</v>
      </c>
      <c r="H217" s="186" t="s">
        <v>339</v>
      </c>
      <c r="I217" s="186">
        <v>5000</v>
      </c>
      <c r="J217" s="186" t="s">
        <v>321</v>
      </c>
      <c r="K217" s="186" t="s">
        <v>340</v>
      </c>
      <c r="L217" s="186" t="s">
        <v>811</v>
      </c>
      <c r="M217" s="186" t="s">
        <v>812</v>
      </c>
      <c r="N217" s="186" t="s">
        <v>325</v>
      </c>
      <c r="O217" s="186" t="s">
        <v>814</v>
      </c>
      <c r="P217" s="186" t="s">
        <v>884</v>
      </c>
      <c r="Q217" s="186" t="s">
        <v>339</v>
      </c>
      <c r="R217" s="186" t="b">
        <v>1</v>
      </c>
      <c r="S217" s="186"/>
      <c r="T217" s="186"/>
      <c r="U217" s="186"/>
    </row>
    <row r="218" spans="1:21" x14ac:dyDescent="0.25">
      <c r="A218" s="638" t="s">
        <v>883</v>
      </c>
      <c r="B218" s="637">
        <v>0.63470000000000004</v>
      </c>
      <c r="C218" s="638"/>
      <c r="D218" s="186" t="s">
        <v>319</v>
      </c>
      <c r="E218" s="186" t="s">
        <v>319</v>
      </c>
      <c r="F218" s="186" t="s">
        <v>319</v>
      </c>
      <c r="G218" s="186" t="s">
        <v>614</v>
      </c>
      <c r="H218" s="186" t="s">
        <v>339</v>
      </c>
      <c r="I218" s="186">
        <v>5000</v>
      </c>
      <c r="J218" s="186" t="s">
        <v>321</v>
      </c>
      <c r="K218" s="186" t="s">
        <v>340</v>
      </c>
      <c r="L218" s="186" t="s">
        <v>811</v>
      </c>
      <c r="M218" s="186" t="s">
        <v>812</v>
      </c>
      <c r="N218" s="186" t="s">
        <v>325</v>
      </c>
      <c r="O218" s="186" t="s">
        <v>815</v>
      </c>
      <c r="P218" s="186" t="s">
        <v>884</v>
      </c>
      <c r="Q218" s="186" t="s">
        <v>339</v>
      </c>
      <c r="R218" s="186" t="b">
        <v>1</v>
      </c>
      <c r="S218" s="186"/>
      <c r="T218" s="186"/>
      <c r="U218" s="186"/>
    </row>
    <row r="219" spans="1:21" x14ac:dyDescent="0.25">
      <c r="A219" s="638" t="s">
        <v>883</v>
      </c>
      <c r="B219" s="637">
        <v>0.65569999999999995</v>
      </c>
      <c r="C219" s="638"/>
      <c r="D219" s="186" t="s">
        <v>319</v>
      </c>
      <c r="E219" s="186" t="s">
        <v>319</v>
      </c>
      <c r="F219" s="186" t="s">
        <v>319</v>
      </c>
      <c r="G219" s="186" t="s">
        <v>614</v>
      </c>
      <c r="H219" s="186" t="s">
        <v>339</v>
      </c>
      <c r="I219" s="186">
        <v>5000</v>
      </c>
      <c r="J219" s="186" t="s">
        <v>321</v>
      </c>
      <c r="K219" s="186" t="s">
        <v>340</v>
      </c>
      <c r="L219" s="186" t="s">
        <v>811</v>
      </c>
      <c r="M219" s="186" t="s">
        <v>812</v>
      </c>
      <c r="N219" s="186" t="s">
        <v>325</v>
      </c>
      <c r="O219" s="186" t="s">
        <v>816</v>
      </c>
      <c r="P219" s="186" t="s">
        <v>884</v>
      </c>
      <c r="Q219" s="186" t="s">
        <v>339</v>
      </c>
      <c r="R219" s="186" t="b">
        <v>1</v>
      </c>
      <c r="S219" s="186"/>
      <c r="T219" s="186"/>
      <c r="U219" s="186"/>
    </row>
    <row r="220" spans="1:21" x14ac:dyDescent="0.25">
      <c r="A220" s="638" t="s">
        <v>883</v>
      </c>
      <c r="B220" s="637">
        <v>0.70899999999999996</v>
      </c>
      <c r="C220" s="638"/>
      <c r="D220" s="186" t="s">
        <v>319</v>
      </c>
      <c r="E220" s="186" t="s">
        <v>319</v>
      </c>
      <c r="F220" s="186" t="s">
        <v>319</v>
      </c>
      <c r="G220" s="186" t="s">
        <v>614</v>
      </c>
      <c r="H220" s="186" t="s">
        <v>339</v>
      </c>
      <c r="I220" s="186">
        <v>5000</v>
      </c>
      <c r="J220" s="186" t="s">
        <v>321</v>
      </c>
      <c r="K220" s="186" t="s">
        <v>340</v>
      </c>
      <c r="L220" s="186" t="s">
        <v>811</v>
      </c>
      <c r="M220" s="186" t="s">
        <v>812</v>
      </c>
      <c r="N220" s="186" t="s">
        <v>325</v>
      </c>
      <c r="O220" s="186" t="s">
        <v>817</v>
      </c>
      <c r="P220" s="186" t="s">
        <v>884</v>
      </c>
      <c r="Q220" s="186" t="s">
        <v>339</v>
      </c>
      <c r="R220" s="186" t="b">
        <v>1</v>
      </c>
      <c r="S220" s="186"/>
      <c r="T220" s="186"/>
      <c r="U220" s="186"/>
    </row>
    <row r="221" spans="1:21" x14ac:dyDescent="0.25">
      <c r="A221" s="638" t="s">
        <v>883</v>
      </c>
      <c r="B221" s="637">
        <v>0.77700000000000002</v>
      </c>
      <c r="C221" s="638"/>
      <c r="D221" s="186" t="s">
        <v>319</v>
      </c>
      <c r="E221" s="186" t="s">
        <v>319</v>
      </c>
      <c r="F221" s="186" t="s">
        <v>319</v>
      </c>
      <c r="G221" s="186" t="s">
        <v>614</v>
      </c>
      <c r="H221" s="186" t="s">
        <v>339</v>
      </c>
      <c r="I221" s="186">
        <v>5000</v>
      </c>
      <c r="J221" s="186" t="s">
        <v>321</v>
      </c>
      <c r="K221" s="186" t="s">
        <v>340</v>
      </c>
      <c r="L221" s="186" t="s">
        <v>811</v>
      </c>
      <c r="M221" s="186" t="s">
        <v>812</v>
      </c>
      <c r="N221" s="186" t="s">
        <v>325</v>
      </c>
      <c r="O221" s="186" t="s">
        <v>818</v>
      </c>
      <c r="P221" s="186" t="s">
        <v>884</v>
      </c>
      <c r="Q221" s="186" t="s">
        <v>339</v>
      </c>
      <c r="R221" s="186" t="b">
        <v>1</v>
      </c>
      <c r="S221" s="186"/>
      <c r="T221" s="186"/>
      <c r="U221" s="186"/>
    </row>
    <row r="222" spans="1:21" x14ac:dyDescent="0.25">
      <c r="A222" s="638" t="s">
        <v>883</v>
      </c>
      <c r="B222" s="637">
        <v>0.79910000000000003</v>
      </c>
      <c r="C222" s="638"/>
      <c r="D222" s="186" t="s">
        <v>319</v>
      </c>
      <c r="E222" s="186" t="s">
        <v>319</v>
      </c>
      <c r="F222" s="186" t="s">
        <v>319</v>
      </c>
      <c r="G222" s="186" t="s">
        <v>614</v>
      </c>
      <c r="H222" s="186" t="s">
        <v>339</v>
      </c>
      <c r="I222" s="186">
        <v>5000</v>
      </c>
      <c r="J222" s="186" t="s">
        <v>321</v>
      </c>
      <c r="K222" s="186" t="s">
        <v>340</v>
      </c>
      <c r="L222" s="186" t="s">
        <v>811</v>
      </c>
      <c r="M222" s="186" t="s">
        <v>812</v>
      </c>
      <c r="N222" s="186" t="s">
        <v>325</v>
      </c>
      <c r="O222" s="186" t="s">
        <v>819</v>
      </c>
      <c r="P222" s="186" t="s">
        <v>884</v>
      </c>
      <c r="Q222" s="186" t="s">
        <v>339</v>
      </c>
      <c r="R222" s="186" t="b">
        <v>1</v>
      </c>
      <c r="S222" s="186"/>
      <c r="T222" s="186"/>
      <c r="U222" s="186"/>
    </row>
    <row r="223" spans="1:21" x14ac:dyDescent="0.25">
      <c r="A223" s="638" t="s">
        <v>883</v>
      </c>
      <c r="B223" s="637">
        <v>0.88190000000000002</v>
      </c>
      <c r="C223" s="638"/>
      <c r="D223" s="186" t="s">
        <v>319</v>
      </c>
      <c r="E223" s="186" t="s">
        <v>319</v>
      </c>
      <c r="F223" s="186" t="s">
        <v>319</v>
      </c>
      <c r="G223" s="186" t="s">
        <v>614</v>
      </c>
      <c r="H223" s="186" t="s">
        <v>339</v>
      </c>
      <c r="I223" s="186">
        <v>5000</v>
      </c>
      <c r="J223" s="186" t="s">
        <v>321</v>
      </c>
      <c r="K223" s="186" t="s">
        <v>340</v>
      </c>
      <c r="L223" s="186" t="s">
        <v>811</v>
      </c>
      <c r="M223" s="186" t="s">
        <v>812</v>
      </c>
      <c r="N223" s="186" t="s">
        <v>325</v>
      </c>
      <c r="O223" s="186" t="s">
        <v>820</v>
      </c>
      <c r="P223" s="186" t="s">
        <v>884</v>
      </c>
      <c r="Q223" s="186" t="s">
        <v>339</v>
      </c>
      <c r="R223" s="186" t="b">
        <v>1</v>
      </c>
      <c r="S223" s="186"/>
      <c r="T223" s="186"/>
      <c r="U223" s="186"/>
    </row>
    <row r="224" spans="1:21" x14ac:dyDescent="0.25">
      <c r="A224" s="638" t="s">
        <v>883</v>
      </c>
      <c r="B224" s="637">
        <v>0.9335</v>
      </c>
      <c r="C224" s="638"/>
      <c r="D224" s="186" t="s">
        <v>319</v>
      </c>
      <c r="E224" s="186" t="s">
        <v>319</v>
      </c>
      <c r="F224" s="186" t="s">
        <v>319</v>
      </c>
      <c r="G224" s="186" t="s">
        <v>614</v>
      </c>
      <c r="H224" s="186" t="s">
        <v>339</v>
      </c>
      <c r="I224" s="186">
        <v>5000</v>
      </c>
      <c r="J224" s="186" t="s">
        <v>321</v>
      </c>
      <c r="K224" s="186" t="s">
        <v>340</v>
      </c>
      <c r="L224" s="186" t="s">
        <v>811</v>
      </c>
      <c r="M224" s="186" t="s">
        <v>812</v>
      </c>
      <c r="N224" s="186" t="s">
        <v>325</v>
      </c>
      <c r="O224" s="186" t="s">
        <v>821</v>
      </c>
      <c r="P224" s="186" t="s">
        <v>884</v>
      </c>
      <c r="Q224" s="186" t="s">
        <v>339</v>
      </c>
      <c r="R224" s="186" t="b">
        <v>1</v>
      </c>
      <c r="S224" s="186"/>
      <c r="T224" s="186"/>
      <c r="U224" s="186"/>
    </row>
    <row r="225" spans="1:21" x14ac:dyDescent="0.25">
      <c r="A225" s="638" t="s">
        <v>883</v>
      </c>
      <c r="B225" s="637">
        <v>0.56920000000000004</v>
      </c>
      <c r="C225" s="638"/>
      <c r="D225" s="186" t="s">
        <v>319</v>
      </c>
      <c r="E225" s="186" t="s">
        <v>319</v>
      </c>
      <c r="F225" s="186" t="s">
        <v>319</v>
      </c>
      <c r="G225" s="186" t="s">
        <v>614</v>
      </c>
      <c r="H225" s="186" t="s">
        <v>339</v>
      </c>
      <c r="I225" s="186">
        <v>10000</v>
      </c>
      <c r="J225" s="186" t="s">
        <v>321</v>
      </c>
      <c r="K225" s="186" t="s">
        <v>340</v>
      </c>
      <c r="L225" s="186" t="s">
        <v>811</v>
      </c>
      <c r="M225" s="186" t="s">
        <v>812</v>
      </c>
      <c r="N225" s="186" t="s">
        <v>325</v>
      </c>
      <c r="O225" s="186" t="s">
        <v>814</v>
      </c>
      <c r="P225" s="186" t="s">
        <v>884</v>
      </c>
      <c r="Q225" s="186" t="s">
        <v>339</v>
      </c>
      <c r="R225" s="186" t="b">
        <v>1</v>
      </c>
      <c r="S225" s="186"/>
      <c r="T225" s="186"/>
      <c r="U225" s="186"/>
    </row>
    <row r="226" spans="1:21" x14ac:dyDescent="0.25">
      <c r="A226" s="638" t="s">
        <v>883</v>
      </c>
      <c r="B226" s="637">
        <v>0.56920000000000004</v>
      </c>
      <c r="C226" s="638"/>
      <c r="D226" s="186" t="s">
        <v>319</v>
      </c>
      <c r="E226" s="186" t="s">
        <v>319</v>
      </c>
      <c r="F226" s="186" t="s">
        <v>319</v>
      </c>
      <c r="G226" s="186" t="s">
        <v>614</v>
      </c>
      <c r="H226" s="186" t="s">
        <v>339</v>
      </c>
      <c r="I226" s="186">
        <v>10000</v>
      </c>
      <c r="J226" s="186" t="s">
        <v>321</v>
      </c>
      <c r="K226" s="186" t="s">
        <v>340</v>
      </c>
      <c r="L226" s="186" t="s">
        <v>811</v>
      </c>
      <c r="M226" s="186" t="s">
        <v>812</v>
      </c>
      <c r="N226" s="186" t="s">
        <v>325</v>
      </c>
      <c r="O226" s="186" t="s">
        <v>815</v>
      </c>
      <c r="P226" s="186" t="s">
        <v>884</v>
      </c>
      <c r="Q226" s="186" t="s">
        <v>339</v>
      </c>
      <c r="R226" s="186" t="b">
        <v>1</v>
      </c>
      <c r="S226" s="186"/>
      <c r="T226" s="186"/>
      <c r="U226" s="186"/>
    </row>
    <row r="227" spans="1:21" x14ac:dyDescent="0.25">
      <c r="A227" s="638" t="s">
        <v>883</v>
      </c>
      <c r="B227" s="637">
        <v>0.56920000000000004</v>
      </c>
      <c r="C227" s="638"/>
      <c r="D227" s="186" t="s">
        <v>319</v>
      </c>
      <c r="E227" s="186" t="s">
        <v>319</v>
      </c>
      <c r="F227" s="186" t="s">
        <v>319</v>
      </c>
      <c r="G227" s="186" t="s">
        <v>614</v>
      </c>
      <c r="H227" s="186" t="s">
        <v>339</v>
      </c>
      <c r="I227" s="186">
        <v>10000</v>
      </c>
      <c r="J227" s="186" t="s">
        <v>321</v>
      </c>
      <c r="K227" s="186" t="s">
        <v>340</v>
      </c>
      <c r="L227" s="186" t="s">
        <v>811</v>
      </c>
      <c r="M227" s="186" t="s">
        <v>812</v>
      </c>
      <c r="N227" s="186" t="s">
        <v>325</v>
      </c>
      <c r="O227" s="186" t="s">
        <v>816</v>
      </c>
      <c r="P227" s="186" t="s">
        <v>884</v>
      </c>
      <c r="Q227" s="186" t="s">
        <v>339</v>
      </c>
      <c r="R227" s="186" t="b">
        <v>1</v>
      </c>
      <c r="S227" s="186"/>
      <c r="T227" s="186"/>
      <c r="U227" s="186"/>
    </row>
    <row r="228" spans="1:21" x14ac:dyDescent="0.25">
      <c r="A228" s="638" t="s">
        <v>883</v>
      </c>
      <c r="B228" s="637">
        <v>0.56920000000000004</v>
      </c>
      <c r="C228" s="638"/>
      <c r="D228" s="186" t="s">
        <v>319</v>
      </c>
      <c r="E228" s="186" t="s">
        <v>319</v>
      </c>
      <c r="F228" s="186" t="s">
        <v>319</v>
      </c>
      <c r="G228" s="186" t="s">
        <v>614</v>
      </c>
      <c r="H228" s="186" t="s">
        <v>339</v>
      </c>
      <c r="I228" s="186">
        <v>10000</v>
      </c>
      <c r="J228" s="186" t="s">
        <v>321</v>
      </c>
      <c r="K228" s="186" t="s">
        <v>340</v>
      </c>
      <c r="L228" s="186" t="s">
        <v>811</v>
      </c>
      <c r="M228" s="186" t="s">
        <v>812</v>
      </c>
      <c r="N228" s="186" t="s">
        <v>325</v>
      </c>
      <c r="O228" s="186" t="s">
        <v>817</v>
      </c>
      <c r="P228" s="186" t="s">
        <v>884</v>
      </c>
      <c r="Q228" s="186" t="s">
        <v>339</v>
      </c>
      <c r="R228" s="186" t="b">
        <v>1</v>
      </c>
      <c r="S228" s="186"/>
      <c r="T228" s="186"/>
      <c r="U228" s="186"/>
    </row>
    <row r="229" spans="1:21" x14ac:dyDescent="0.25">
      <c r="A229" s="638" t="s">
        <v>883</v>
      </c>
      <c r="B229" s="637">
        <v>0.65149999999999997</v>
      </c>
      <c r="C229" s="638"/>
      <c r="D229" s="186" t="s">
        <v>319</v>
      </c>
      <c r="E229" s="186" t="s">
        <v>319</v>
      </c>
      <c r="F229" s="186" t="s">
        <v>319</v>
      </c>
      <c r="G229" s="186" t="s">
        <v>614</v>
      </c>
      <c r="H229" s="186" t="s">
        <v>339</v>
      </c>
      <c r="I229" s="186">
        <v>10000</v>
      </c>
      <c r="J229" s="186" t="s">
        <v>321</v>
      </c>
      <c r="K229" s="186" t="s">
        <v>340</v>
      </c>
      <c r="L229" s="186" t="s">
        <v>811</v>
      </c>
      <c r="M229" s="186" t="s">
        <v>812</v>
      </c>
      <c r="N229" s="186" t="s">
        <v>325</v>
      </c>
      <c r="O229" s="186" t="s">
        <v>818</v>
      </c>
      <c r="P229" s="186" t="s">
        <v>884</v>
      </c>
      <c r="Q229" s="186" t="s">
        <v>339</v>
      </c>
      <c r="R229" s="186" t="b">
        <v>1</v>
      </c>
      <c r="S229" s="186"/>
      <c r="T229" s="186"/>
      <c r="U229" s="186"/>
    </row>
    <row r="230" spans="1:21" x14ac:dyDescent="0.25">
      <c r="A230" s="638" t="s">
        <v>883</v>
      </c>
      <c r="B230" s="637">
        <v>0.69989999999999997</v>
      </c>
      <c r="C230" s="638"/>
      <c r="D230" s="186" t="s">
        <v>319</v>
      </c>
      <c r="E230" s="186" t="s">
        <v>319</v>
      </c>
      <c r="F230" s="186" t="s">
        <v>319</v>
      </c>
      <c r="G230" s="186" t="s">
        <v>614</v>
      </c>
      <c r="H230" s="186" t="s">
        <v>339</v>
      </c>
      <c r="I230" s="186">
        <v>10000</v>
      </c>
      <c r="J230" s="186" t="s">
        <v>321</v>
      </c>
      <c r="K230" s="186" t="s">
        <v>340</v>
      </c>
      <c r="L230" s="186" t="s">
        <v>811</v>
      </c>
      <c r="M230" s="186" t="s">
        <v>812</v>
      </c>
      <c r="N230" s="186" t="s">
        <v>325</v>
      </c>
      <c r="O230" s="186" t="s">
        <v>819</v>
      </c>
      <c r="P230" s="186" t="s">
        <v>884</v>
      </c>
      <c r="Q230" s="186" t="s">
        <v>339</v>
      </c>
      <c r="R230" s="186" t="b">
        <v>1</v>
      </c>
      <c r="S230" s="186"/>
      <c r="T230" s="186"/>
      <c r="U230" s="186"/>
    </row>
    <row r="231" spans="1:21" x14ac:dyDescent="0.25">
      <c r="A231" s="638" t="s">
        <v>883</v>
      </c>
      <c r="B231" s="637">
        <v>0.80400000000000005</v>
      </c>
      <c r="C231" s="638"/>
      <c r="D231" s="186" t="s">
        <v>319</v>
      </c>
      <c r="E231" s="186" t="s">
        <v>319</v>
      </c>
      <c r="F231" s="186" t="s">
        <v>319</v>
      </c>
      <c r="G231" s="186" t="s">
        <v>614</v>
      </c>
      <c r="H231" s="186" t="s">
        <v>339</v>
      </c>
      <c r="I231" s="186">
        <v>10000</v>
      </c>
      <c r="J231" s="186" t="s">
        <v>321</v>
      </c>
      <c r="K231" s="186" t="s">
        <v>340</v>
      </c>
      <c r="L231" s="186" t="s">
        <v>811</v>
      </c>
      <c r="M231" s="186" t="s">
        <v>812</v>
      </c>
      <c r="N231" s="186" t="s">
        <v>325</v>
      </c>
      <c r="O231" s="186" t="s">
        <v>820</v>
      </c>
      <c r="P231" s="186" t="s">
        <v>884</v>
      </c>
      <c r="Q231" s="186" t="s">
        <v>339</v>
      </c>
      <c r="R231" s="186" t="b">
        <v>1</v>
      </c>
      <c r="S231" s="186"/>
      <c r="T231" s="186"/>
      <c r="U231" s="186"/>
    </row>
    <row r="232" spans="1:21" x14ac:dyDescent="0.25">
      <c r="A232" s="638" t="s">
        <v>883</v>
      </c>
      <c r="B232" s="637">
        <v>0.89929999999999999</v>
      </c>
      <c r="C232" s="638"/>
      <c r="D232" s="186" t="s">
        <v>319</v>
      </c>
      <c r="E232" s="186" t="s">
        <v>319</v>
      </c>
      <c r="F232" s="186" t="s">
        <v>319</v>
      </c>
      <c r="G232" s="186" t="s">
        <v>614</v>
      </c>
      <c r="H232" s="186" t="s">
        <v>339</v>
      </c>
      <c r="I232" s="186">
        <v>10000</v>
      </c>
      <c r="J232" s="186" t="s">
        <v>321</v>
      </c>
      <c r="K232" s="186" t="s">
        <v>340</v>
      </c>
      <c r="L232" s="186" t="s">
        <v>811</v>
      </c>
      <c r="M232" s="186" t="s">
        <v>812</v>
      </c>
      <c r="N232" s="186" t="s">
        <v>325</v>
      </c>
      <c r="O232" s="186" t="s">
        <v>821</v>
      </c>
      <c r="P232" s="186" t="s">
        <v>884</v>
      </c>
      <c r="Q232" s="186" t="s">
        <v>339</v>
      </c>
      <c r="R232" s="186" t="b">
        <v>1</v>
      </c>
      <c r="S232" s="186"/>
      <c r="T232" s="186"/>
      <c r="U232" s="186"/>
    </row>
    <row r="233" spans="1:21" x14ac:dyDescent="0.25">
      <c r="A233" s="638" t="s">
        <v>883</v>
      </c>
      <c r="B233" s="637">
        <v>0.51129999999999998</v>
      </c>
      <c r="C233" s="638"/>
      <c r="D233" s="186" t="s">
        <v>319</v>
      </c>
      <c r="E233" s="186" t="s">
        <v>319</v>
      </c>
      <c r="F233" s="186" t="s">
        <v>319</v>
      </c>
      <c r="G233" s="186" t="s">
        <v>614</v>
      </c>
      <c r="H233" s="186" t="s">
        <v>339</v>
      </c>
      <c r="I233" s="186">
        <v>20000</v>
      </c>
      <c r="J233" s="186" t="s">
        <v>321</v>
      </c>
      <c r="K233" s="186" t="s">
        <v>340</v>
      </c>
      <c r="L233" s="186" t="s">
        <v>811</v>
      </c>
      <c r="M233" s="186" t="s">
        <v>812</v>
      </c>
      <c r="N233" s="186" t="s">
        <v>325</v>
      </c>
      <c r="O233" s="186" t="s">
        <v>815</v>
      </c>
      <c r="P233" s="186" t="s">
        <v>884</v>
      </c>
      <c r="Q233" s="186" t="s">
        <v>339</v>
      </c>
      <c r="R233" s="186" t="b">
        <v>1</v>
      </c>
      <c r="S233" s="186"/>
      <c r="T233" s="186"/>
      <c r="U233" s="186"/>
    </row>
    <row r="234" spans="1:21" x14ac:dyDescent="0.25">
      <c r="A234" s="638" t="s">
        <v>883</v>
      </c>
      <c r="B234" s="637">
        <v>0.51129999999999998</v>
      </c>
      <c r="C234" s="638"/>
      <c r="D234" s="186" t="s">
        <v>319</v>
      </c>
      <c r="E234" s="186" t="s">
        <v>319</v>
      </c>
      <c r="F234" s="186" t="s">
        <v>319</v>
      </c>
      <c r="G234" s="186" t="s">
        <v>614</v>
      </c>
      <c r="H234" s="186" t="s">
        <v>339</v>
      </c>
      <c r="I234" s="186">
        <v>20000</v>
      </c>
      <c r="J234" s="186" t="s">
        <v>321</v>
      </c>
      <c r="K234" s="186" t="s">
        <v>340</v>
      </c>
      <c r="L234" s="186" t="s">
        <v>811</v>
      </c>
      <c r="M234" s="186" t="s">
        <v>812</v>
      </c>
      <c r="N234" s="186" t="s">
        <v>325</v>
      </c>
      <c r="O234" s="186" t="s">
        <v>816</v>
      </c>
      <c r="P234" s="186" t="s">
        <v>884</v>
      </c>
      <c r="Q234" s="186" t="s">
        <v>339</v>
      </c>
      <c r="R234" s="186" t="b">
        <v>1</v>
      </c>
      <c r="S234" s="186"/>
      <c r="T234" s="186"/>
      <c r="U234" s="186"/>
    </row>
    <row r="235" spans="1:21" x14ac:dyDescent="0.25">
      <c r="A235" s="638" t="s">
        <v>883</v>
      </c>
      <c r="B235" s="637">
        <v>0.51129999999999998</v>
      </c>
      <c r="C235" s="638"/>
      <c r="D235" s="186" t="s">
        <v>319</v>
      </c>
      <c r="E235" s="186" t="s">
        <v>319</v>
      </c>
      <c r="F235" s="186" t="s">
        <v>319</v>
      </c>
      <c r="G235" s="186" t="s">
        <v>614</v>
      </c>
      <c r="H235" s="186" t="s">
        <v>339</v>
      </c>
      <c r="I235" s="186">
        <v>20000</v>
      </c>
      <c r="J235" s="186" t="s">
        <v>321</v>
      </c>
      <c r="K235" s="186" t="s">
        <v>340</v>
      </c>
      <c r="L235" s="186" t="s">
        <v>811</v>
      </c>
      <c r="M235" s="186" t="s">
        <v>812</v>
      </c>
      <c r="N235" s="186" t="s">
        <v>325</v>
      </c>
      <c r="O235" s="186" t="s">
        <v>817</v>
      </c>
      <c r="P235" s="186" t="s">
        <v>884</v>
      </c>
      <c r="Q235" s="186" t="s">
        <v>339</v>
      </c>
      <c r="R235" s="186" t="b">
        <v>1</v>
      </c>
      <c r="S235" s="186"/>
      <c r="T235" s="186"/>
      <c r="U235" s="186"/>
    </row>
    <row r="236" spans="1:21" x14ac:dyDescent="0.25">
      <c r="A236" s="638" t="s">
        <v>883</v>
      </c>
      <c r="B236" s="637">
        <v>0.53320000000000001</v>
      </c>
      <c r="C236" s="638"/>
      <c r="D236" s="186" t="s">
        <v>319</v>
      </c>
      <c r="E236" s="186" t="s">
        <v>319</v>
      </c>
      <c r="F236" s="186" t="s">
        <v>319</v>
      </c>
      <c r="G236" s="186" t="s">
        <v>614</v>
      </c>
      <c r="H236" s="186" t="s">
        <v>339</v>
      </c>
      <c r="I236" s="186">
        <v>20000</v>
      </c>
      <c r="J236" s="186" t="s">
        <v>321</v>
      </c>
      <c r="K236" s="186" t="s">
        <v>340</v>
      </c>
      <c r="L236" s="186" t="s">
        <v>811</v>
      </c>
      <c r="M236" s="186" t="s">
        <v>812</v>
      </c>
      <c r="N236" s="186" t="s">
        <v>325</v>
      </c>
      <c r="O236" s="186" t="s">
        <v>818</v>
      </c>
      <c r="P236" s="186" t="s">
        <v>884</v>
      </c>
      <c r="Q236" s="186" t="s">
        <v>339</v>
      </c>
      <c r="R236" s="186" t="b">
        <v>1</v>
      </c>
      <c r="S236" s="186"/>
      <c r="T236" s="186"/>
      <c r="U236" s="186"/>
    </row>
    <row r="237" spans="1:21" x14ac:dyDescent="0.25">
      <c r="A237" s="638" t="s">
        <v>883</v>
      </c>
      <c r="B237" s="637">
        <v>0.59219999999999995</v>
      </c>
      <c r="C237" s="638"/>
      <c r="D237" s="186" t="s">
        <v>319</v>
      </c>
      <c r="E237" s="186" t="s">
        <v>319</v>
      </c>
      <c r="F237" s="186" t="s">
        <v>319</v>
      </c>
      <c r="G237" s="186" t="s">
        <v>614</v>
      </c>
      <c r="H237" s="186" t="s">
        <v>339</v>
      </c>
      <c r="I237" s="186">
        <v>20000</v>
      </c>
      <c r="J237" s="186" t="s">
        <v>321</v>
      </c>
      <c r="K237" s="186" t="s">
        <v>340</v>
      </c>
      <c r="L237" s="186" t="s">
        <v>811</v>
      </c>
      <c r="M237" s="186" t="s">
        <v>812</v>
      </c>
      <c r="N237" s="186" t="s">
        <v>325</v>
      </c>
      <c r="O237" s="186" t="s">
        <v>819</v>
      </c>
      <c r="P237" s="186" t="s">
        <v>884</v>
      </c>
      <c r="Q237" s="186" t="s">
        <v>339</v>
      </c>
      <c r="R237" s="186" t="b">
        <v>1</v>
      </c>
      <c r="S237" s="186"/>
      <c r="T237" s="186"/>
      <c r="U237" s="186"/>
    </row>
    <row r="238" spans="1:21" x14ac:dyDescent="0.25">
      <c r="A238" s="638" t="s">
        <v>883</v>
      </c>
      <c r="B238" s="637">
        <v>0.69479999999999997</v>
      </c>
      <c r="C238" s="638"/>
      <c r="D238" s="186" t="s">
        <v>319</v>
      </c>
      <c r="E238" s="186" t="s">
        <v>319</v>
      </c>
      <c r="F238" s="186" t="s">
        <v>319</v>
      </c>
      <c r="G238" s="186" t="s">
        <v>614</v>
      </c>
      <c r="H238" s="186" t="s">
        <v>339</v>
      </c>
      <c r="I238" s="186">
        <v>20000</v>
      </c>
      <c r="J238" s="186" t="s">
        <v>321</v>
      </c>
      <c r="K238" s="186" t="s">
        <v>340</v>
      </c>
      <c r="L238" s="186" t="s">
        <v>811</v>
      </c>
      <c r="M238" s="186" t="s">
        <v>812</v>
      </c>
      <c r="N238" s="186" t="s">
        <v>325</v>
      </c>
      <c r="O238" s="186" t="s">
        <v>820</v>
      </c>
      <c r="P238" s="186" t="s">
        <v>884</v>
      </c>
      <c r="Q238" s="186" t="s">
        <v>339</v>
      </c>
      <c r="R238" s="186" t="b">
        <v>1</v>
      </c>
      <c r="S238" s="186"/>
      <c r="T238" s="186"/>
      <c r="U238" s="186"/>
    </row>
    <row r="239" spans="1:21" x14ac:dyDescent="0.25">
      <c r="A239" s="638" t="s">
        <v>883</v>
      </c>
      <c r="B239" s="637">
        <v>0.83760000000000001</v>
      </c>
      <c r="C239" s="638"/>
      <c r="D239" s="186" t="s">
        <v>319</v>
      </c>
      <c r="E239" s="186" t="s">
        <v>319</v>
      </c>
      <c r="F239" s="186" t="s">
        <v>319</v>
      </c>
      <c r="G239" s="186" t="s">
        <v>614</v>
      </c>
      <c r="H239" s="186" t="s">
        <v>339</v>
      </c>
      <c r="I239" s="186">
        <v>20000</v>
      </c>
      <c r="J239" s="186" t="s">
        <v>321</v>
      </c>
      <c r="K239" s="186" t="s">
        <v>340</v>
      </c>
      <c r="L239" s="186" t="s">
        <v>811</v>
      </c>
      <c r="M239" s="186" t="s">
        <v>812</v>
      </c>
      <c r="N239" s="186" t="s">
        <v>325</v>
      </c>
      <c r="O239" s="186" t="s">
        <v>821</v>
      </c>
      <c r="P239" s="186" t="s">
        <v>884</v>
      </c>
      <c r="Q239" s="186" t="s">
        <v>339</v>
      </c>
      <c r="R239" s="186" t="b">
        <v>1</v>
      </c>
      <c r="S239" s="186"/>
      <c r="T239" s="186"/>
      <c r="U239" s="186"/>
    </row>
    <row r="240" spans="1:21" x14ac:dyDescent="0.25">
      <c r="A240" s="638" t="s">
        <v>883</v>
      </c>
      <c r="B240" s="637">
        <v>0.44240000000000002</v>
      </c>
      <c r="C240" s="638"/>
      <c r="D240" s="186" t="s">
        <v>319</v>
      </c>
      <c r="E240" s="186" t="s">
        <v>319</v>
      </c>
      <c r="F240" s="186" t="s">
        <v>319</v>
      </c>
      <c r="G240" s="186" t="s">
        <v>614</v>
      </c>
      <c r="H240" s="186" t="s">
        <v>339</v>
      </c>
      <c r="I240" s="186">
        <v>50000</v>
      </c>
      <c r="J240" s="186" t="s">
        <v>321</v>
      </c>
      <c r="K240" s="186" t="s">
        <v>340</v>
      </c>
      <c r="L240" s="186" t="s">
        <v>811</v>
      </c>
      <c r="M240" s="186" t="s">
        <v>812</v>
      </c>
      <c r="N240" s="186" t="s">
        <v>325</v>
      </c>
      <c r="O240" s="186" t="s">
        <v>818</v>
      </c>
      <c r="P240" s="186" t="s">
        <v>884</v>
      </c>
      <c r="Q240" s="186" t="s">
        <v>339</v>
      </c>
      <c r="R240" s="186" t="b">
        <v>1</v>
      </c>
      <c r="S240" s="186"/>
      <c r="T240" s="186"/>
      <c r="U240" s="186"/>
    </row>
    <row r="241" spans="1:21" x14ac:dyDescent="0.25">
      <c r="A241" s="638" t="s">
        <v>883</v>
      </c>
      <c r="B241" s="637">
        <v>0.44500000000000001</v>
      </c>
      <c r="C241" s="638"/>
      <c r="D241" s="186" t="s">
        <v>319</v>
      </c>
      <c r="E241" s="186" t="s">
        <v>319</v>
      </c>
      <c r="F241" s="186" t="s">
        <v>319</v>
      </c>
      <c r="G241" s="186" t="s">
        <v>614</v>
      </c>
      <c r="H241" s="186" t="s">
        <v>339</v>
      </c>
      <c r="I241" s="186">
        <v>50000</v>
      </c>
      <c r="J241" s="186" t="s">
        <v>321</v>
      </c>
      <c r="K241" s="186" t="s">
        <v>340</v>
      </c>
      <c r="L241" s="186" t="s">
        <v>811</v>
      </c>
      <c r="M241" s="186" t="s">
        <v>812</v>
      </c>
      <c r="N241" s="186" t="s">
        <v>325</v>
      </c>
      <c r="O241" s="186" t="s">
        <v>819</v>
      </c>
      <c r="P241" s="186" t="s">
        <v>884</v>
      </c>
      <c r="Q241" s="186" t="s">
        <v>339</v>
      </c>
      <c r="R241" s="186" t="b">
        <v>1</v>
      </c>
      <c r="S241" s="186"/>
      <c r="T241" s="186"/>
      <c r="U241" s="186"/>
    </row>
    <row r="242" spans="1:21" x14ac:dyDescent="0.25">
      <c r="A242" s="638" t="s">
        <v>883</v>
      </c>
      <c r="B242" s="637">
        <v>0.49399999999999999</v>
      </c>
      <c r="C242" s="638"/>
      <c r="D242" s="186" t="s">
        <v>319</v>
      </c>
      <c r="E242" s="186" t="s">
        <v>319</v>
      </c>
      <c r="F242" s="186" t="s">
        <v>319</v>
      </c>
      <c r="G242" s="186" t="s">
        <v>614</v>
      </c>
      <c r="H242" s="186" t="s">
        <v>339</v>
      </c>
      <c r="I242" s="186">
        <v>50000</v>
      </c>
      <c r="J242" s="186" t="s">
        <v>321</v>
      </c>
      <c r="K242" s="186" t="s">
        <v>340</v>
      </c>
      <c r="L242" s="186" t="s">
        <v>811</v>
      </c>
      <c r="M242" s="186" t="s">
        <v>812</v>
      </c>
      <c r="N242" s="186" t="s">
        <v>325</v>
      </c>
      <c r="O242" s="186" t="s">
        <v>820</v>
      </c>
      <c r="P242" s="186" t="s">
        <v>884</v>
      </c>
      <c r="Q242" s="186" t="s">
        <v>339</v>
      </c>
      <c r="R242" s="186" t="b">
        <v>1</v>
      </c>
      <c r="S242" s="186"/>
      <c r="T242" s="186"/>
      <c r="U242" s="186"/>
    </row>
    <row r="243" spans="1:21" x14ac:dyDescent="0.25">
      <c r="A243" s="638" t="s">
        <v>883</v>
      </c>
      <c r="B243" s="637">
        <v>0.69010000000000005</v>
      </c>
      <c r="C243" s="638"/>
      <c r="D243" s="186" t="s">
        <v>319</v>
      </c>
      <c r="E243" s="186" t="s">
        <v>319</v>
      </c>
      <c r="F243" s="186" t="s">
        <v>319</v>
      </c>
      <c r="G243" s="186" t="s">
        <v>614</v>
      </c>
      <c r="H243" s="186" t="s">
        <v>339</v>
      </c>
      <c r="I243" s="186">
        <v>50000</v>
      </c>
      <c r="J243" s="186" t="s">
        <v>321</v>
      </c>
      <c r="K243" s="186" t="s">
        <v>340</v>
      </c>
      <c r="L243" s="186" t="s">
        <v>811</v>
      </c>
      <c r="M243" s="186" t="s">
        <v>812</v>
      </c>
      <c r="N243" s="186" t="s">
        <v>325</v>
      </c>
      <c r="O243" s="186" t="s">
        <v>821</v>
      </c>
      <c r="P243" s="186" t="s">
        <v>884</v>
      </c>
      <c r="Q243" s="186" t="s">
        <v>339</v>
      </c>
      <c r="R243" s="186" t="b">
        <v>1</v>
      </c>
      <c r="S243" s="186"/>
      <c r="T243" s="186"/>
      <c r="U243" s="186"/>
    </row>
    <row r="244" spans="1:21" x14ac:dyDescent="0.25">
      <c r="A244" s="638" t="s">
        <v>883</v>
      </c>
      <c r="B244" s="637">
        <v>0.36530000000000001</v>
      </c>
      <c r="C244" s="638"/>
      <c r="D244" s="186" t="s">
        <v>319</v>
      </c>
      <c r="E244" s="186" t="s">
        <v>319</v>
      </c>
      <c r="F244" s="186" t="s">
        <v>319</v>
      </c>
      <c r="G244" s="186" t="s">
        <v>614</v>
      </c>
      <c r="H244" s="186" t="s">
        <v>339</v>
      </c>
      <c r="I244" s="186">
        <v>100000</v>
      </c>
      <c r="J244" s="186" t="s">
        <v>321</v>
      </c>
      <c r="K244" s="186" t="s">
        <v>340</v>
      </c>
      <c r="L244" s="186" t="s">
        <v>811</v>
      </c>
      <c r="M244" s="186" t="s">
        <v>812</v>
      </c>
      <c r="N244" s="186" t="s">
        <v>325</v>
      </c>
      <c r="O244" s="186" t="s">
        <v>819</v>
      </c>
      <c r="P244" s="186" t="s">
        <v>884</v>
      </c>
      <c r="Q244" s="186" t="s">
        <v>339</v>
      </c>
      <c r="R244" s="186" t="b">
        <v>1</v>
      </c>
      <c r="S244" s="186"/>
      <c r="T244" s="186"/>
      <c r="U244" s="186"/>
    </row>
    <row r="245" spans="1:21" x14ac:dyDescent="0.25">
      <c r="A245" s="638" t="s">
        <v>883</v>
      </c>
      <c r="B245" s="637">
        <v>0.40310000000000001</v>
      </c>
      <c r="C245" s="638"/>
      <c r="D245" s="186" t="s">
        <v>319</v>
      </c>
      <c r="E245" s="186" t="s">
        <v>319</v>
      </c>
      <c r="F245" s="186" t="s">
        <v>319</v>
      </c>
      <c r="G245" s="186" t="s">
        <v>614</v>
      </c>
      <c r="H245" s="186" t="s">
        <v>339</v>
      </c>
      <c r="I245" s="186">
        <v>100000</v>
      </c>
      <c r="J245" s="186" t="s">
        <v>321</v>
      </c>
      <c r="K245" s="186" t="s">
        <v>340</v>
      </c>
      <c r="L245" s="186" t="s">
        <v>811</v>
      </c>
      <c r="M245" s="186" t="s">
        <v>812</v>
      </c>
      <c r="N245" s="186" t="s">
        <v>325</v>
      </c>
      <c r="O245" s="186" t="s">
        <v>820</v>
      </c>
      <c r="P245" s="186" t="s">
        <v>884</v>
      </c>
      <c r="Q245" s="186" t="s">
        <v>339</v>
      </c>
      <c r="R245" s="186" t="b">
        <v>1</v>
      </c>
      <c r="S245" s="186"/>
      <c r="T245" s="186"/>
      <c r="U245" s="186"/>
    </row>
    <row r="246" spans="1:21" x14ac:dyDescent="0.25">
      <c r="A246" s="638" t="s">
        <v>883</v>
      </c>
      <c r="B246" s="637">
        <v>0.52139999999999997</v>
      </c>
      <c r="C246" s="638"/>
      <c r="D246" s="186" t="s">
        <v>319</v>
      </c>
      <c r="E246" s="186" t="s">
        <v>319</v>
      </c>
      <c r="F246" s="186" t="s">
        <v>319</v>
      </c>
      <c r="G246" s="186" t="s">
        <v>614</v>
      </c>
      <c r="H246" s="186" t="s">
        <v>339</v>
      </c>
      <c r="I246" s="186">
        <v>100000</v>
      </c>
      <c r="J246" s="186" t="s">
        <v>321</v>
      </c>
      <c r="K246" s="186" t="s">
        <v>340</v>
      </c>
      <c r="L246" s="186" t="s">
        <v>811</v>
      </c>
      <c r="M246" s="186" t="s">
        <v>812</v>
      </c>
      <c r="N246" s="186" t="s">
        <v>325</v>
      </c>
      <c r="O246" s="186" t="s">
        <v>821</v>
      </c>
      <c r="P246" s="186" t="s">
        <v>884</v>
      </c>
      <c r="Q246" s="186" t="s">
        <v>339</v>
      </c>
      <c r="R246" s="186" t="b">
        <v>1</v>
      </c>
      <c r="S246" s="186"/>
      <c r="T246" s="186"/>
      <c r="U246" s="186"/>
    </row>
    <row r="247" spans="1:21" x14ac:dyDescent="0.25">
      <c r="A247" s="186" t="s">
        <v>822</v>
      </c>
      <c r="B247" s="400">
        <v>1</v>
      </c>
      <c r="C247" s="186"/>
      <c r="D247" s="186" t="s">
        <v>319</v>
      </c>
      <c r="E247" s="186" t="s">
        <v>319</v>
      </c>
      <c r="F247" s="186" t="s">
        <v>319</v>
      </c>
      <c r="G247" s="186" t="s">
        <v>823</v>
      </c>
      <c r="H247" s="186" t="s">
        <v>339</v>
      </c>
      <c r="I247" s="186" t="s">
        <v>320</v>
      </c>
      <c r="J247" s="186" t="s">
        <v>614</v>
      </c>
      <c r="K247" s="186" t="s">
        <v>339</v>
      </c>
      <c r="L247" s="186" t="s">
        <v>824</v>
      </c>
      <c r="M247" s="186" t="s">
        <v>812</v>
      </c>
      <c r="N247" s="186" t="s">
        <v>325</v>
      </c>
      <c r="O247" s="186" t="s">
        <v>825</v>
      </c>
      <c r="P247" s="186"/>
      <c r="Q247" s="186"/>
      <c r="R247" s="186"/>
      <c r="S247" s="186"/>
      <c r="T247" s="186"/>
      <c r="U247" s="186"/>
    </row>
    <row r="248" spans="1:21" x14ac:dyDescent="0.25">
      <c r="A248" s="186" t="s">
        <v>822</v>
      </c>
      <c r="B248" s="400">
        <v>1</v>
      </c>
      <c r="C248" s="186"/>
      <c r="D248" s="186" t="s">
        <v>319</v>
      </c>
      <c r="E248" s="186" t="s">
        <v>319</v>
      </c>
      <c r="F248" s="186" t="s">
        <v>319</v>
      </c>
      <c r="G248" s="186" t="s">
        <v>823</v>
      </c>
      <c r="H248" s="186" t="s">
        <v>339</v>
      </c>
      <c r="I248" s="186" t="s">
        <v>320</v>
      </c>
      <c r="J248" s="186" t="s">
        <v>614</v>
      </c>
      <c r="K248" s="186" t="s">
        <v>339</v>
      </c>
      <c r="L248" s="186" t="s">
        <v>824</v>
      </c>
      <c r="M248" s="186" t="s">
        <v>812</v>
      </c>
      <c r="N248" s="186" t="s">
        <v>325</v>
      </c>
      <c r="O248" s="186" t="s">
        <v>826</v>
      </c>
      <c r="P248" s="186"/>
      <c r="Q248" s="186"/>
      <c r="R248" s="186"/>
      <c r="S248" s="186"/>
      <c r="T248" s="186"/>
      <c r="U248" s="186"/>
    </row>
    <row r="249" spans="1:21" x14ac:dyDescent="0.25">
      <c r="A249" s="186" t="s">
        <v>822</v>
      </c>
      <c r="B249" s="400">
        <v>1</v>
      </c>
      <c r="C249" s="186"/>
      <c r="D249" s="186" t="s">
        <v>319</v>
      </c>
      <c r="E249" s="186" t="s">
        <v>319</v>
      </c>
      <c r="F249" s="186" t="s">
        <v>319</v>
      </c>
      <c r="G249" s="186" t="s">
        <v>823</v>
      </c>
      <c r="H249" s="186" t="s">
        <v>339</v>
      </c>
      <c r="I249" s="186" t="s">
        <v>320</v>
      </c>
      <c r="J249" s="186" t="s">
        <v>614</v>
      </c>
      <c r="K249" s="186" t="s">
        <v>339</v>
      </c>
      <c r="L249" s="186" t="s">
        <v>824</v>
      </c>
      <c r="M249" s="186" t="s">
        <v>812</v>
      </c>
      <c r="N249" s="186" t="s">
        <v>325</v>
      </c>
      <c r="O249" s="186" t="s">
        <v>827</v>
      </c>
      <c r="P249" s="186"/>
      <c r="Q249" s="186"/>
      <c r="R249" s="186"/>
      <c r="S249" s="186"/>
      <c r="T249" s="186"/>
      <c r="U249" s="186"/>
    </row>
    <row r="250" spans="1:21" x14ac:dyDescent="0.25">
      <c r="A250" s="186" t="s">
        <v>822</v>
      </c>
      <c r="B250" s="400">
        <v>1</v>
      </c>
      <c r="C250" s="186"/>
      <c r="D250" s="186" t="s">
        <v>319</v>
      </c>
      <c r="E250" s="186" t="s">
        <v>319</v>
      </c>
      <c r="F250" s="186" t="s">
        <v>319</v>
      </c>
      <c r="G250" s="186" t="s">
        <v>823</v>
      </c>
      <c r="H250" s="186" t="s">
        <v>339</v>
      </c>
      <c r="I250" s="186" t="s">
        <v>320</v>
      </c>
      <c r="J250" s="186" t="s">
        <v>614</v>
      </c>
      <c r="K250" s="186" t="s">
        <v>339</v>
      </c>
      <c r="L250" s="186" t="s">
        <v>824</v>
      </c>
      <c r="M250" s="186" t="s">
        <v>812</v>
      </c>
      <c r="N250" s="186" t="s">
        <v>325</v>
      </c>
      <c r="O250" s="186" t="s">
        <v>828</v>
      </c>
      <c r="P250" s="186"/>
      <c r="Q250" s="186"/>
      <c r="R250" s="186"/>
      <c r="S250" s="186"/>
      <c r="T250" s="186"/>
      <c r="U250" s="186"/>
    </row>
    <row r="251" spans="1:21" x14ac:dyDescent="0.25">
      <c r="A251" s="186" t="s">
        <v>822</v>
      </c>
      <c r="B251" s="400">
        <v>1</v>
      </c>
      <c r="C251" s="186"/>
      <c r="D251" s="186" t="s">
        <v>319</v>
      </c>
      <c r="E251" s="186" t="s">
        <v>319</v>
      </c>
      <c r="F251" s="186" t="s">
        <v>319</v>
      </c>
      <c r="G251" s="186" t="s">
        <v>823</v>
      </c>
      <c r="H251" s="186" t="s">
        <v>339</v>
      </c>
      <c r="I251" s="186" t="s">
        <v>320</v>
      </c>
      <c r="J251" s="186" t="s">
        <v>614</v>
      </c>
      <c r="K251" s="186" t="s">
        <v>339</v>
      </c>
      <c r="L251" s="186" t="s">
        <v>824</v>
      </c>
      <c r="M251" s="186" t="s">
        <v>812</v>
      </c>
      <c r="N251" s="186" t="s">
        <v>325</v>
      </c>
      <c r="O251" s="186" t="s">
        <v>829</v>
      </c>
      <c r="P251" s="186"/>
      <c r="Q251" s="186"/>
      <c r="R251" s="186"/>
      <c r="S251" s="186"/>
      <c r="T251" s="186"/>
      <c r="U251" s="186"/>
    </row>
    <row r="252" spans="1:21" x14ac:dyDescent="0.25">
      <c r="A252" s="186" t="s">
        <v>822</v>
      </c>
      <c r="B252" s="400">
        <v>0.91</v>
      </c>
      <c r="C252" s="186"/>
      <c r="D252" s="186" t="s">
        <v>319</v>
      </c>
      <c r="E252" s="186" t="s">
        <v>319</v>
      </c>
      <c r="F252" s="186" t="s">
        <v>319</v>
      </c>
      <c r="G252" s="186" t="s">
        <v>823</v>
      </c>
      <c r="H252" s="186" t="s">
        <v>339</v>
      </c>
      <c r="I252" s="186" t="s">
        <v>320</v>
      </c>
      <c r="J252" s="186" t="s">
        <v>614</v>
      </c>
      <c r="K252" s="186" t="s">
        <v>339</v>
      </c>
      <c r="L252" s="186" t="s">
        <v>831</v>
      </c>
      <c r="M252" s="186" t="s">
        <v>812</v>
      </c>
      <c r="N252" s="186" t="s">
        <v>325</v>
      </c>
      <c r="O252" s="186" t="s">
        <v>825</v>
      </c>
      <c r="P252" s="186"/>
      <c r="Q252" s="186"/>
      <c r="R252" s="186"/>
      <c r="S252" s="186"/>
      <c r="T252" s="186"/>
      <c r="U252" s="186"/>
    </row>
    <row r="253" spans="1:21" x14ac:dyDescent="0.25">
      <c r="A253" s="186" t="s">
        <v>822</v>
      </c>
      <c r="B253" s="400">
        <v>0.91</v>
      </c>
      <c r="C253" s="186"/>
      <c r="D253" s="186" t="s">
        <v>319</v>
      </c>
      <c r="E253" s="186" t="s">
        <v>319</v>
      </c>
      <c r="F253" s="186" t="s">
        <v>319</v>
      </c>
      <c r="G253" s="186" t="s">
        <v>823</v>
      </c>
      <c r="H253" s="186" t="s">
        <v>339</v>
      </c>
      <c r="I253" s="186" t="s">
        <v>320</v>
      </c>
      <c r="J253" s="186" t="s">
        <v>614</v>
      </c>
      <c r="K253" s="186" t="s">
        <v>339</v>
      </c>
      <c r="L253" s="186" t="s">
        <v>831</v>
      </c>
      <c r="M253" s="186" t="s">
        <v>812</v>
      </c>
      <c r="N253" s="186" t="s">
        <v>325</v>
      </c>
      <c r="O253" s="186" t="s">
        <v>826</v>
      </c>
      <c r="P253" s="186"/>
      <c r="Q253" s="186"/>
      <c r="R253" s="186"/>
      <c r="S253" s="186"/>
      <c r="T253" s="186"/>
      <c r="U253" s="186"/>
    </row>
    <row r="254" spans="1:21" x14ac:dyDescent="0.25">
      <c r="A254" s="186" t="s">
        <v>822</v>
      </c>
      <c r="B254" s="400">
        <v>0.91</v>
      </c>
      <c r="C254" s="186"/>
      <c r="D254" s="186" t="s">
        <v>319</v>
      </c>
      <c r="E254" s="186" t="s">
        <v>319</v>
      </c>
      <c r="F254" s="186" t="s">
        <v>319</v>
      </c>
      <c r="G254" s="186" t="s">
        <v>823</v>
      </c>
      <c r="H254" s="186" t="s">
        <v>339</v>
      </c>
      <c r="I254" s="186" t="s">
        <v>320</v>
      </c>
      <c r="J254" s="186" t="s">
        <v>614</v>
      </c>
      <c r="K254" s="186" t="s">
        <v>339</v>
      </c>
      <c r="L254" s="186" t="s">
        <v>831</v>
      </c>
      <c r="M254" s="186" t="s">
        <v>812</v>
      </c>
      <c r="N254" s="186" t="s">
        <v>325</v>
      </c>
      <c r="O254" s="186" t="s">
        <v>827</v>
      </c>
      <c r="P254" s="186"/>
      <c r="Q254" s="186"/>
      <c r="R254" s="186"/>
      <c r="S254" s="186"/>
      <c r="T254" s="186"/>
      <c r="U254" s="186"/>
    </row>
    <row r="255" spans="1:21" x14ac:dyDescent="0.25">
      <c r="A255" s="186" t="s">
        <v>822</v>
      </c>
      <c r="B255" s="400">
        <v>0.91</v>
      </c>
      <c r="C255" s="186"/>
      <c r="D255" s="186" t="s">
        <v>319</v>
      </c>
      <c r="E255" s="186" t="s">
        <v>319</v>
      </c>
      <c r="F255" s="186" t="s">
        <v>319</v>
      </c>
      <c r="G255" s="186" t="s">
        <v>823</v>
      </c>
      <c r="H255" s="186" t="s">
        <v>339</v>
      </c>
      <c r="I255" s="186" t="s">
        <v>320</v>
      </c>
      <c r="J255" s="186" t="s">
        <v>614</v>
      </c>
      <c r="K255" s="186" t="s">
        <v>339</v>
      </c>
      <c r="L255" s="186" t="s">
        <v>831</v>
      </c>
      <c r="M255" s="186" t="s">
        <v>812</v>
      </c>
      <c r="N255" s="186" t="s">
        <v>325</v>
      </c>
      <c r="O255" s="186" t="s">
        <v>828</v>
      </c>
      <c r="P255" s="186"/>
      <c r="Q255" s="186"/>
      <c r="R255" s="186"/>
      <c r="S255" s="186"/>
      <c r="T255" s="186"/>
      <c r="U255" s="186"/>
    </row>
    <row r="256" spans="1:21" x14ac:dyDescent="0.25">
      <c r="A256" s="186" t="s">
        <v>822</v>
      </c>
      <c r="B256" s="400">
        <v>0.8</v>
      </c>
      <c r="C256" s="186"/>
      <c r="D256" s="186" t="s">
        <v>319</v>
      </c>
      <c r="E256" s="186" t="s">
        <v>319</v>
      </c>
      <c r="F256" s="186" t="s">
        <v>319</v>
      </c>
      <c r="G256" s="186" t="s">
        <v>823</v>
      </c>
      <c r="H256" s="186" t="s">
        <v>339</v>
      </c>
      <c r="I256" s="186" t="s">
        <v>320</v>
      </c>
      <c r="J256" s="186" t="s">
        <v>614</v>
      </c>
      <c r="K256" s="186" t="s">
        <v>339</v>
      </c>
      <c r="L256" s="186" t="s">
        <v>833</v>
      </c>
      <c r="M256" s="186" t="s">
        <v>812</v>
      </c>
      <c r="N256" s="186" t="s">
        <v>325</v>
      </c>
      <c r="O256" s="186" t="s">
        <v>826</v>
      </c>
      <c r="P256" s="186"/>
      <c r="Q256" s="186"/>
      <c r="R256" s="186"/>
      <c r="S256" s="186"/>
      <c r="T256" s="186"/>
      <c r="U256" s="186"/>
    </row>
    <row r="257" spans="1:21" x14ac:dyDescent="0.25">
      <c r="A257" s="186" t="s">
        <v>822</v>
      </c>
      <c r="B257" s="400">
        <v>0.8</v>
      </c>
      <c r="C257" s="186"/>
      <c r="D257" s="186" t="s">
        <v>319</v>
      </c>
      <c r="E257" s="186" t="s">
        <v>319</v>
      </c>
      <c r="F257" s="186" t="s">
        <v>319</v>
      </c>
      <c r="G257" s="186" t="s">
        <v>823</v>
      </c>
      <c r="H257" s="186" t="s">
        <v>339</v>
      </c>
      <c r="I257" s="186" t="s">
        <v>320</v>
      </c>
      <c r="J257" s="186" t="s">
        <v>614</v>
      </c>
      <c r="K257" s="186" t="s">
        <v>339</v>
      </c>
      <c r="L257" s="186" t="s">
        <v>833</v>
      </c>
      <c r="M257" s="186" t="s">
        <v>812</v>
      </c>
      <c r="N257" s="186" t="s">
        <v>325</v>
      </c>
      <c r="O257" s="186" t="s">
        <v>828</v>
      </c>
      <c r="P257" s="186"/>
      <c r="Q257" s="186"/>
      <c r="R257" s="186"/>
      <c r="S257" s="186"/>
      <c r="T257" s="186"/>
      <c r="U257" s="186"/>
    </row>
    <row r="258" spans="1:21" x14ac:dyDescent="0.25">
      <c r="A258" s="186" t="s">
        <v>822</v>
      </c>
      <c r="B258" s="400">
        <v>0.8</v>
      </c>
      <c r="C258" s="186"/>
      <c r="D258" s="186" t="s">
        <v>319</v>
      </c>
      <c r="E258" s="186" t="s">
        <v>319</v>
      </c>
      <c r="F258" s="186" t="s">
        <v>319</v>
      </c>
      <c r="G258" s="186" t="s">
        <v>823</v>
      </c>
      <c r="H258" s="186" t="s">
        <v>339</v>
      </c>
      <c r="I258" s="186" t="s">
        <v>320</v>
      </c>
      <c r="J258" s="186" t="s">
        <v>614</v>
      </c>
      <c r="K258" s="186" t="s">
        <v>339</v>
      </c>
      <c r="L258" s="186" t="s">
        <v>833</v>
      </c>
      <c r="M258" s="186" t="s">
        <v>812</v>
      </c>
      <c r="N258" s="186" t="s">
        <v>325</v>
      </c>
      <c r="O258" s="186" t="s">
        <v>829</v>
      </c>
      <c r="P258" s="186"/>
      <c r="Q258" s="186"/>
      <c r="R258" s="186"/>
      <c r="S258" s="186"/>
      <c r="T258" s="186"/>
      <c r="U258" s="186"/>
    </row>
    <row r="259" spans="1:21" x14ac:dyDescent="0.25">
      <c r="A259" s="186" t="s">
        <v>822</v>
      </c>
      <c r="B259" s="400">
        <v>0.6</v>
      </c>
      <c r="C259" s="186"/>
      <c r="D259" s="186" t="s">
        <v>319</v>
      </c>
      <c r="E259" s="186" t="s">
        <v>319</v>
      </c>
      <c r="F259" s="186" t="s">
        <v>319</v>
      </c>
      <c r="G259" s="186" t="s">
        <v>823</v>
      </c>
      <c r="H259" s="186" t="s">
        <v>339</v>
      </c>
      <c r="I259" s="186" t="s">
        <v>320</v>
      </c>
      <c r="J259" s="186" t="s">
        <v>614</v>
      </c>
      <c r="K259" s="186" t="s">
        <v>339</v>
      </c>
      <c r="L259" s="186" t="s">
        <v>834</v>
      </c>
      <c r="M259" s="186" t="s">
        <v>812</v>
      </c>
      <c r="N259" s="186" t="s">
        <v>325</v>
      </c>
      <c r="O259" s="186" t="s">
        <v>829</v>
      </c>
      <c r="P259" s="186"/>
      <c r="Q259" s="186"/>
      <c r="R259" s="186"/>
      <c r="S259" s="186"/>
      <c r="T259" s="186"/>
      <c r="U259" s="186"/>
    </row>
    <row r="260" spans="1:21" x14ac:dyDescent="0.25">
      <c r="A260" s="186" t="s">
        <v>822</v>
      </c>
      <c r="B260" s="400">
        <v>0.89</v>
      </c>
      <c r="C260" s="186"/>
      <c r="D260" s="186" t="s">
        <v>319</v>
      </c>
      <c r="E260" s="186" t="s">
        <v>319</v>
      </c>
      <c r="F260" s="186" t="s">
        <v>319</v>
      </c>
      <c r="G260" s="186" t="s">
        <v>823</v>
      </c>
      <c r="H260" s="186" t="s">
        <v>339</v>
      </c>
      <c r="I260" s="186" t="s">
        <v>320</v>
      </c>
      <c r="J260" s="186" t="s">
        <v>614</v>
      </c>
      <c r="K260" s="186" t="s">
        <v>339</v>
      </c>
      <c r="L260" s="186" t="s">
        <v>835</v>
      </c>
      <c r="M260" s="186" t="s">
        <v>812</v>
      </c>
      <c r="N260" s="186" t="s">
        <v>325</v>
      </c>
      <c r="O260" s="186" t="s">
        <v>826</v>
      </c>
      <c r="P260" s="186"/>
      <c r="Q260" s="186"/>
      <c r="R260" s="186"/>
      <c r="S260" s="186"/>
      <c r="T260" s="186"/>
      <c r="U260" s="186"/>
    </row>
    <row r="261" spans="1:21" x14ac:dyDescent="0.25">
      <c r="A261" s="186" t="s">
        <v>822</v>
      </c>
      <c r="B261" s="400">
        <v>0.89</v>
      </c>
      <c r="C261" s="186"/>
      <c r="D261" s="186" t="s">
        <v>319</v>
      </c>
      <c r="E261" s="186" t="s">
        <v>319</v>
      </c>
      <c r="F261" s="186" t="s">
        <v>319</v>
      </c>
      <c r="G261" s="186" t="s">
        <v>823</v>
      </c>
      <c r="H261" s="186" t="s">
        <v>339</v>
      </c>
      <c r="I261" s="186" t="s">
        <v>320</v>
      </c>
      <c r="J261" s="186" t="s">
        <v>614</v>
      </c>
      <c r="K261" s="186" t="s">
        <v>339</v>
      </c>
      <c r="L261" s="186" t="s">
        <v>835</v>
      </c>
      <c r="M261" s="186" t="s">
        <v>812</v>
      </c>
      <c r="N261" s="186" t="s">
        <v>325</v>
      </c>
      <c r="O261" s="186" t="s">
        <v>827</v>
      </c>
      <c r="P261" s="186"/>
      <c r="Q261" s="186"/>
      <c r="R261" s="186"/>
      <c r="S261" s="186"/>
      <c r="T261" s="186"/>
      <c r="U261" s="186"/>
    </row>
    <row r="262" spans="1:21" x14ac:dyDescent="0.25">
      <c r="A262" s="186" t="s">
        <v>822</v>
      </c>
      <c r="B262" s="400">
        <v>0.89</v>
      </c>
      <c r="C262" s="186"/>
      <c r="D262" s="186" t="s">
        <v>319</v>
      </c>
      <c r="E262" s="186" t="s">
        <v>319</v>
      </c>
      <c r="F262" s="186" t="s">
        <v>319</v>
      </c>
      <c r="G262" s="186" t="s">
        <v>823</v>
      </c>
      <c r="H262" s="186" t="s">
        <v>339</v>
      </c>
      <c r="I262" s="186" t="s">
        <v>320</v>
      </c>
      <c r="J262" s="186" t="s">
        <v>614</v>
      </c>
      <c r="K262" s="186" t="s">
        <v>339</v>
      </c>
      <c r="L262" s="186" t="s">
        <v>835</v>
      </c>
      <c r="M262" s="186" t="s">
        <v>812</v>
      </c>
      <c r="N262" s="186" t="s">
        <v>325</v>
      </c>
      <c r="O262" s="186" t="s">
        <v>828</v>
      </c>
      <c r="P262" s="186"/>
      <c r="Q262" s="186"/>
      <c r="R262" s="186"/>
      <c r="S262" s="186"/>
      <c r="T262" s="186"/>
      <c r="U262" s="186"/>
    </row>
    <row r="263" spans="1:21" x14ac:dyDescent="0.25">
      <c r="A263" s="186" t="s">
        <v>822</v>
      </c>
      <c r="B263" s="400">
        <v>0.89</v>
      </c>
      <c r="C263" s="186"/>
      <c r="D263" s="186" t="s">
        <v>319</v>
      </c>
      <c r="E263" s="186" t="s">
        <v>319</v>
      </c>
      <c r="F263" s="186" t="s">
        <v>319</v>
      </c>
      <c r="G263" s="186" t="s">
        <v>823</v>
      </c>
      <c r="H263" s="186" t="s">
        <v>339</v>
      </c>
      <c r="I263" s="186" t="s">
        <v>320</v>
      </c>
      <c r="J263" s="186" t="s">
        <v>614</v>
      </c>
      <c r="K263" s="186" t="s">
        <v>339</v>
      </c>
      <c r="L263" s="186" t="s">
        <v>835</v>
      </c>
      <c r="M263" s="186" t="s">
        <v>812</v>
      </c>
      <c r="N263" s="186" t="s">
        <v>325</v>
      </c>
      <c r="O263" s="186" t="s">
        <v>829</v>
      </c>
      <c r="P263" s="186"/>
      <c r="Q263" s="186"/>
      <c r="R263" s="186"/>
      <c r="S263" s="186"/>
      <c r="T263" s="186"/>
      <c r="U263" s="186"/>
    </row>
    <row r="264" spans="1:21" x14ac:dyDescent="0.25">
      <c r="A264" s="186" t="s">
        <v>822</v>
      </c>
      <c r="B264" s="400">
        <v>0.7</v>
      </c>
      <c r="C264" s="186"/>
      <c r="D264" s="186" t="s">
        <v>319</v>
      </c>
      <c r="E264" s="186" t="s">
        <v>319</v>
      </c>
      <c r="F264" s="186" t="s">
        <v>319</v>
      </c>
      <c r="G264" s="186" t="s">
        <v>823</v>
      </c>
      <c r="H264" s="186" t="s">
        <v>339</v>
      </c>
      <c r="I264" s="186" t="s">
        <v>320</v>
      </c>
      <c r="J264" s="186" t="s">
        <v>614</v>
      </c>
      <c r="K264" s="186" t="s">
        <v>339</v>
      </c>
      <c r="L264" s="186" t="s">
        <v>836</v>
      </c>
      <c r="M264" s="186" t="s">
        <v>812</v>
      </c>
      <c r="N264" s="186" t="s">
        <v>325</v>
      </c>
      <c r="O264" s="186" t="s">
        <v>826</v>
      </c>
      <c r="P264" s="186"/>
      <c r="Q264" s="186"/>
      <c r="R264" s="186"/>
      <c r="S264" s="186"/>
      <c r="T264" s="186"/>
      <c r="U264" s="186"/>
    </row>
    <row r="265" spans="1:21" x14ac:dyDescent="0.25">
      <c r="A265" s="186" t="s">
        <v>822</v>
      </c>
      <c r="B265" s="400">
        <v>0.7</v>
      </c>
      <c r="C265" s="186"/>
      <c r="D265" s="186" t="s">
        <v>319</v>
      </c>
      <c r="E265" s="186" t="s">
        <v>319</v>
      </c>
      <c r="F265" s="186" t="s">
        <v>319</v>
      </c>
      <c r="G265" s="186" t="s">
        <v>823</v>
      </c>
      <c r="H265" s="186" t="s">
        <v>339</v>
      </c>
      <c r="I265" s="186" t="s">
        <v>320</v>
      </c>
      <c r="J265" s="186" t="s">
        <v>614</v>
      </c>
      <c r="K265" s="186" t="s">
        <v>339</v>
      </c>
      <c r="L265" s="186" t="s">
        <v>836</v>
      </c>
      <c r="M265" s="186" t="s">
        <v>812</v>
      </c>
      <c r="N265" s="186" t="s">
        <v>325</v>
      </c>
      <c r="O265" s="186" t="s">
        <v>829</v>
      </c>
      <c r="P265" s="186"/>
      <c r="Q265" s="186"/>
      <c r="R265" s="186"/>
      <c r="S265" s="186"/>
      <c r="T265" s="186"/>
      <c r="U265" s="186"/>
    </row>
    <row r="266" spans="1:21" x14ac:dyDescent="0.25">
      <c r="A266" s="186" t="s">
        <v>822</v>
      </c>
      <c r="B266" s="400">
        <v>0.87</v>
      </c>
      <c r="C266" s="186"/>
      <c r="D266" s="186" t="s">
        <v>319</v>
      </c>
      <c r="E266" s="186" t="s">
        <v>319</v>
      </c>
      <c r="F266" s="186" t="s">
        <v>319</v>
      </c>
      <c r="G266" s="186" t="s">
        <v>823</v>
      </c>
      <c r="H266" s="186" t="s">
        <v>339</v>
      </c>
      <c r="I266" s="186" t="s">
        <v>320</v>
      </c>
      <c r="J266" s="186" t="s">
        <v>614</v>
      </c>
      <c r="K266" s="186" t="s">
        <v>339</v>
      </c>
      <c r="L266" s="186" t="s">
        <v>837</v>
      </c>
      <c r="M266" s="186" t="s">
        <v>812</v>
      </c>
      <c r="N266" s="186" t="s">
        <v>325</v>
      </c>
      <c r="O266" s="186" t="s">
        <v>826</v>
      </c>
      <c r="P266" s="186"/>
      <c r="Q266" s="186"/>
      <c r="R266" s="186"/>
      <c r="S266" s="186"/>
      <c r="T266" s="186"/>
      <c r="U266" s="186"/>
    </row>
    <row r="267" spans="1:21" x14ac:dyDescent="0.25">
      <c r="A267" s="186" t="s">
        <v>822</v>
      </c>
      <c r="B267" s="400">
        <v>0.87</v>
      </c>
      <c r="C267" s="186"/>
      <c r="D267" s="186" t="s">
        <v>319</v>
      </c>
      <c r="E267" s="186" t="s">
        <v>319</v>
      </c>
      <c r="F267" s="186" t="s">
        <v>319</v>
      </c>
      <c r="G267" s="186" t="s">
        <v>823</v>
      </c>
      <c r="H267" s="186" t="s">
        <v>339</v>
      </c>
      <c r="I267" s="186" t="s">
        <v>320</v>
      </c>
      <c r="J267" s="186" t="s">
        <v>614</v>
      </c>
      <c r="K267" s="186" t="s">
        <v>339</v>
      </c>
      <c r="L267" s="186" t="s">
        <v>837</v>
      </c>
      <c r="M267" s="186" t="s">
        <v>812</v>
      </c>
      <c r="N267" s="186" t="s">
        <v>325</v>
      </c>
      <c r="O267" s="186" t="s">
        <v>827</v>
      </c>
      <c r="P267" s="186"/>
      <c r="Q267" s="186"/>
      <c r="R267" s="186"/>
      <c r="S267" s="186"/>
      <c r="T267" s="186"/>
      <c r="U267" s="186"/>
    </row>
    <row r="268" spans="1:21" x14ac:dyDescent="0.25">
      <c r="A268" s="186" t="s">
        <v>822</v>
      </c>
      <c r="B268" s="400">
        <v>0.87</v>
      </c>
      <c r="C268" s="186"/>
      <c r="D268" s="186" t="s">
        <v>319</v>
      </c>
      <c r="E268" s="186" t="s">
        <v>319</v>
      </c>
      <c r="F268" s="186" t="s">
        <v>319</v>
      </c>
      <c r="G268" s="186" t="s">
        <v>823</v>
      </c>
      <c r="H268" s="186" t="s">
        <v>339</v>
      </c>
      <c r="I268" s="186" t="s">
        <v>320</v>
      </c>
      <c r="J268" s="186" t="s">
        <v>614</v>
      </c>
      <c r="K268" s="186" t="s">
        <v>339</v>
      </c>
      <c r="L268" s="186" t="s">
        <v>837</v>
      </c>
      <c r="M268" s="186" t="s">
        <v>812</v>
      </c>
      <c r="N268" s="186" t="s">
        <v>325</v>
      </c>
      <c r="O268" s="186" t="s">
        <v>828</v>
      </c>
      <c r="P268" s="186"/>
      <c r="Q268" s="186"/>
      <c r="R268" s="186"/>
      <c r="S268" s="186"/>
      <c r="T268" s="186"/>
      <c r="U268" s="186"/>
    </row>
    <row r="269" spans="1:21" x14ac:dyDescent="0.25">
      <c r="A269" s="186" t="s">
        <v>822</v>
      </c>
      <c r="B269" s="400">
        <v>0.87</v>
      </c>
      <c r="C269" s="186"/>
      <c r="D269" s="186" t="s">
        <v>319</v>
      </c>
      <c r="E269" s="186" t="s">
        <v>319</v>
      </c>
      <c r="F269" s="186" t="s">
        <v>319</v>
      </c>
      <c r="G269" s="186" t="s">
        <v>823</v>
      </c>
      <c r="H269" s="186" t="s">
        <v>339</v>
      </c>
      <c r="I269" s="186" t="s">
        <v>320</v>
      </c>
      <c r="J269" s="186" t="s">
        <v>614</v>
      </c>
      <c r="K269" s="186" t="s">
        <v>339</v>
      </c>
      <c r="L269" s="186" t="s">
        <v>837</v>
      </c>
      <c r="M269" s="186" t="s">
        <v>812</v>
      </c>
      <c r="N269" s="186" t="s">
        <v>325</v>
      </c>
      <c r="O269" s="186" t="s">
        <v>829</v>
      </c>
      <c r="P269" s="186"/>
      <c r="Q269" s="186"/>
      <c r="R269" s="186"/>
      <c r="S269" s="186"/>
      <c r="T269" s="186"/>
      <c r="U269" s="186"/>
    </row>
    <row r="270" spans="1:21" x14ac:dyDescent="0.25">
      <c r="A270" s="186" t="s">
        <v>822</v>
      </c>
      <c r="B270" s="400">
        <v>0.95</v>
      </c>
      <c r="C270" s="186"/>
      <c r="D270" s="186" t="s">
        <v>319</v>
      </c>
      <c r="E270" s="186" t="s">
        <v>319</v>
      </c>
      <c r="F270" s="186" t="s">
        <v>319</v>
      </c>
      <c r="G270" s="186" t="s">
        <v>823</v>
      </c>
      <c r="H270" s="186" t="s">
        <v>339</v>
      </c>
      <c r="I270" s="186" t="s">
        <v>320</v>
      </c>
      <c r="J270" s="186" t="s">
        <v>614</v>
      </c>
      <c r="K270" s="186" t="s">
        <v>339</v>
      </c>
      <c r="L270" s="186" t="s">
        <v>838</v>
      </c>
      <c r="M270" s="186" t="s">
        <v>812</v>
      </c>
      <c r="N270" s="186" t="s">
        <v>325</v>
      </c>
      <c r="O270" s="186" t="s">
        <v>825</v>
      </c>
      <c r="P270" s="186"/>
      <c r="Q270" s="186"/>
      <c r="R270" s="186"/>
      <c r="S270" s="186"/>
      <c r="T270" s="186"/>
      <c r="U270" s="186"/>
    </row>
    <row r="271" spans="1:21" x14ac:dyDescent="0.25">
      <c r="A271" s="186" t="s">
        <v>822</v>
      </c>
      <c r="B271" s="400">
        <v>0.95</v>
      </c>
      <c r="C271" s="186"/>
      <c r="D271" s="186" t="s">
        <v>319</v>
      </c>
      <c r="E271" s="186" t="s">
        <v>319</v>
      </c>
      <c r="F271" s="186" t="s">
        <v>319</v>
      </c>
      <c r="G271" s="186" t="s">
        <v>823</v>
      </c>
      <c r="H271" s="186" t="s">
        <v>339</v>
      </c>
      <c r="I271" s="186" t="s">
        <v>320</v>
      </c>
      <c r="J271" s="186" t="s">
        <v>614</v>
      </c>
      <c r="K271" s="186" t="s">
        <v>339</v>
      </c>
      <c r="L271" s="186" t="s">
        <v>838</v>
      </c>
      <c r="M271" s="186" t="s">
        <v>812</v>
      </c>
      <c r="N271" s="186" t="s">
        <v>325</v>
      </c>
      <c r="O271" s="186" t="s">
        <v>827</v>
      </c>
      <c r="P271" s="186"/>
      <c r="Q271" s="186"/>
      <c r="R271" s="186"/>
      <c r="S271" s="186"/>
      <c r="T271" s="186"/>
      <c r="U271" s="186"/>
    </row>
    <row r="272" spans="1:21" x14ac:dyDescent="0.25">
      <c r="A272" s="186" t="s">
        <v>822</v>
      </c>
      <c r="B272" s="400">
        <v>0.84</v>
      </c>
      <c r="C272" s="186"/>
      <c r="D272" s="186" t="s">
        <v>319</v>
      </c>
      <c r="E272" s="186" t="s">
        <v>319</v>
      </c>
      <c r="F272" s="186" t="s">
        <v>319</v>
      </c>
      <c r="G272" s="186" t="s">
        <v>823</v>
      </c>
      <c r="H272" s="186" t="s">
        <v>339</v>
      </c>
      <c r="I272" s="186" t="s">
        <v>320</v>
      </c>
      <c r="J272" s="186" t="s">
        <v>614</v>
      </c>
      <c r="K272" s="186" t="s">
        <v>339</v>
      </c>
      <c r="L272" s="186" t="s">
        <v>839</v>
      </c>
      <c r="M272" s="186" t="s">
        <v>812</v>
      </c>
      <c r="N272" s="186" t="s">
        <v>325</v>
      </c>
      <c r="O272" s="186" t="s">
        <v>826</v>
      </c>
      <c r="P272" s="186"/>
      <c r="Q272" s="186"/>
      <c r="R272" s="186"/>
      <c r="S272" s="186"/>
      <c r="T272" s="186"/>
      <c r="U272" s="186"/>
    </row>
    <row r="273" spans="1:21" x14ac:dyDescent="0.25">
      <c r="A273" s="186" t="s">
        <v>822</v>
      </c>
      <c r="B273" s="400">
        <v>0.84</v>
      </c>
      <c r="C273" s="186"/>
      <c r="D273" s="186" t="s">
        <v>319</v>
      </c>
      <c r="E273" s="186" t="s">
        <v>319</v>
      </c>
      <c r="F273" s="186" t="s">
        <v>319</v>
      </c>
      <c r="G273" s="186" t="s">
        <v>823</v>
      </c>
      <c r="H273" s="186" t="s">
        <v>339</v>
      </c>
      <c r="I273" s="186" t="s">
        <v>320</v>
      </c>
      <c r="J273" s="186" t="s">
        <v>614</v>
      </c>
      <c r="K273" s="186" t="s">
        <v>339</v>
      </c>
      <c r="L273" s="186" t="s">
        <v>839</v>
      </c>
      <c r="M273" s="186" t="s">
        <v>812</v>
      </c>
      <c r="N273" s="186" t="s">
        <v>325</v>
      </c>
      <c r="O273" s="186" t="s">
        <v>828</v>
      </c>
      <c r="P273" s="186"/>
      <c r="Q273" s="186"/>
      <c r="R273" s="186"/>
      <c r="S273" s="186"/>
      <c r="T273" s="186"/>
      <c r="U273" s="186"/>
    </row>
    <row r="274" spans="1:21" x14ac:dyDescent="0.25">
      <c r="A274" s="186" t="s">
        <v>822</v>
      </c>
      <c r="B274" s="400">
        <v>0.84</v>
      </c>
      <c r="C274" s="186"/>
      <c r="D274" s="186" t="s">
        <v>319</v>
      </c>
      <c r="E274" s="186" t="s">
        <v>319</v>
      </c>
      <c r="F274" s="186" t="s">
        <v>319</v>
      </c>
      <c r="G274" s="186" t="s">
        <v>823</v>
      </c>
      <c r="H274" s="186" t="s">
        <v>339</v>
      </c>
      <c r="I274" s="186" t="s">
        <v>320</v>
      </c>
      <c r="J274" s="186" t="s">
        <v>614</v>
      </c>
      <c r="K274" s="186" t="s">
        <v>339</v>
      </c>
      <c r="L274" s="186" t="s">
        <v>839</v>
      </c>
      <c r="M274" s="186" t="s">
        <v>812</v>
      </c>
      <c r="N274" s="186" t="s">
        <v>325</v>
      </c>
      <c r="O274" s="186" t="s">
        <v>829</v>
      </c>
      <c r="P274" s="186"/>
      <c r="Q274" s="186"/>
      <c r="R274" s="186"/>
      <c r="S274" s="186"/>
      <c r="T274" s="186"/>
      <c r="U274" s="186"/>
    </row>
    <row r="275" spans="1:21" x14ac:dyDescent="0.25">
      <c r="A275" s="186" t="s">
        <v>822</v>
      </c>
      <c r="B275" s="400">
        <v>0.65</v>
      </c>
      <c r="C275" s="186"/>
      <c r="D275" s="186" t="s">
        <v>319</v>
      </c>
      <c r="E275" s="186" t="s">
        <v>319</v>
      </c>
      <c r="F275" s="186" t="s">
        <v>319</v>
      </c>
      <c r="G275" s="186" t="s">
        <v>823</v>
      </c>
      <c r="H275" s="186" t="s">
        <v>339</v>
      </c>
      <c r="I275" s="186" t="s">
        <v>320</v>
      </c>
      <c r="J275" s="186" t="s">
        <v>614</v>
      </c>
      <c r="K275" s="186" t="s">
        <v>339</v>
      </c>
      <c r="L275" s="186" t="s">
        <v>840</v>
      </c>
      <c r="M275" s="186" t="s">
        <v>812</v>
      </c>
      <c r="N275" s="186" t="s">
        <v>325</v>
      </c>
      <c r="O275" s="186" t="s">
        <v>826</v>
      </c>
      <c r="P275" s="186"/>
      <c r="Q275" s="186"/>
      <c r="R275" s="186"/>
      <c r="S275" s="186"/>
      <c r="T275" s="186"/>
      <c r="U275" s="186"/>
    </row>
    <row r="276" spans="1:21" x14ac:dyDescent="0.25">
      <c r="A276" s="186" t="s">
        <v>822</v>
      </c>
      <c r="B276" s="400">
        <v>0.65</v>
      </c>
      <c r="C276" s="186"/>
      <c r="D276" s="186" t="s">
        <v>319</v>
      </c>
      <c r="E276" s="186" t="s">
        <v>319</v>
      </c>
      <c r="F276" s="186" t="s">
        <v>319</v>
      </c>
      <c r="G276" s="186" t="s">
        <v>823</v>
      </c>
      <c r="H276" s="186" t="s">
        <v>339</v>
      </c>
      <c r="I276" s="186" t="s">
        <v>320</v>
      </c>
      <c r="J276" s="186" t="s">
        <v>614</v>
      </c>
      <c r="K276" s="186" t="s">
        <v>339</v>
      </c>
      <c r="L276" s="186" t="s">
        <v>840</v>
      </c>
      <c r="M276" s="186" t="s">
        <v>812</v>
      </c>
      <c r="N276" s="186" t="s">
        <v>325</v>
      </c>
      <c r="O276" s="186" t="s">
        <v>829</v>
      </c>
      <c r="P276" s="186"/>
      <c r="Q276" s="186"/>
      <c r="R276" s="186"/>
      <c r="S276" s="186"/>
      <c r="T276" s="186"/>
      <c r="U276" s="186"/>
    </row>
    <row r="277" spans="1:21" x14ac:dyDescent="0.25">
      <c r="A277" s="186" t="s">
        <v>830</v>
      </c>
      <c r="B277" s="400">
        <v>0.9</v>
      </c>
      <c r="C277" s="186"/>
      <c r="D277" s="186" t="s">
        <v>319</v>
      </c>
      <c r="E277" s="186" t="s">
        <v>319</v>
      </c>
      <c r="F277" s="186" t="s">
        <v>319</v>
      </c>
      <c r="G277" s="186" t="s">
        <v>321</v>
      </c>
      <c r="H277" s="186" t="s">
        <v>322</v>
      </c>
      <c r="I277" s="186" t="s">
        <v>811</v>
      </c>
      <c r="J277" s="186" t="s">
        <v>614</v>
      </c>
      <c r="K277" s="186" t="s">
        <v>339</v>
      </c>
      <c r="L277" s="186" t="s">
        <v>831</v>
      </c>
      <c r="M277" s="186" t="s">
        <v>812</v>
      </c>
      <c r="N277" s="186" t="s">
        <v>325</v>
      </c>
      <c r="O277" s="186" t="s">
        <v>825</v>
      </c>
      <c r="P277" s="186"/>
      <c r="Q277" s="186"/>
      <c r="R277" s="186"/>
      <c r="S277" s="186"/>
      <c r="T277" s="186"/>
      <c r="U277" s="186"/>
    </row>
    <row r="278" spans="1:21" x14ac:dyDescent="0.25">
      <c r="A278" s="186" t="s">
        <v>830</v>
      </c>
      <c r="B278" s="400">
        <v>0.92</v>
      </c>
      <c r="C278" s="186"/>
      <c r="D278" s="186" t="s">
        <v>319</v>
      </c>
      <c r="E278" s="186" t="s">
        <v>319</v>
      </c>
      <c r="F278" s="186" t="s">
        <v>319</v>
      </c>
      <c r="G278" s="186" t="s">
        <v>321</v>
      </c>
      <c r="H278" s="186" t="s">
        <v>322</v>
      </c>
      <c r="I278" s="186" t="s">
        <v>811</v>
      </c>
      <c r="J278" s="186" t="s">
        <v>614</v>
      </c>
      <c r="K278" s="186" t="s">
        <v>339</v>
      </c>
      <c r="L278" s="186" t="s">
        <v>831</v>
      </c>
      <c r="M278" s="186" t="s">
        <v>812</v>
      </c>
      <c r="N278" s="186" t="s">
        <v>325</v>
      </c>
      <c r="O278" s="186" t="s">
        <v>832</v>
      </c>
      <c r="P278" s="186"/>
      <c r="Q278" s="186"/>
      <c r="R278" s="186"/>
      <c r="S278" s="186"/>
      <c r="T278" s="186"/>
      <c r="U278" s="186"/>
    </row>
    <row r="279" spans="1:21" x14ac:dyDescent="0.25">
      <c r="A279" s="186" t="s">
        <v>830</v>
      </c>
      <c r="B279" s="400">
        <v>0.85</v>
      </c>
      <c r="C279" s="186"/>
      <c r="D279" s="186" t="s">
        <v>319</v>
      </c>
      <c r="E279" s="186" t="s">
        <v>319</v>
      </c>
      <c r="F279" s="186" t="s">
        <v>319</v>
      </c>
      <c r="G279" s="186" t="s">
        <v>321</v>
      </c>
      <c r="H279" s="186" t="s">
        <v>322</v>
      </c>
      <c r="I279" s="186" t="s">
        <v>811</v>
      </c>
      <c r="J279" s="186" t="s">
        <v>614</v>
      </c>
      <c r="K279" s="186" t="s">
        <v>339</v>
      </c>
      <c r="L279" s="186" t="s">
        <v>835</v>
      </c>
      <c r="M279" s="186" t="s">
        <v>812</v>
      </c>
      <c r="N279" s="186" t="s">
        <v>325</v>
      </c>
      <c r="O279" s="186" t="s">
        <v>825</v>
      </c>
      <c r="P279" s="186"/>
      <c r="Q279" s="186"/>
      <c r="R279" s="186"/>
      <c r="S279" s="186"/>
      <c r="T279" s="186"/>
      <c r="U279" s="186"/>
    </row>
    <row r="280" spans="1:21" x14ac:dyDescent="0.25">
      <c r="A280" s="186" t="s">
        <v>830</v>
      </c>
      <c r="B280" s="400">
        <v>0.88</v>
      </c>
      <c r="C280" s="186"/>
      <c r="D280" s="186" t="s">
        <v>319</v>
      </c>
      <c r="E280" s="186" t="s">
        <v>319</v>
      </c>
      <c r="F280" s="186" t="s">
        <v>319</v>
      </c>
      <c r="G280" s="186" t="s">
        <v>321</v>
      </c>
      <c r="H280" s="186" t="s">
        <v>322</v>
      </c>
      <c r="I280" s="186" t="s">
        <v>811</v>
      </c>
      <c r="J280" s="186" t="s">
        <v>614</v>
      </c>
      <c r="K280" s="186" t="s">
        <v>339</v>
      </c>
      <c r="L280" s="186" t="s">
        <v>835</v>
      </c>
      <c r="M280" s="186" t="s">
        <v>812</v>
      </c>
      <c r="N280" s="186" t="s">
        <v>325</v>
      </c>
      <c r="O280" s="186" t="s">
        <v>832</v>
      </c>
      <c r="P280" s="186"/>
      <c r="Q280" s="186"/>
      <c r="R280" s="186"/>
      <c r="S280" s="186"/>
      <c r="T280" s="186"/>
      <c r="U280" s="186"/>
    </row>
    <row r="281" spans="1:21" x14ac:dyDescent="0.25">
      <c r="A281" s="186" t="s">
        <v>830</v>
      </c>
      <c r="B281" s="400">
        <v>1</v>
      </c>
      <c r="C281" s="186"/>
      <c r="D281" s="186" t="s">
        <v>319</v>
      </c>
      <c r="E281" s="186" t="s">
        <v>319</v>
      </c>
      <c r="F281" s="186" t="s">
        <v>319</v>
      </c>
      <c r="G281" s="186" t="s">
        <v>321</v>
      </c>
      <c r="H281" s="186" t="s">
        <v>322</v>
      </c>
      <c r="I281" s="186" t="s">
        <v>811</v>
      </c>
      <c r="J281" s="186" t="s">
        <v>614</v>
      </c>
      <c r="K281" s="186" t="s">
        <v>339</v>
      </c>
      <c r="L281" s="186" t="s">
        <v>885</v>
      </c>
      <c r="M281" s="186" t="s">
        <v>812</v>
      </c>
      <c r="N281" s="186" t="s">
        <v>325</v>
      </c>
      <c r="O281" s="186" t="s">
        <v>825</v>
      </c>
      <c r="P281" s="186"/>
      <c r="Q281" s="186"/>
      <c r="R281" s="186"/>
      <c r="S281" s="186"/>
      <c r="T281" s="186"/>
      <c r="U281" s="186"/>
    </row>
    <row r="282" spans="1:21" x14ac:dyDescent="0.25">
      <c r="A282" s="186" t="s">
        <v>830</v>
      </c>
      <c r="B282" s="400">
        <v>1</v>
      </c>
      <c r="C282" s="186"/>
      <c r="D282" s="186" t="s">
        <v>319</v>
      </c>
      <c r="E282" s="186" t="s">
        <v>319</v>
      </c>
      <c r="F282" s="186" t="s">
        <v>319</v>
      </c>
      <c r="G282" s="186" t="s">
        <v>321</v>
      </c>
      <c r="H282" s="186" t="s">
        <v>322</v>
      </c>
      <c r="I282" s="186" t="s">
        <v>811</v>
      </c>
      <c r="J282" s="186" t="s">
        <v>614</v>
      </c>
      <c r="K282" s="186" t="s">
        <v>339</v>
      </c>
      <c r="L282" s="186" t="s">
        <v>885</v>
      </c>
      <c r="M282" s="186" t="s">
        <v>812</v>
      </c>
      <c r="N282" s="186" t="s">
        <v>325</v>
      </c>
      <c r="O282" s="186" t="s">
        <v>832</v>
      </c>
      <c r="P282" s="186"/>
      <c r="Q282" s="186"/>
      <c r="R282" s="186"/>
      <c r="S282" s="186"/>
      <c r="T282" s="186"/>
      <c r="U282" s="186"/>
    </row>
    <row r="283" spans="1:21" x14ac:dyDescent="0.25">
      <c r="A283" s="186" t="s">
        <v>830</v>
      </c>
      <c r="B283" s="400">
        <v>0.8</v>
      </c>
      <c r="C283" s="186"/>
      <c r="D283" s="186" t="s">
        <v>319</v>
      </c>
      <c r="E283" s="186" t="s">
        <v>319</v>
      </c>
      <c r="F283" s="186" t="s">
        <v>319</v>
      </c>
      <c r="G283" s="186" t="s">
        <v>321</v>
      </c>
      <c r="H283" s="186" t="s">
        <v>322</v>
      </c>
      <c r="I283" s="186" t="s">
        <v>811</v>
      </c>
      <c r="J283" s="186" t="s">
        <v>614</v>
      </c>
      <c r="K283" s="186" t="s">
        <v>339</v>
      </c>
      <c r="L283" s="186" t="s">
        <v>837</v>
      </c>
      <c r="M283" s="186" t="s">
        <v>812</v>
      </c>
      <c r="N283" s="186" t="s">
        <v>325</v>
      </c>
      <c r="O283" s="186" t="s">
        <v>825</v>
      </c>
      <c r="P283" s="186"/>
      <c r="Q283" s="186"/>
      <c r="R283" s="186"/>
      <c r="S283" s="186"/>
      <c r="T283" s="186"/>
      <c r="U283" s="186"/>
    </row>
    <row r="284" spans="1:21" x14ac:dyDescent="0.25">
      <c r="A284" s="186" t="s">
        <v>830</v>
      </c>
      <c r="B284" s="400">
        <v>0.84</v>
      </c>
      <c r="C284" s="186"/>
      <c r="D284" s="186" t="s">
        <v>319</v>
      </c>
      <c r="E284" s="186" t="s">
        <v>319</v>
      </c>
      <c r="F284" s="186" t="s">
        <v>319</v>
      </c>
      <c r="G284" s="186" t="s">
        <v>321</v>
      </c>
      <c r="H284" s="186" t="s">
        <v>322</v>
      </c>
      <c r="I284" s="186" t="s">
        <v>811</v>
      </c>
      <c r="J284" s="186" t="s">
        <v>614</v>
      </c>
      <c r="K284" s="186" t="s">
        <v>339</v>
      </c>
      <c r="L284" s="186" t="s">
        <v>837</v>
      </c>
      <c r="M284" s="186" t="s">
        <v>812</v>
      </c>
      <c r="N284" s="186" t="s">
        <v>325</v>
      </c>
      <c r="O284" s="186" t="s">
        <v>832</v>
      </c>
      <c r="P284" s="186"/>
      <c r="Q284" s="186"/>
      <c r="R284" s="186"/>
      <c r="S284" s="186"/>
      <c r="T284" s="186"/>
      <c r="U284" s="186"/>
    </row>
    <row r="285" spans="1:21" x14ac:dyDescent="0.25">
      <c r="A285" s="186" t="s">
        <v>830</v>
      </c>
      <c r="B285" s="400">
        <v>0.95</v>
      </c>
      <c r="C285" s="186"/>
      <c r="D285" s="186" t="s">
        <v>319</v>
      </c>
      <c r="E285" s="186" t="s">
        <v>319</v>
      </c>
      <c r="F285" s="186" t="s">
        <v>319</v>
      </c>
      <c r="G285" s="186" t="s">
        <v>321</v>
      </c>
      <c r="H285" s="186" t="s">
        <v>322</v>
      </c>
      <c r="I285" s="186" t="s">
        <v>811</v>
      </c>
      <c r="J285" s="186" t="s">
        <v>614</v>
      </c>
      <c r="K285" s="186" t="s">
        <v>339</v>
      </c>
      <c r="L285" s="186" t="s">
        <v>838</v>
      </c>
      <c r="M285" s="186" t="s">
        <v>812</v>
      </c>
      <c r="N285" s="186" t="s">
        <v>325</v>
      </c>
      <c r="O285" s="186" t="s">
        <v>825</v>
      </c>
      <c r="P285" s="186"/>
      <c r="Q285" s="186"/>
      <c r="R285" s="186"/>
      <c r="S285" s="186"/>
      <c r="T285" s="186"/>
      <c r="U285" s="186"/>
    </row>
    <row r="286" spans="1:21" x14ac:dyDescent="0.25">
      <c r="A286" s="186" t="s">
        <v>830</v>
      </c>
      <c r="B286" s="400">
        <v>0.96</v>
      </c>
      <c r="C286" s="186"/>
      <c r="D286" s="186" t="s">
        <v>319</v>
      </c>
      <c r="E286" s="186" t="s">
        <v>319</v>
      </c>
      <c r="F286" s="186" t="s">
        <v>319</v>
      </c>
      <c r="G286" s="186" t="s">
        <v>321</v>
      </c>
      <c r="H286" s="186" t="s">
        <v>322</v>
      </c>
      <c r="I286" s="186" t="s">
        <v>811</v>
      </c>
      <c r="J286" s="186" t="s">
        <v>614</v>
      </c>
      <c r="K286" s="186" t="s">
        <v>339</v>
      </c>
      <c r="L286" s="186" t="s">
        <v>838</v>
      </c>
      <c r="M286" s="186" t="s">
        <v>812</v>
      </c>
      <c r="N286" s="186" t="s">
        <v>325</v>
      </c>
      <c r="O286" s="186" t="s">
        <v>832</v>
      </c>
      <c r="P286" s="186"/>
      <c r="Q286" s="186"/>
      <c r="R286" s="186"/>
      <c r="S286" s="186"/>
      <c r="T286" s="186"/>
      <c r="U286" s="186"/>
    </row>
    <row r="287" spans="1:21" x14ac:dyDescent="0.25">
      <c r="A287" s="186" t="s">
        <v>830</v>
      </c>
      <c r="B287" s="400">
        <v>0.7</v>
      </c>
      <c r="C287" s="186"/>
      <c r="D287" s="186" t="s">
        <v>319</v>
      </c>
      <c r="E287" s="186" t="s">
        <v>319</v>
      </c>
      <c r="F287" s="186" t="s">
        <v>319</v>
      </c>
      <c r="G287" s="186" t="s">
        <v>321</v>
      </c>
      <c r="H287" s="186" t="s">
        <v>322</v>
      </c>
      <c r="I287" s="186" t="s">
        <v>811</v>
      </c>
      <c r="J287" s="186" t="s">
        <v>614</v>
      </c>
      <c r="K287" s="186" t="s">
        <v>339</v>
      </c>
      <c r="L287" s="186" t="s">
        <v>839</v>
      </c>
      <c r="M287" s="186" t="s">
        <v>812</v>
      </c>
      <c r="N287" s="186" t="s">
        <v>325</v>
      </c>
      <c r="O287" s="186" t="s">
        <v>825</v>
      </c>
      <c r="P287" s="186"/>
      <c r="Q287" s="186"/>
      <c r="R287" s="186"/>
      <c r="S287" s="186"/>
      <c r="T287" s="186"/>
      <c r="U287" s="186"/>
    </row>
    <row r="288" spans="1:21" x14ac:dyDescent="0.25">
      <c r="A288" s="186" t="s">
        <v>830</v>
      </c>
      <c r="B288" s="400">
        <v>0.76</v>
      </c>
      <c r="C288" s="186"/>
      <c r="D288" s="186" t="s">
        <v>319</v>
      </c>
      <c r="E288" s="186" t="s">
        <v>319</v>
      </c>
      <c r="F288" s="186" t="s">
        <v>319</v>
      </c>
      <c r="G288" s="186" t="s">
        <v>321</v>
      </c>
      <c r="H288" s="186" t="s">
        <v>322</v>
      </c>
      <c r="I288" s="186" t="s">
        <v>811</v>
      </c>
      <c r="J288" s="186" t="s">
        <v>614</v>
      </c>
      <c r="K288" s="186" t="s">
        <v>339</v>
      </c>
      <c r="L288" s="186" t="s">
        <v>839</v>
      </c>
      <c r="M288" s="186" t="s">
        <v>812</v>
      </c>
      <c r="N288" s="186" t="s">
        <v>325</v>
      </c>
      <c r="O288" s="186" t="s">
        <v>832</v>
      </c>
      <c r="P288" s="186"/>
      <c r="Q288" s="186"/>
      <c r="R288" s="186"/>
      <c r="S288" s="186"/>
      <c r="T288" s="186"/>
      <c r="U288" s="186"/>
    </row>
    <row r="289" spans="1:21" x14ac:dyDescent="0.25">
      <c r="A289" s="186" t="s">
        <v>318</v>
      </c>
      <c r="B289" s="637">
        <v>2.2999999999999998</v>
      </c>
      <c r="C289" s="186"/>
      <c r="D289" s="186" t="s">
        <v>319</v>
      </c>
      <c r="E289" s="186" t="s">
        <v>320</v>
      </c>
      <c r="F289" s="186" t="s">
        <v>319</v>
      </c>
      <c r="G289" s="186" t="s">
        <v>321</v>
      </c>
      <c r="H289" s="186" t="s">
        <v>322</v>
      </c>
      <c r="I289" s="186" t="s">
        <v>237</v>
      </c>
      <c r="J289" s="186" t="s">
        <v>323</v>
      </c>
      <c r="K289" s="186" t="s">
        <v>322</v>
      </c>
      <c r="L289" s="638" t="s">
        <v>236</v>
      </c>
      <c r="M289" s="574" t="s">
        <v>324</v>
      </c>
      <c r="N289" s="574" t="s">
        <v>325</v>
      </c>
      <c r="O289" s="574" t="s">
        <v>326</v>
      </c>
      <c r="P289" s="186"/>
      <c r="Q289" s="186"/>
      <c r="R289" s="186"/>
      <c r="S289" s="186"/>
      <c r="T289" s="186"/>
      <c r="U289" s="186"/>
    </row>
    <row r="290" spans="1:21" x14ac:dyDescent="0.25">
      <c r="A290" s="186" t="s">
        <v>318</v>
      </c>
      <c r="B290" s="637">
        <v>2.1</v>
      </c>
      <c r="C290" s="186"/>
      <c r="D290" s="186" t="s">
        <v>319</v>
      </c>
      <c r="E290" s="186" t="s">
        <v>320</v>
      </c>
      <c r="F290" s="186" t="s">
        <v>319</v>
      </c>
      <c r="G290" s="186" t="s">
        <v>321</v>
      </c>
      <c r="H290" s="186" t="s">
        <v>322</v>
      </c>
      <c r="I290" s="186" t="s">
        <v>237</v>
      </c>
      <c r="J290" s="186" t="s">
        <v>323</v>
      </c>
      <c r="K290" s="186" t="s">
        <v>322</v>
      </c>
      <c r="L290" s="638" t="s">
        <v>238</v>
      </c>
      <c r="M290" s="574" t="s">
        <v>324</v>
      </c>
      <c r="N290" s="574" t="s">
        <v>325</v>
      </c>
      <c r="O290" s="574" t="s">
        <v>326</v>
      </c>
      <c r="P290" s="186"/>
      <c r="Q290" s="186"/>
      <c r="R290" s="186"/>
      <c r="S290" s="186"/>
      <c r="T290" s="186"/>
      <c r="U290" s="186"/>
    </row>
    <row r="291" spans="1:21" x14ac:dyDescent="0.25">
      <c r="A291" s="186" t="s">
        <v>318</v>
      </c>
      <c r="B291" s="637">
        <v>1.9</v>
      </c>
      <c r="C291" s="186"/>
      <c r="D291" s="186" t="s">
        <v>319</v>
      </c>
      <c r="E291" s="186" t="s">
        <v>320</v>
      </c>
      <c r="F291" s="186" t="s">
        <v>319</v>
      </c>
      <c r="G291" s="186" t="s">
        <v>321</v>
      </c>
      <c r="H291" s="186" t="s">
        <v>322</v>
      </c>
      <c r="I291" s="186" t="s">
        <v>237</v>
      </c>
      <c r="J291" s="186" t="s">
        <v>323</v>
      </c>
      <c r="K291" s="186" t="s">
        <v>322</v>
      </c>
      <c r="L291" s="638" t="s">
        <v>239</v>
      </c>
      <c r="M291" s="574" t="s">
        <v>324</v>
      </c>
      <c r="N291" s="574" t="s">
        <v>325</v>
      </c>
      <c r="O291" s="574" t="s">
        <v>326</v>
      </c>
      <c r="P291" s="186"/>
      <c r="Q291" s="186"/>
      <c r="R291" s="186"/>
      <c r="S291" s="186"/>
      <c r="T291" s="186"/>
      <c r="U291" s="186"/>
    </row>
    <row r="292" spans="1:21" x14ac:dyDescent="0.25">
      <c r="A292" s="186" t="s">
        <v>318</v>
      </c>
      <c r="B292" s="637">
        <v>1.7</v>
      </c>
      <c r="C292" s="186"/>
      <c r="D292" s="186" t="s">
        <v>319</v>
      </c>
      <c r="E292" s="186" t="s">
        <v>320</v>
      </c>
      <c r="F292" s="186" t="s">
        <v>319</v>
      </c>
      <c r="G292" s="186" t="s">
        <v>321</v>
      </c>
      <c r="H292" s="186" t="s">
        <v>322</v>
      </c>
      <c r="I292" s="186" t="s">
        <v>237</v>
      </c>
      <c r="J292" s="186" t="s">
        <v>323</v>
      </c>
      <c r="K292" s="186" t="s">
        <v>322</v>
      </c>
      <c r="L292" s="638" t="s">
        <v>240</v>
      </c>
      <c r="M292" s="574" t="s">
        <v>324</v>
      </c>
      <c r="N292" s="574" t="s">
        <v>325</v>
      </c>
      <c r="O292" s="574" t="s">
        <v>326</v>
      </c>
      <c r="P292" s="186"/>
      <c r="Q292" s="186"/>
      <c r="R292" s="186"/>
      <c r="S292" s="186"/>
      <c r="T292" s="186"/>
      <c r="U292" s="186"/>
    </row>
    <row r="293" spans="1:21" x14ac:dyDescent="0.25">
      <c r="A293" s="186" t="s">
        <v>318</v>
      </c>
      <c r="B293" s="637">
        <v>1.45</v>
      </c>
      <c r="C293" s="186"/>
      <c r="D293" s="186" t="s">
        <v>319</v>
      </c>
      <c r="E293" s="186" t="s">
        <v>320</v>
      </c>
      <c r="F293" s="186" t="s">
        <v>319</v>
      </c>
      <c r="G293" s="186" t="s">
        <v>321</v>
      </c>
      <c r="H293" s="186" t="s">
        <v>322</v>
      </c>
      <c r="I293" s="186" t="s">
        <v>237</v>
      </c>
      <c r="J293" s="186" t="s">
        <v>323</v>
      </c>
      <c r="K293" s="186" t="s">
        <v>322</v>
      </c>
      <c r="L293" s="638" t="s">
        <v>241</v>
      </c>
      <c r="M293" s="574" t="s">
        <v>324</v>
      </c>
      <c r="N293" s="574" t="s">
        <v>325</v>
      </c>
      <c r="O293" s="574" t="s">
        <v>326</v>
      </c>
      <c r="P293" s="186"/>
      <c r="Q293" s="186"/>
      <c r="R293" s="186"/>
      <c r="S293" s="186"/>
      <c r="T293" s="186"/>
      <c r="U293" s="186"/>
    </row>
    <row r="294" spans="1:21" x14ac:dyDescent="0.25">
      <c r="A294" s="186" t="s">
        <v>318</v>
      </c>
      <c r="B294" s="637">
        <v>1.3</v>
      </c>
      <c r="C294" s="186"/>
      <c r="D294" s="186" t="s">
        <v>319</v>
      </c>
      <c r="E294" s="186" t="s">
        <v>320</v>
      </c>
      <c r="F294" s="186" t="s">
        <v>319</v>
      </c>
      <c r="G294" s="186" t="s">
        <v>321</v>
      </c>
      <c r="H294" s="186" t="s">
        <v>322</v>
      </c>
      <c r="I294" s="186" t="s">
        <v>237</v>
      </c>
      <c r="J294" s="186" t="s">
        <v>323</v>
      </c>
      <c r="K294" s="186" t="s">
        <v>322</v>
      </c>
      <c r="L294" s="638" t="s">
        <v>242</v>
      </c>
      <c r="M294" s="574" t="s">
        <v>324</v>
      </c>
      <c r="N294" s="574" t="s">
        <v>325</v>
      </c>
      <c r="O294" s="574" t="s">
        <v>326</v>
      </c>
      <c r="P294" s="186"/>
      <c r="Q294" s="186"/>
      <c r="R294" s="186"/>
      <c r="S294" s="186"/>
      <c r="T294" s="186"/>
      <c r="U294" s="186"/>
    </row>
    <row r="295" spans="1:21" x14ac:dyDescent="0.25">
      <c r="A295" s="186" t="s">
        <v>318</v>
      </c>
      <c r="B295" s="637">
        <v>1.2250000000000001</v>
      </c>
      <c r="C295" s="186"/>
      <c r="D295" s="186" t="s">
        <v>319</v>
      </c>
      <c r="E295" s="186" t="s">
        <v>320</v>
      </c>
      <c r="F295" s="186" t="s">
        <v>319</v>
      </c>
      <c r="G295" s="186" t="s">
        <v>321</v>
      </c>
      <c r="H295" s="186" t="s">
        <v>322</v>
      </c>
      <c r="I295" s="186" t="s">
        <v>237</v>
      </c>
      <c r="J295" s="186" t="s">
        <v>323</v>
      </c>
      <c r="K295" s="186" t="s">
        <v>322</v>
      </c>
      <c r="L295" s="638" t="s">
        <v>243</v>
      </c>
      <c r="M295" s="574" t="s">
        <v>324</v>
      </c>
      <c r="N295" s="574" t="s">
        <v>325</v>
      </c>
      <c r="O295" s="574" t="s">
        <v>326</v>
      </c>
      <c r="P295" s="186"/>
      <c r="Q295" s="186"/>
      <c r="R295" s="186"/>
      <c r="S295" s="186"/>
      <c r="T295" s="186"/>
      <c r="U295" s="186"/>
    </row>
    <row r="296" spans="1:21" x14ac:dyDescent="0.25">
      <c r="A296" s="186" t="s">
        <v>318</v>
      </c>
      <c r="B296" s="637">
        <v>1.125</v>
      </c>
      <c r="C296" s="186"/>
      <c r="D296" s="186" t="s">
        <v>319</v>
      </c>
      <c r="E296" s="186" t="s">
        <v>320</v>
      </c>
      <c r="F296" s="186" t="s">
        <v>319</v>
      </c>
      <c r="G296" s="186" t="s">
        <v>321</v>
      </c>
      <c r="H296" s="186" t="s">
        <v>322</v>
      </c>
      <c r="I296" s="186" t="s">
        <v>237</v>
      </c>
      <c r="J296" s="186" t="s">
        <v>323</v>
      </c>
      <c r="K296" s="186" t="s">
        <v>322</v>
      </c>
      <c r="L296" s="638" t="s">
        <v>244</v>
      </c>
      <c r="M296" s="574" t="s">
        <v>324</v>
      </c>
      <c r="N296" s="574" t="s">
        <v>325</v>
      </c>
      <c r="O296" s="574" t="s">
        <v>326</v>
      </c>
      <c r="P296" s="186"/>
      <c r="Q296" s="186"/>
      <c r="R296" s="186"/>
      <c r="S296" s="186"/>
      <c r="T296" s="186"/>
      <c r="U296" s="186"/>
    </row>
    <row r="297" spans="1:21" x14ac:dyDescent="0.25">
      <c r="A297" s="186" t="s">
        <v>318</v>
      </c>
      <c r="B297" s="637">
        <v>1</v>
      </c>
      <c r="C297" s="186"/>
      <c r="D297" s="186" t="s">
        <v>319</v>
      </c>
      <c r="E297" s="186" t="s">
        <v>319</v>
      </c>
      <c r="F297" s="186" t="s">
        <v>319</v>
      </c>
      <c r="G297" s="186" t="s">
        <v>321</v>
      </c>
      <c r="H297" s="186" t="s">
        <v>322</v>
      </c>
      <c r="I297" s="186" t="s">
        <v>237</v>
      </c>
      <c r="J297" s="186" t="s">
        <v>323</v>
      </c>
      <c r="K297" s="186" t="s">
        <v>322</v>
      </c>
      <c r="L297" s="638" t="s">
        <v>245</v>
      </c>
      <c r="M297" s="574" t="s">
        <v>324</v>
      </c>
      <c r="N297" s="574" t="s">
        <v>325</v>
      </c>
      <c r="O297" s="574" t="s">
        <v>326</v>
      </c>
      <c r="P297" s="186"/>
      <c r="Q297" s="186"/>
      <c r="R297" s="186"/>
      <c r="S297" s="186"/>
      <c r="T297" s="186"/>
      <c r="U297" s="186"/>
    </row>
    <row r="298" spans="1:21" x14ac:dyDescent="0.25">
      <c r="A298" s="186" t="s">
        <v>318</v>
      </c>
      <c r="B298" s="637">
        <v>0.95</v>
      </c>
      <c r="C298" s="186"/>
      <c r="D298" s="186" t="s">
        <v>319</v>
      </c>
      <c r="E298" s="186" t="s">
        <v>319</v>
      </c>
      <c r="F298" s="186" t="s">
        <v>319</v>
      </c>
      <c r="G298" s="186" t="s">
        <v>321</v>
      </c>
      <c r="H298" s="186" t="s">
        <v>322</v>
      </c>
      <c r="I298" s="186" t="s">
        <v>237</v>
      </c>
      <c r="J298" s="186" t="s">
        <v>323</v>
      </c>
      <c r="K298" s="186" t="s">
        <v>322</v>
      </c>
      <c r="L298" s="638" t="s">
        <v>246</v>
      </c>
      <c r="M298" s="574" t="s">
        <v>324</v>
      </c>
      <c r="N298" s="574" t="s">
        <v>325</v>
      </c>
      <c r="O298" s="574" t="s">
        <v>326</v>
      </c>
      <c r="P298" s="186"/>
      <c r="Q298" s="186"/>
      <c r="R298" s="186"/>
      <c r="S298" s="186"/>
      <c r="T298" s="186"/>
      <c r="U298" s="186"/>
    </row>
    <row r="299" spans="1:21" x14ac:dyDescent="0.25">
      <c r="A299" s="186" t="s">
        <v>318</v>
      </c>
      <c r="B299" s="637">
        <v>0.85</v>
      </c>
      <c r="C299" s="186"/>
      <c r="D299" s="186" t="s">
        <v>319</v>
      </c>
      <c r="E299" s="186" t="s">
        <v>319</v>
      </c>
      <c r="F299" s="186" t="s">
        <v>319</v>
      </c>
      <c r="G299" s="186" t="s">
        <v>321</v>
      </c>
      <c r="H299" s="186" t="s">
        <v>322</v>
      </c>
      <c r="I299" s="186" t="s">
        <v>237</v>
      </c>
      <c r="J299" s="186" t="s">
        <v>323</v>
      </c>
      <c r="K299" s="186" t="s">
        <v>322</v>
      </c>
      <c r="L299" s="638" t="s">
        <v>247</v>
      </c>
      <c r="M299" s="574" t="s">
        <v>324</v>
      </c>
      <c r="N299" s="574" t="s">
        <v>325</v>
      </c>
      <c r="O299" s="574" t="s">
        <v>326</v>
      </c>
      <c r="P299" s="186"/>
      <c r="Q299" s="186"/>
      <c r="R299" s="186"/>
      <c r="S299" s="186"/>
      <c r="T299" s="186"/>
      <c r="U299" s="186"/>
    </row>
    <row r="300" spans="1:21" x14ac:dyDescent="0.25">
      <c r="A300" s="186" t="s">
        <v>318</v>
      </c>
      <c r="B300" s="637">
        <v>0.8</v>
      </c>
      <c r="C300" s="186"/>
      <c r="D300" s="186" t="s">
        <v>319</v>
      </c>
      <c r="E300" s="186" t="s">
        <v>319</v>
      </c>
      <c r="F300" s="186" t="s">
        <v>319</v>
      </c>
      <c r="G300" s="186" t="s">
        <v>321</v>
      </c>
      <c r="H300" s="186" t="s">
        <v>322</v>
      </c>
      <c r="I300" s="186" t="s">
        <v>237</v>
      </c>
      <c r="J300" s="186" t="s">
        <v>323</v>
      </c>
      <c r="K300" s="186" t="s">
        <v>322</v>
      </c>
      <c r="L300" s="638" t="s">
        <v>248</v>
      </c>
      <c r="M300" s="574" t="s">
        <v>324</v>
      </c>
      <c r="N300" s="574" t="s">
        <v>325</v>
      </c>
      <c r="O300" s="574" t="s">
        <v>326</v>
      </c>
      <c r="P300" s="186"/>
      <c r="Q300" s="186"/>
      <c r="R300" s="186"/>
      <c r="S300" s="186"/>
      <c r="T300" s="186"/>
      <c r="U300" s="186"/>
    </row>
    <row r="301" spans="1:21" x14ac:dyDescent="0.25">
      <c r="A301" s="186" t="s">
        <v>318</v>
      </c>
      <c r="B301" s="637">
        <v>0.77500000000000002</v>
      </c>
      <c r="C301" s="186"/>
      <c r="D301" s="186" t="s">
        <v>319</v>
      </c>
      <c r="E301" s="186" t="s">
        <v>319</v>
      </c>
      <c r="F301" s="186" t="s">
        <v>319</v>
      </c>
      <c r="G301" s="186" t="s">
        <v>321</v>
      </c>
      <c r="H301" s="186" t="s">
        <v>322</v>
      </c>
      <c r="I301" s="186" t="s">
        <v>237</v>
      </c>
      <c r="J301" s="186" t="s">
        <v>323</v>
      </c>
      <c r="K301" s="186" t="s">
        <v>322</v>
      </c>
      <c r="L301" s="638" t="s">
        <v>249</v>
      </c>
      <c r="M301" s="574" t="s">
        <v>324</v>
      </c>
      <c r="N301" s="574" t="s">
        <v>325</v>
      </c>
      <c r="O301" s="574" t="s">
        <v>326</v>
      </c>
      <c r="P301" s="186"/>
      <c r="Q301" s="186"/>
      <c r="R301" s="186"/>
      <c r="S301" s="186"/>
      <c r="T301" s="186"/>
      <c r="U301" s="186"/>
    </row>
    <row r="302" spans="1:21" x14ac:dyDescent="0.25">
      <c r="A302" s="186" t="s">
        <v>318</v>
      </c>
      <c r="B302" s="637">
        <v>0.72499999999999998</v>
      </c>
      <c r="C302" s="186"/>
      <c r="D302" s="186" t="s">
        <v>319</v>
      </c>
      <c r="E302" s="186" t="s">
        <v>319</v>
      </c>
      <c r="F302" s="186" t="s">
        <v>319</v>
      </c>
      <c r="G302" s="186" t="s">
        <v>321</v>
      </c>
      <c r="H302" s="186" t="s">
        <v>322</v>
      </c>
      <c r="I302" s="186" t="s">
        <v>237</v>
      </c>
      <c r="J302" s="186" t="s">
        <v>323</v>
      </c>
      <c r="K302" s="186" t="s">
        <v>322</v>
      </c>
      <c r="L302" s="638" t="s">
        <v>250</v>
      </c>
      <c r="M302" s="574" t="s">
        <v>324</v>
      </c>
      <c r="N302" s="574" t="s">
        <v>325</v>
      </c>
      <c r="O302" s="574" t="s">
        <v>326</v>
      </c>
      <c r="P302" s="186"/>
      <c r="Q302" s="186"/>
      <c r="R302" s="186"/>
      <c r="S302" s="186"/>
      <c r="T302" s="186"/>
      <c r="U302" s="186"/>
    </row>
    <row r="303" spans="1:21" x14ac:dyDescent="0.25">
      <c r="A303" s="186" t="s">
        <v>318</v>
      </c>
      <c r="B303" s="637">
        <v>0.67500000000000004</v>
      </c>
      <c r="C303" s="186"/>
      <c r="D303" s="186" t="s">
        <v>319</v>
      </c>
      <c r="E303" s="186" t="s">
        <v>319</v>
      </c>
      <c r="F303" s="186" t="s">
        <v>319</v>
      </c>
      <c r="G303" s="186" t="s">
        <v>321</v>
      </c>
      <c r="H303" s="186" t="s">
        <v>322</v>
      </c>
      <c r="I303" s="186" t="s">
        <v>237</v>
      </c>
      <c r="J303" s="186" t="s">
        <v>323</v>
      </c>
      <c r="K303" s="186" t="s">
        <v>322</v>
      </c>
      <c r="L303" s="638" t="s">
        <v>251</v>
      </c>
      <c r="M303" s="574" t="s">
        <v>324</v>
      </c>
      <c r="N303" s="574" t="s">
        <v>325</v>
      </c>
      <c r="O303" s="574" t="s">
        <v>326</v>
      </c>
      <c r="P303" s="186"/>
      <c r="Q303" s="186"/>
      <c r="R303" s="186"/>
      <c r="S303" s="186"/>
      <c r="T303" s="186"/>
      <c r="U303" s="186"/>
    </row>
    <row r="304" spans="1:21" x14ac:dyDescent="0.25">
      <c r="A304" s="186" t="s">
        <v>318</v>
      </c>
      <c r="B304" s="637">
        <v>0.63500000000000001</v>
      </c>
      <c r="C304" s="186"/>
      <c r="D304" s="186" t="s">
        <v>319</v>
      </c>
      <c r="E304" s="186" t="s">
        <v>319</v>
      </c>
      <c r="F304" s="186" t="s">
        <v>319</v>
      </c>
      <c r="G304" s="186" t="s">
        <v>321</v>
      </c>
      <c r="H304" s="186" t="s">
        <v>322</v>
      </c>
      <c r="I304" s="186" t="s">
        <v>237</v>
      </c>
      <c r="J304" s="186" t="s">
        <v>323</v>
      </c>
      <c r="K304" s="186" t="s">
        <v>322</v>
      </c>
      <c r="L304" s="638" t="s">
        <v>252</v>
      </c>
      <c r="M304" s="574" t="s">
        <v>324</v>
      </c>
      <c r="N304" s="574" t="s">
        <v>325</v>
      </c>
      <c r="O304" s="574" t="s">
        <v>326</v>
      </c>
      <c r="P304" s="186"/>
      <c r="Q304" s="186"/>
      <c r="R304" s="186"/>
      <c r="S304" s="186"/>
      <c r="T304" s="186"/>
      <c r="U304" s="186"/>
    </row>
    <row r="305" spans="1:21" x14ac:dyDescent="0.25">
      <c r="A305" s="186" t="s">
        <v>318</v>
      </c>
      <c r="B305" s="637">
        <v>0.57499999999999996</v>
      </c>
      <c r="C305" s="186"/>
      <c r="D305" s="186" t="s">
        <v>320</v>
      </c>
      <c r="E305" s="186" t="s">
        <v>319</v>
      </c>
      <c r="F305" s="186" t="s">
        <v>319</v>
      </c>
      <c r="G305" s="186" t="s">
        <v>321</v>
      </c>
      <c r="H305" s="186" t="s">
        <v>322</v>
      </c>
      <c r="I305" s="186" t="s">
        <v>237</v>
      </c>
      <c r="J305" s="186" t="s">
        <v>323</v>
      </c>
      <c r="K305" s="186" t="s">
        <v>322</v>
      </c>
      <c r="L305" s="638" t="s">
        <v>253</v>
      </c>
      <c r="M305" s="574" t="s">
        <v>324</v>
      </c>
      <c r="N305" s="574" t="s">
        <v>325</v>
      </c>
      <c r="O305" s="574" t="s">
        <v>326</v>
      </c>
      <c r="P305" s="186"/>
      <c r="Q305" s="186"/>
      <c r="R305" s="186"/>
      <c r="S305" s="186"/>
      <c r="T305" s="186"/>
      <c r="U305" s="186"/>
    </row>
    <row r="306" spans="1:21" x14ac:dyDescent="0.25">
      <c r="A306" s="186" t="s">
        <v>318</v>
      </c>
      <c r="B306" s="637">
        <v>1.1000000000000001</v>
      </c>
      <c r="C306" s="186"/>
      <c r="D306" s="186" t="s">
        <v>319</v>
      </c>
      <c r="E306" s="186" t="s">
        <v>320</v>
      </c>
      <c r="F306" s="186" t="s">
        <v>319</v>
      </c>
      <c r="G306" s="186" t="s">
        <v>321</v>
      </c>
      <c r="H306" s="186" t="s">
        <v>322</v>
      </c>
      <c r="I306" s="186" t="s">
        <v>237</v>
      </c>
      <c r="J306" s="186" t="s">
        <v>323</v>
      </c>
      <c r="K306" s="186" t="s">
        <v>322</v>
      </c>
      <c r="L306" s="638" t="s">
        <v>254</v>
      </c>
      <c r="M306" s="574" t="s">
        <v>324</v>
      </c>
      <c r="N306" s="574" t="s">
        <v>325</v>
      </c>
      <c r="O306" s="574" t="s">
        <v>326</v>
      </c>
      <c r="P306" s="186"/>
      <c r="Q306" s="186"/>
      <c r="R306" s="186"/>
      <c r="S306" s="186"/>
      <c r="T306" s="186"/>
      <c r="U306" s="186"/>
    </row>
    <row r="307" spans="1:21" x14ac:dyDescent="0.25">
      <c r="A307" s="186" t="s">
        <v>318</v>
      </c>
      <c r="B307" s="637">
        <v>1.3</v>
      </c>
      <c r="C307" s="186"/>
      <c r="D307" s="186" t="s">
        <v>319</v>
      </c>
      <c r="E307" s="186" t="s">
        <v>320</v>
      </c>
      <c r="F307" s="186" t="s">
        <v>319</v>
      </c>
      <c r="G307" s="186" t="s">
        <v>321</v>
      </c>
      <c r="H307" s="186" t="s">
        <v>322</v>
      </c>
      <c r="I307" s="186" t="s">
        <v>237</v>
      </c>
      <c r="J307" s="186" t="s">
        <v>323</v>
      </c>
      <c r="K307" s="186" t="s">
        <v>322</v>
      </c>
      <c r="L307" s="638" t="s">
        <v>255</v>
      </c>
      <c r="M307" s="574" t="s">
        <v>324</v>
      </c>
      <c r="N307" s="574" t="s">
        <v>325</v>
      </c>
      <c r="O307" s="574" t="s">
        <v>326</v>
      </c>
      <c r="P307" s="186"/>
      <c r="Q307" s="186"/>
      <c r="R307" s="186"/>
      <c r="S307" s="186"/>
      <c r="T307" s="186"/>
      <c r="U307" s="186"/>
    </row>
    <row r="308" spans="1:21" x14ac:dyDescent="0.25">
      <c r="A308" s="186" t="s">
        <v>318</v>
      </c>
      <c r="B308" s="637">
        <v>1</v>
      </c>
      <c r="C308" s="186"/>
      <c r="D308" s="186" t="s">
        <v>319</v>
      </c>
      <c r="E308" s="186" t="s">
        <v>319</v>
      </c>
      <c r="F308" s="186" t="s">
        <v>319</v>
      </c>
      <c r="G308" s="186" t="s">
        <v>321</v>
      </c>
      <c r="H308" s="186" t="s">
        <v>322</v>
      </c>
      <c r="I308" s="186" t="s">
        <v>237</v>
      </c>
      <c r="J308" s="186" t="s">
        <v>323</v>
      </c>
      <c r="K308" s="186" t="s">
        <v>322</v>
      </c>
      <c r="L308" s="638" t="s">
        <v>259</v>
      </c>
      <c r="M308" s="574" t="s">
        <v>324</v>
      </c>
      <c r="N308" s="574" t="s">
        <v>325</v>
      </c>
      <c r="O308" s="574" t="s">
        <v>326</v>
      </c>
      <c r="P308" s="186"/>
      <c r="Q308" s="186"/>
      <c r="R308" s="186"/>
      <c r="S308" s="186"/>
      <c r="T308" s="186"/>
      <c r="U308" s="186"/>
    </row>
    <row r="309" spans="1:21" x14ac:dyDescent="0.25">
      <c r="A309" s="186" t="s">
        <v>318</v>
      </c>
      <c r="B309" s="637">
        <v>1</v>
      </c>
      <c r="C309" s="186"/>
      <c r="D309" s="186" t="s">
        <v>319</v>
      </c>
      <c r="E309" s="186" t="s">
        <v>319</v>
      </c>
      <c r="F309" s="186" t="s">
        <v>319</v>
      </c>
      <c r="G309" s="186" t="s">
        <v>321</v>
      </c>
      <c r="H309" s="186" t="s">
        <v>322</v>
      </c>
      <c r="I309" s="186" t="s">
        <v>237</v>
      </c>
      <c r="J309" s="186" t="s">
        <v>323</v>
      </c>
      <c r="K309" s="186" t="s">
        <v>322</v>
      </c>
      <c r="L309" s="638" t="s">
        <v>258</v>
      </c>
      <c r="M309" s="574" t="s">
        <v>324</v>
      </c>
      <c r="N309" s="574" t="s">
        <v>325</v>
      </c>
      <c r="O309" s="574" t="s">
        <v>326</v>
      </c>
      <c r="P309" s="186"/>
      <c r="Q309" s="186"/>
      <c r="R309" s="186"/>
      <c r="S309" s="186"/>
      <c r="T309" s="186"/>
      <c r="U309" s="186"/>
    </row>
    <row r="310" spans="1:21" x14ac:dyDescent="0.25">
      <c r="A310" s="186" t="s">
        <v>318</v>
      </c>
      <c r="B310" s="637">
        <v>1</v>
      </c>
      <c r="C310" s="186"/>
      <c r="D310" s="186" t="s">
        <v>319</v>
      </c>
      <c r="E310" s="186" t="s">
        <v>319</v>
      </c>
      <c r="F310" s="186" t="s">
        <v>319</v>
      </c>
      <c r="G310" s="186" t="s">
        <v>321</v>
      </c>
      <c r="H310" s="186" t="s">
        <v>322</v>
      </c>
      <c r="I310" s="186" t="s">
        <v>237</v>
      </c>
      <c r="J310" s="186" t="s">
        <v>323</v>
      </c>
      <c r="K310" s="186" t="s">
        <v>322</v>
      </c>
      <c r="L310" s="638" t="s">
        <v>257</v>
      </c>
      <c r="M310" s="574" t="s">
        <v>324</v>
      </c>
      <c r="N310" s="574" t="s">
        <v>325</v>
      </c>
      <c r="O310" s="574" t="s">
        <v>326</v>
      </c>
      <c r="P310" s="186"/>
      <c r="Q310" s="186"/>
      <c r="R310" s="186"/>
      <c r="S310" s="186"/>
      <c r="T310" s="186"/>
      <c r="U310" s="186"/>
    </row>
    <row r="311" spans="1:21" x14ac:dyDescent="0.25">
      <c r="A311" s="186" t="s">
        <v>318</v>
      </c>
      <c r="B311" s="637">
        <v>1</v>
      </c>
      <c r="C311" s="186"/>
      <c r="D311" s="186" t="s">
        <v>319</v>
      </c>
      <c r="E311" s="186" t="s">
        <v>319</v>
      </c>
      <c r="F311" s="186" t="s">
        <v>319</v>
      </c>
      <c r="G311" s="186" t="s">
        <v>321</v>
      </c>
      <c r="H311" s="186" t="s">
        <v>322</v>
      </c>
      <c r="I311" s="186" t="s">
        <v>237</v>
      </c>
      <c r="J311" s="186" t="s">
        <v>323</v>
      </c>
      <c r="K311" s="186" t="s">
        <v>322</v>
      </c>
      <c r="L311" s="638" t="s">
        <v>256</v>
      </c>
      <c r="M311" s="574" t="s">
        <v>324</v>
      </c>
      <c r="N311" s="574" t="s">
        <v>325</v>
      </c>
      <c r="O311" s="574" t="s">
        <v>326</v>
      </c>
      <c r="P311" s="186"/>
      <c r="Q311" s="186"/>
      <c r="R311" s="186"/>
      <c r="S311" s="186"/>
      <c r="T311" s="186"/>
      <c r="U311" s="186"/>
    </row>
    <row r="312" spans="1:21" x14ac:dyDescent="0.25">
      <c r="A312" s="638" t="s">
        <v>864</v>
      </c>
      <c r="B312" s="637">
        <v>4.0000000000000002E-4</v>
      </c>
      <c r="C312" s="638"/>
      <c r="D312" s="638" t="s">
        <v>319</v>
      </c>
      <c r="E312" s="638" t="s">
        <v>319</v>
      </c>
      <c r="F312" s="638" t="s">
        <v>319</v>
      </c>
      <c r="G312" s="638" t="s">
        <v>865</v>
      </c>
      <c r="H312" s="638"/>
      <c r="I312" s="638">
        <v>0</v>
      </c>
      <c r="J312" s="186"/>
      <c r="K312" s="186"/>
      <c r="L312" s="186"/>
      <c r="M312" s="186"/>
      <c r="N312" s="186"/>
      <c r="O312" s="186"/>
      <c r="P312" s="186"/>
      <c r="Q312" s="186"/>
      <c r="R312" s="186"/>
      <c r="S312" s="186"/>
      <c r="T312" s="186"/>
      <c r="U312" s="186"/>
    </row>
    <row r="313" spans="1:21" x14ac:dyDescent="0.25">
      <c r="A313" s="638" t="s">
        <v>864</v>
      </c>
      <c r="B313" s="637">
        <v>0.22239999999999999</v>
      </c>
      <c r="C313" s="638"/>
      <c r="D313" s="638" t="s">
        <v>319</v>
      </c>
      <c r="E313" s="638" t="s">
        <v>319</v>
      </c>
      <c r="F313" s="638" t="s">
        <v>319</v>
      </c>
      <c r="G313" s="638" t="s">
        <v>865</v>
      </c>
      <c r="H313" s="638"/>
      <c r="I313" s="638">
        <v>500</v>
      </c>
      <c r="J313" s="186"/>
      <c r="K313" s="186"/>
      <c r="L313" s="186"/>
      <c r="M313" s="186"/>
      <c r="N313" s="186"/>
      <c r="O313" s="186"/>
      <c r="P313" s="186"/>
      <c r="Q313" s="186"/>
      <c r="R313" s="186"/>
      <c r="S313" s="186"/>
      <c r="T313" s="186"/>
      <c r="U313" s="186"/>
    </row>
    <row r="314" spans="1:21" x14ac:dyDescent="0.25">
      <c r="A314" s="638" t="s">
        <v>864</v>
      </c>
      <c r="B314" s="637">
        <v>0.27500000000000002</v>
      </c>
      <c r="C314" s="638"/>
      <c r="D314" s="638" t="s">
        <v>319</v>
      </c>
      <c r="E314" s="638" t="s">
        <v>319</v>
      </c>
      <c r="F314" s="638" t="s">
        <v>319</v>
      </c>
      <c r="G314" s="638" t="s">
        <v>865</v>
      </c>
      <c r="H314" s="638"/>
      <c r="I314" s="638">
        <v>1500</v>
      </c>
      <c r="J314" s="186"/>
      <c r="K314" s="186"/>
      <c r="L314" s="186"/>
      <c r="M314" s="186"/>
      <c r="N314" s="186"/>
      <c r="O314" s="186"/>
      <c r="P314" s="186"/>
      <c r="Q314" s="186"/>
      <c r="R314" s="186"/>
      <c r="S314" s="186"/>
      <c r="T314" s="186"/>
      <c r="U314" s="186"/>
    </row>
    <row r="315" spans="1:21" x14ac:dyDescent="0.25">
      <c r="A315" s="638" t="s">
        <v>864</v>
      </c>
      <c r="B315" s="637">
        <v>0.3276</v>
      </c>
      <c r="C315" s="638"/>
      <c r="D315" s="638" t="s">
        <v>319</v>
      </c>
      <c r="E315" s="638" t="s">
        <v>319</v>
      </c>
      <c r="F315" s="638" t="s">
        <v>319</v>
      </c>
      <c r="G315" s="638" t="s">
        <v>865</v>
      </c>
      <c r="H315" s="638"/>
      <c r="I315" s="638">
        <v>2500</v>
      </c>
      <c r="J315" s="186"/>
      <c r="K315" s="186"/>
      <c r="L315" s="186"/>
      <c r="M315" s="186"/>
      <c r="N315" s="186"/>
      <c r="O315" s="186"/>
      <c r="P315" s="186"/>
      <c r="Q315" s="186"/>
      <c r="R315" s="186"/>
      <c r="S315" s="186"/>
      <c r="T315" s="186"/>
      <c r="U315" s="186"/>
    </row>
    <row r="316" spans="1:21" x14ac:dyDescent="0.25">
      <c r="A316" s="638" t="s">
        <v>864</v>
      </c>
      <c r="B316" s="637">
        <v>0.38030000000000003</v>
      </c>
      <c r="C316" s="638"/>
      <c r="D316" s="638" t="s">
        <v>319</v>
      </c>
      <c r="E316" s="638" t="s">
        <v>319</v>
      </c>
      <c r="F316" s="638" t="s">
        <v>319</v>
      </c>
      <c r="G316" s="638" t="s">
        <v>865</v>
      </c>
      <c r="H316" s="638"/>
      <c r="I316" s="638">
        <v>3500</v>
      </c>
      <c r="J316" s="186"/>
      <c r="K316" s="186"/>
      <c r="L316" s="186"/>
      <c r="M316" s="186"/>
      <c r="N316" s="186"/>
      <c r="O316" s="186"/>
      <c r="P316" s="186"/>
      <c r="Q316" s="186"/>
      <c r="R316" s="186"/>
      <c r="S316" s="186"/>
      <c r="T316" s="186"/>
      <c r="U316" s="186"/>
    </row>
    <row r="317" spans="1:21" x14ac:dyDescent="0.25">
      <c r="A317" s="638" t="s">
        <v>864</v>
      </c>
      <c r="B317" s="637">
        <v>0.48499999999999999</v>
      </c>
      <c r="C317" s="638"/>
      <c r="D317" s="638" t="s">
        <v>319</v>
      </c>
      <c r="E317" s="638" t="s">
        <v>319</v>
      </c>
      <c r="F317" s="638" t="s">
        <v>319</v>
      </c>
      <c r="G317" s="638" t="s">
        <v>865</v>
      </c>
      <c r="H317" s="638"/>
      <c r="I317" s="638">
        <v>4500</v>
      </c>
      <c r="J317" s="186"/>
      <c r="K317" s="186"/>
      <c r="L317" s="186"/>
      <c r="M317" s="186"/>
      <c r="N317" s="186"/>
      <c r="O317" s="186"/>
      <c r="P317" s="186"/>
      <c r="Q317" s="186"/>
      <c r="R317" s="186"/>
      <c r="S317" s="186"/>
      <c r="T317" s="186"/>
      <c r="U317" s="186"/>
    </row>
    <row r="318" spans="1:21" x14ac:dyDescent="0.25">
      <c r="A318" s="638" t="s">
        <v>864</v>
      </c>
      <c r="B318" s="637">
        <v>0.58899999999999997</v>
      </c>
      <c r="C318" s="638"/>
      <c r="D318" s="638" t="s">
        <v>319</v>
      </c>
      <c r="E318" s="638" t="s">
        <v>319</v>
      </c>
      <c r="F318" s="638" t="s">
        <v>319</v>
      </c>
      <c r="G318" s="638" t="s">
        <v>865</v>
      </c>
      <c r="H318" s="638"/>
      <c r="I318" s="638">
        <v>5500</v>
      </c>
      <c r="J318" s="186"/>
      <c r="K318" s="186"/>
      <c r="L318" s="186"/>
      <c r="M318" s="186"/>
      <c r="N318" s="186"/>
      <c r="O318" s="186"/>
      <c r="P318" s="186"/>
      <c r="Q318" s="186"/>
      <c r="R318" s="186"/>
      <c r="S318" s="186"/>
      <c r="T318" s="186"/>
      <c r="U318" s="186"/>
    </row>
    <row r="319" spans="1:21" x14ac:dyDescent="0.25">
      <c r="A319" s="638" t="s">
        <v>864</v>
      </c>
      <c r="B319" s="637">
        <v>0.69240000000000002</v>
      </c>
      <c r="C319" s="638"/>
      <c r="D319" s="638" t="s">
        <v>319</v>
      </c>
      <c r="E319" s="638" t="s">
        <v>319</v>
      </c>
      <c r="F319" s="638" t="s">
        <v>319</v>
      </c>
      <c r="G319" s="638" t="s">
        <v>865</v>
      </c>
      <c r="H319" s="638"/>
      <c r="I319" s="638">
        <v>6500</v>
      </c>
      <c r="J319" s="186"/>
      <c r="K319" s="186"/>
      <c r="L319" s="186"/>
      <c r="M319" s="186"/>
      <c r="N319" s="186"/>
      <c r="O319" s="186"/>
      <c r="P319" s="186"/>
      <c r="Q319" s="186"/>
      <c r="R319" s="186"/>
      <c r="S319" s="186"/>
      <c r="T319" s="186"/>
      <c r="U319" s="186"/>
    </row>
    <row r="320" spans="1:21" x14ac:dyDescent="0.25">
      <c r="A320" s="638" t="s">
        <v>864</v>
      </c>
      <c r="B320" s="637">
        <v>0.79530000000000001</v>
      </c>
      <c r="C320" s="638"/>
      <c r="D320" s="638" t="s">
        <v>319</v>
      </c>
      <c r="E320" s="638" t="s">
        <v>319</v>
      </c>
      <c r="F320" s="638" t="s">
        <v>319</v>
      </c>
      <c r="G320" s="638" t="s">
        <v>865</v>
      </c>
      <c r="H320" s="638"/>
      <c r="I320" s="638">
        <v>7500</v>
      </c>
      <c r="J320" s="186"/>
      <c r="K320" s="186"/>
      <c r="L320" s="186"/>
      <c r="M320" s="186"/>
      <c r="N320" s="186"/>
      <c r="O320" s="186"/>
      <c r="P320" s="186"/>
      <c r="Q320" s="186"/>
      <c r="R320" s="186"/>
      <c r="S320" s="186"/>
      <c r="T320" s="186"/>
      <c r="U320" s="186"/>
    </row>
    <row r="321" spans="1:21" x14ac:dyDescent="0.25">
      <c r="A321" s="638" t="s">
        <v>864</v>
      </c>
      <c r="B321" s="637">
        <v>0.89790000000000003</v>
      </c>
      <c r="C321" s="638"/>
      <c r="D321" s="638" t="s">
        <v>319</v>
      </c>
      <c r="E321" s="638" t="s">
        <v>319</v>
      </c>
      <c r="F321" s="638" t="s">
        <v>319</v>
      </c>
      <c r="G321" s="638" t="s">
        <v>865</v>
      </c>
      <c r="H321" s="638"/>
      <c r="I321" s="638">
        <v>8500</v>
      </c>
      <c r="J321" s="186"/>
      <c r="K321" s="186"/>
      <c r="L321" s="186"/>
      <c r="M321" s="186"/>
      <c r="N321" s="186"/>
      <c r="O321" s="186"/>
      <c r="P321" s="186"/>
      <c r="Q321" s="186"/>
      <c r="R321" s="186"/>
      <c r="S321" s="186"/>
      <c r="T321" s="186"/>
      <c r="U321" s="186"/>
    </row>
    <row r="322" spans="1:21" x14ac:dyDescent="0.25">
      <c r="A322" s="638" t="s">
        <v>864</v>
      </c>
      <c r="B322" s="637">
        <v>1</v>
      </c>
      <c r="C322" s="638"/>
      <c r="D322" s="638" t="s">
        <v>319</v>
      </c>
      <c r="E322" s="638" t="s">
        <v>319</v>
      </c>
      <c r="F322" s="638" t="s">
        <v>319</v>
      </c>
      <c r="G322" s="638" t="s">
        <v>865</v>
      </c>
      <c r="H322" s="638"/>
      <c r="I322" s="638">
        <v>9500</v>
      </c>
      <c r="J322" s="186"/>
      <c r="K322" s="186"/>
      <c r="L322" s="186"/>
      <c r="M322" s="186"/>
      <c r="N322" s="186"/>
      <c r="O322" s="186"/>
      <c r="P322" s="186"/>
      <c r="Q322" s="186"/>
      <c r="R322" s="186"/>
      <c r="S322" s="186"/>
      <c r="T322" s="186"/>
      <c r="U322" s="186"/>
    </row>
    <row r="323" spans="1:21" x14ac:dyDescent="0.25">
      <c r="A323" s="638" t="s">
        <v>864</v>
      </c>
      <c r="B323" s="637">
        <v>1.1017999999999999</v>
      </c>
      <c r="C323" s="638"/>
      <c r="D323" s="638" t="s">
        <v>319</v>
      </c>
      <c r="E323" s="638" t="s">
        <v>319</v>
      </c>
      <c r="F323" s="638" t="s">
        <v>319</v>
      </c>
      <c r="G323" s="638" t="s">
        <v>865</v>
      </c>
      <c r="H323" s="638"/>
      <c r="I323" s="638">
        <v>10500</v>
      </c>
      <c r="J323" s="186"/>
      <c r="K323" s="186"/>
      <c r="L323" s="186"/>
      <c r="M323" s="186"/>
      <c r="N323" s="186"/>
      <c r="O323" s="186"/>
      <c r="P323" s="186"/>
      <c r="Q323" s="186"/>
      <c r="R323" s="186"/>
      <c r="S323" s="186"/>
      <c r="T323" s="186"/>
      <c r="U323" s="186"/>
    </row>
    <row r="324" spans="1:21" x14ac:dyDescent="0.25">
      <c r="A324" s="638" t="s">
        <v>864</v>
      </c>
      <c r="B324" s="637">
        <v>1.2034</v>
      </c>
      <c r="C324" s="638"/>
      <c r="D324" s="638" t="s">
        <v>319</v>
      </c>
      <c r="E324" s="638" t="s">
        <v>319</v>
      </c>
      <c r="F324" s="638" t="s">
        <v>319</v>
      </c>
      <c r="G324" s="638" t="s">
        <v>865</v>
      </c>
      <c r="H324" s="638"/>
      <c r="I324" s="638">
        <v>11500</v>
      </c>
      <c r="J324" s="186"/>
      <c r="K324" s="186"/>
      <c r="L324" s="186"/>
      <c r="M324" s="186"/>
      <c r="N324" s="186"/>
      <c r="O324" s="186"/>
      <c r="P324" s="186"/>
      <c r="Q324" s="186"/>
      <c r="R324" s="186"/>
      <c r="S324" s="186"/>
      <c r="T324" s="186"/>
      <c r="U324" s="186"/>
    </row>
    <row r="325" spans="1:21" x14ac:dyDescent="0.25">
      <c r="A325" s="638" t="s">
        <v>864</v>
      </c>
      <c r="B325" s="637">
        <v>1.3046</v>
      </c>
      <c r="C325" s="638"/>
      <c r="D325" s="638" t="s">
        <v>319</v>
      </c>
      <c r="E325" s="638" t="s">
        <v>319</v>
      </c>
      <c r="F325" s="638" t="s">
        <v>319</v>
      </c>
      <c r="G325" s="638" t="s">
        <v>865</v>
      </c>
      <c r="H325" s="638"/>
      <c r="I325" s="638">
        <v>12500</v>
      </c>
      <c r="J325" s="186"/>
      <c r="K325" s="186"/>
      <c r="L325" s="186"/>
      <c r="M325" s="186"/>
      <c r="N325" s="186"/>
      <c r="O325" s="186"/>
      <c r="P325" s="186"/>
      <c r="Q325" s="186"/>
      <c r="R325" s="186"/>
      <c r="S325" s="186"/>
      <c r="T325" s="186"/>
      <c r="U325" s="186"/>
    </row>
    <row r="326" spans="1:21" x14ac:dyDescent="0.25">
      <c r="A326" s="638" t="s">
        <v>864</v>
      </c>
      <c r="B326" s="637">
        <v>1.4056</v>
      </c>
      <c r="C326" s="638"/>
      <c r="D326" s="638" t="s">
        <v>319</v>
      </c>
      <c r="E326" s="638" t="s">
        <v>319</v>
      </c>
      <c r="F326" s="638" t="s">
        <v>319</v>
      </c>
      <c r="G326" s="638" t="s">
        <v>865</v>
      </c>
      <c r="H326" s="638"/>
      <c r="I326" s="638">
        <v>13500</v>
      </c>
      <c r="J326" s="186"/>
      <c r="K326" s="186"/>
      <c r="L326" s="186"/>
      <c r="M326" s="186"/>
      <c r="N326" s="186"/>
      <c r="O326" s="186"/>
      <c r="P326" s="186"/>
      <c r="Q326" s="186"/>
      <c r="R326" s="186"/>
      <c r="S326" s="186"/>
      <c r="T326" s="186"/>
      <c r="U326" s="186"/>
    </row>
    <row r="327" spans="1:21" x14ac:dyDescent="0.25">
      <c r="A327" s="638" t="s">
        <v>864</v>
      </c>
      <c r="B327" s="637">
        <v>1.5065</v>
      </c>
      <c r="C327" s="638"/>
      <c r="D327" s="638" t="s">
        <v>319</v>
      </c>
      <c r="E327" s="638" t="s">
        <v>319</v>
      </c>
      <c r="F327" s="638" t="s">
        <v>319</v>
      </c>
      <c r="G327" s="638" t="s">
        <v>865</v>
      </c>
      <c r="H327" s="638"/>
      <c r="I327" s="638">
        <v>14500</v>
      </c>
      <c r="J327" s="186"/>
      <c r="K327" s="186"/>
      <c r="L327" s="186"/>
      <c r="M327" s="186"/>
      <c r="N327" s="186"/>
      <c r="O327" s="186"/>
      <c r="P327" s="186"/>
      <c r="Q327" s="186"/>
      <c r="R327" s="186"/>
      <c r="S327" s="186"/>
      <c r="T327" s="186"/>
      <c r="U327" s="186"/>
    </row>
    <row r="328" spans="1:21" x14ac:dyDescent="0.25">
      <c r="A328" s="638" t="s">
        <v>864</v>
      </c>
      <c r="B328" s="637">
        <v>1.607</v>
      </c>
      <c r="C328" s="638"/>
      <c r="D328" s="638" t="s">
        <v>319</v>
      </c>
      <c r="E328" s="638" t="s">
        <v>319</v>
      </c>
      <c r="F328" s="638" t="s">
        <v>319</v>
      </c>
      <c r="G328" s="638" t="s">
        <v>865</v>
      </c>
      <c r="H328" s="638"/>
      <c r="I328" s="638">
        <v>15500</v>
      </c>
      <c r="J328" s="186"/>
      <c r="K328" s="186"/>
      <c r="L328" s="186"/>
      <c r="M328" s="186"/>
      <c r="N328" s="186"/>
      <c r="O328" s="186"/>
      <c r="P328" s="186"/>
      <c r="Q328" s="186"/>
      <c r="R328" s="186"/>
      <c r="S328" s="186"/>
      <c r="T328" s="186"/>
      <c r="U328" s="186"/>
    </row>
    <row r="329" spans="1:21" x14ac:dyDescent="0.25">
      <c r="A329" s="638" t="s">
        <v>864</v>
      </c>
      <c r="B329" s="637">
        <v>1.7074</v>
      </c>
      <c r="C329" s="638"/>
      <c r="D329" s="638" t="s">
        <v>319</v>
      </c>
      <c r="E329" s="638" t="s">
        <v>319</v>
      </c>
      <c r="F329" s="638" t="s">
        <v>319</v>
      </c>
      <c r="G329" s="638" t="s">
        <v>865</v>
      </c>
      <c r="H329" s="638"/>
      <c r="I329" s="638">
        <v>16500</v>
      </c>
      <c r="J329" s="186"/>
      <c r="K329" s="186"/>
      <c r="L329" s="186"/>
      <c r="M329" s="186"/>
      <c r="N329" s="186"/>
      <c r="O329" s="186"/>
      <c r="P329" s="186"/>
      <c r="Q329" s="186"/>
      <c r="R329" s="186"/>
      <c r="S329" s="186"/>
      <c r="T329" s="186"/>
      <c r="U329" s="186"/>
    </row>
    <row r="330" spans="1:21" x14ac:dyDescent="0.25">
      <c r="A330" s="638" t="s">
        <v>864</v>
      </c>
      <c r="B330" s="637">
        <v>1.8077000000000001</v>
      </c>
      <c r="C330" s="638"/>
      <c r="D330" s="638" t="s">
        <v>319</v>
      </c>
      <c r="E330" s="638" t="s">
        <v>319</v>
      </c>
      <c r="F330" s="638" t="s">
        <v>319</v>
      </c>
      <c r="G330" s="638" t="s">
        <v>865</v>
      </c>
      <c r="H330" s="638"/>
      <c r="I330" s="638">
        <v>17500</v>
      </c>
      <c r="J330" s="186"/>
      <c r="K330" s="186"/>
      <c r="L330" s="186"/>
      <c r="M330" s="186"/>
      <c r="N330" s="186"/>
      <c r="O330" s="186"/>
      <c r="P330" s="186"/>
      <c r="Q330" s="186"/>
      <c r="R330" s="186"/>
      <c r="S330" s="186"/>
      <c r="T330" s="186"/>
      <c r="U330" s="186"/>
    </row>
    <row r="331" spans="1:21" x14ac:dyDescent="0.25">
      <c r="A331" s="638" t="s">
        <v>864</v>
      </c>
      <c r="B331" s="637">
        <v>1.9077</v>
      </c>
      <c r="C331" s="638"/>
      <c r="D331" s="638" t="s">
        <v>319</v>
      </c>
      <c r="E331" s="638" t="s">
        <v>319</v>
      </c>
      <c r="F331" s="638" t="s">
        <v>319</v>
      </c>
      <c r="G331" s="638" t="s">
        <v>865</v>
      </c>
      <c r="H331" s="638"/>
      <c r="I331" s="638">
        <v>18500</v>
      </c>
      <c r="J331" s="186"/>
      <c r="K331" s="186"/>
      <c r="L331" s="186"/>
      <c r="M331" s="186"/>
      <c r="N331" s="186"/>
      <c r="O331" s="186"/>
      <c r="P331" s="186"/>
      <c r="Q331" s="186"/>
      <c r="R331" s="186"/>
      <c r="S331" s="186"/>
      <c r="T331" s="186"/>
      <c r="U331" s="186"/>
    </row>
    <row r="332" spans="1:21" x14ac:dyDescent="0.25">
      <c r="A332" s="638" t="s">
        <v>864</v>
      </c>
      <c r="B332" s="637">
        <v>2.0076000000000001</v>
      </c>
      <c r="C332" s="638"/>
      <c r="D332" s="638" t="s">
        <v>319</v>
      </c>
      <c r="E332" s="638" t="s">
        <v>319</v>
      </c>
      <c r="F332" s="638" t="s">
        <v>319</v>
      </c>
      <c r="G332" s="638" t="s">
        <v>865</v>
      </c>
      <c r="H332" s="638"/>
      <c r="I332" s="638">
        <v>19500</v>
      </c>
      <c r="J332" s="186"/>
      <c r="K332" s="186"/>
      <c r="L332" s="186"/>
      <c r="M332" s="186"/>
      <c r="N332" s="186"/>
      <c r="O332" s="186"/>
      <c r="P332" s="186"/>
      <c r="Q332" s="186"/>
      <c r="R332" s="186"/>
      <c r="S332" s="186"/>
      <c r="T332" s="186"/>
      <c r="U332" s="186"/>
    </row>
    <row r="333" spans="1:21" x14ac:dyDescent="0.25">
      <c r="A333" s="638" t="s">
        <v>864</v>
      </c>
      <c r="B333" s="637">
        <v>2.1074000000000002</v>
      </c>
      <c r="C333" s="638"/>
      <c r="D333" s="638" t="s">
        <v>319</v>
      </c>
      <c r="E333" s="638" t="s">
        <v>319</v>
      </c>
      <c r="F333" s="638" t="s">
        <v>319</v>
      </c>
      <c r="G333" s="638" t="s">
        <v>865</v>
      </c>
      <c r="H333" s="638"/>
      <c r="I333" s="638">
        <v>20500</v>
      </c>
      <c r="J333" s="186"/>
      <c r="K333" s="186"/>
      <c r="L333" s="186"/>
      <c r="M333" s="186"/>
      <c r="N333" s="186"/>
      <c r="O333" s="186"/>
      <c r="P333" s="186"/>
      <c r="Q333" s="186"/>
      <c r="R333" s="186"/>
      <c r="S333" s="186"/>
      <c r="T333" s="186"/>
      <c r="U333" s="186"/>
    </row>
    <row r="334" spans="1:21" x14ac:dyDescent="0.25">
      <c r="A334" s="638" t="s">
        <v>864</v>
      </c>
      <c r="B334" s="637">
        <v>2.2082000000000002</v>
      </c>
      <c r="C334" s="638"/>
      <c r="D334" s="638" t="s">
        <v>319</v>
      </c>
      <c r="E334" s="638" t="s">
        <v>319</v>
      </c>
      <c r="F334" s="638" t="s">
        <v>319</v>
      </c>
      <c r="G334" s="638" t="s">
        <v>865</v>
      </c>
      <c r="H334" s="638"/>
      <c r="I334" s="638">
        <v>21500</v>
      </c>
      <c r="J334" s="186"/>
      <c r="K334" s="186"/>
      <c r="L334" s="186"/>
      <c r="M334" s="186"/>
      <c r="N334" s="186"/>
      <c r="O334" s="186"/>
      <c r="P334" s="186"/>
      <c r="Q334" s="186"/>
      <c r="R334" s="186"/>
      <c r="S334" s="186"/>
      <c r="T334" s="186"/>
      <c r="U334" s="186"/>
    </row>
    <row r="335" spans="1:21" x14ac:dyDescent="0.25">
      <c r="A335" s="638" t="s">
        <v>864</v>
      </c>
      <c r="B335" s="637">
        <v>2.3090999999999999</v>
      </c>
      <c r="C335" s="638"/>
      <c r="D335" s="638" t="s">
        <v>319</v>
      </c>
      <c r="E335" s="638" t="s">
        <v>319</v>
      </c>
      <c r="F335" s="638" t="s">
        <v>319</v>
      </c>
      <c r="G335" s="638" t="s">
        <v>865</v>
      </c>
      <c r="H335" s="638"/>
      <c r="I335" s="638">
        <v>22500</v>
      </c>
      <c r="J335" s="186"/>
      <c r="K335" s="186"/>
      <c r="L335" s="186"/>
      <c r="M335" s="186"/>
      <c r="N335" s="186"/>
      <c r="O335" s="186"/>
      <c r="P335" s="186"/>
      <c r="Q335" s="186"/>
      <c r="R335" s="186"/>
      <c r="S335" s="186"/>
      <c r="T335" s="186"/>
      <c r="U335" s="186"/>
    </row>
    <row r="336" spans="1:21" x14ac:dyDescent="0.25">
      <c r="A336" s="638" t="s">
        <v>864</v>
      </c>
      <c r="B336" s="637">
        <v>2.4098000000000002</v>
      </c>
      <c r="C336" s="638"/>
      <c r="D336" s="638" t="s">
        <v>319</v>
      </c>
      <c r="E336" s="638" t="s">
        <v>319</v>
      </c>
      <c r="F336" s="638" t="s">
        <v>319</v>
      </c>
      <c r="G336" s="638" t="s">
        <v>865</v>
      </c>
      <c r="H336" s="638"/>
      <c r="I336" s="638">
        <v>23500</v>
      </c>
      <c r="J336" s="186"/>
      <c r="K336" s="186"/>
      <c r="L336" s="186"/>
      <c r="M336" s="186"/>
      <c r="N336" s="186"/>
      <c r="O336" s="186"/>
      <c r="P336" s="186"/>
      <c r="Q336" s="186"/>
      <c r="R336" s="186"/>
      <c r="S336" s="186"/>
      <c r="T336" s="186"/>
      <c r="U336" s="186"/>
    </row>
    <row r="337" spans="1:21" x14ac:dyDescent="0.25">
      <c r="A337" s="638" t="s">
        <v>864</v>
      </c>
      <c r="B337" s="637">
        <v>2.5104000000000002</v>
      </c>
      <c r="C337" s="638"/>
      <c r="D337" s="638" t="s">
        <v>319</v>
      </c>
      <c r="E337" s="638" t="s">
        <v>319</v>
      </c>
      <c r="F337" s="638" t="s">
        <v>319</v>
      </c>
      <c r="G337" s="638" t="s">
        <v>865</v>
      </c>
      <c r="H337" s="638"/>
      <c r="I337" s="638">
        <v>24500</v>
      </c>
      <c r="J337" s="186"/>
      <c r="K337" s="186"/>
      <c r="L337" s="186"/>
      <c r="M337" s="186"/>
      <c r="N337" s="186"/>
      <c r="O337" s="186"/>
      <c r="P337" s="186"/>
      <c r="Q337" s="186"/>
      <c r="R337" s="186"/>
      <c r="S337" s="186"/>
      <c r="T337" s="186"/>
      <c r="U337" s="186"/>
    </row>
    <row r="338" spans="1:21" x14ac:dyDescent="0.25">
      <c r="A338" s="638" t="s">
        <v>864</v>
      </c>
      <c r="B338" s="637">
        <v>2.6110000000000002</v>
      </c>
      <c r="C338" s="638"/>
      <c r="D338" s="638" t="s">
        <v>319</v>
      </c>
      <c r="E338" s="638" t="s">
        <v>319</v>
      </c>
      <c r="F338" s="638" t="s">
        <v>319</v>
      </c>
      <c r="G338" s="638" t="s">
        <v>865</v>
      </c>
      <c r="H338" s="638"/>
      <c r="I338" s="638">
        <v>25500</v>
      </c>
      <c r="J338" s="186"/>
      <c r="K338" s="186"/>
      <c r="L338" s="186"/>
      <c r="M338" s="186"/>
      <c r="N338" s="186"/>
      <c r="O338" s="186"/>
      <c r="P338" s="186"/>
      <c r="Q338" s="186"/>
      <c r="R338" s="186"/>
      <c r="S338" s="186"/>
      <c r="T338" s="186"/>
      <c r="U338" s="186"/>
    </row>
    <row r="339" spans="1:21" x14ac:dyDescent="0.25">
      <c r="A339" s="638" t="s">
        <v>864</v>
      </c>
      <c r="B339" s="637">
        <v>2.7115</v>
      </c>
      <c r="C339" s="638"/>
      <c r="D339" s="638" t="s">
        <v>319</v>
      </c>
      <c r="E339" s="638" t="s">
        <v>319</v>
      </c>
      <c r="F339" s="638" t="s">
        <v>319</v>
      </c>
      <c r="G339" s="638" t="s">
        <v>865</v>
      </c>
      <c r="H339" s="638"/>
      <c r="I339" s="638">
        <v>26500</v>
      </c>
      <c r="J339" s="186"/>
      <c r="K339" s="186"/>
      <c r="L339" s="186"/>
      <c r="M339" s="186"/>
      <c r="N339" s="186"/>
      <c r="O339" s="186"/>
      <c r="P339" s="186"/>
      <c r="Q339" s="186"/>
      <c r="R339" s="186"/>
      <c r="S339" s="186"/>
      <c r="T339" s="186"/>
      <c r="U339" s="186"/>
    </row>
    <row r="340" spans="1:21" x14ac:dyDescent="0.25">
      <c r="A340" s="638" t="s">
        <v>864</v>
      </c>
      <c r="B340" s="637">
        <v>2.8119999999999998</v>
      </c>
      <c r="C340" s="638"/>
      <c r="D340" s="638" t="s">
        <v>319</v>
      </c>
      <c r="E340" s="638" t="s">
        <v>319</v>
      </c>
      <c r="F340" s="638" t="s">
        <v>319</v>
      </c>
      <c r="G340" s="638" t="s">
        <v>865</v>
      </c>
      <c r="H340" s="638"/>
      <c r="I340" s="638">
        <v>27500</v>
      </c>
      <c r="J340" s="186"/>
      <c r="K340" s="186"/>
      <c r="L340" s="186"/>
      <c r="M340" s="186"/>
      <c r="N340" s="186"/>
      <c r="O340" s="186"/>
      <c r="P340" s="186"/>
      <c r="Q340" s="186"/>
      <c r="R340" s="186"/>
      <c r="S340" s="186"/>
      <c r="T340" s="186"/>
      <c r="U340" s="186"/>
    </row>
    <row r="341" spans="1:21" x14ac:dyDescent="0.25">
      <c r="A341" s="638" t="s">
        <v>864</v>
      </c>
      <c r="B341" s="637">
        <v>2.9123999999999999</v>
      </c>
      <c r="C341" s="638"/>
      <c r="D341" s="638" t="s">
        <v>319</v>
      </c>
      <c r="E341" s="638" t="s">
        <v>319</v>
      </c>
      <c r="F341" s="638" t="s">
        <v>319</v>
      </c>
      <c r="G341" s="638" t="s">
        <v>865</v>
      </c>
      <c r="H341" s="638"/>
      <c r="I341" s="638">
        <v>28500</v>
      </c>
      <c r="J341" s="186"/>
      <c r="K341" s="186"/>
      <c r="L341" s="186"/>
      <c r="M341" s="186"/>
      <c r="N341" s="186"/>
      <c r="O341" s="186"/>
      <c r="P341" s="186"/>
      <c r="Q341" s="186"/>
      <c r="R341" s="186"/>
      <c r="S341" s="186"/>
      <c r="T341" s="186"/>
      <c r="U341" s="186"/>
    </row>
    <row r="342" spans="1:21" x14ac:dyDescent="0.25">
      <c r="A342" s="638" t="s">
        <v>864</v>
      </c>
      <c r="B342" s="637">
        <v>3.0127000000000002</v>
      </c>
      <c r="C342" s="638"/>
      <c r="D342" s="638" t="s">
        <v>319</v>
      </c>
      <c r="E342" s="638" t="s">
        <v>319</v>
      </c>
      <c r="F342" s="638" t="s">
        <v>319</v>
      </c>
      <c r="G342" s="638" t="s">
        <v>865</v>
      </c>
      <c r="H342" s="638"/>
      <c r="I342" s="638">
        <v>29500</v>
      </c>
      <c r="J342" s="186"/>
      <c r="K342" s="186"/>
      <c r="L342" s="186"/>
      <c r="M342" s="186"/>
      <c r="N342" s="186"/>
      <c r="O342" s="186"/>
      <c r="P342" s="186"/>
      <c r="Q342" s="186"/>
      <c r="R342" s="186"/>
      <c r="S342" s="186"/>
      <c r="T342" s="186"/>
      <c r="U342" s="186"/>
    </row>
    <row r="343" spans="1:21" x14ac:dyDescent="0.25">
      <c r="A343" s="638" t="s">
        <v>864</v>
      </c>
      <c r="B343" s="637">
        <v>3.1128999999999998</v>
      </c>
      <c r="C343" s="638"/>
      <c r="D343" s="638" t="s">
        <v>319</v>
      </c>
      <c r="E343" s="638" t="s">
        <v>319</v>
      </c>
      <c r="F343" s="638" t="s">
        <v>319</v>
      </c>
      <c r="G343" s="638" t="s">
        <v>865</v>
      </c>
      <c r="H343" s="638"/>
      <c r="I343" s="638">
        <v>30500</v>
      </c>
      <c r="J343" s="186"/>
      <c r="K343" s="186"/>
      <c r="L343" s="186"/>
      <c r="M343" s="186"/>
      <c r="N343" s="186"/>
      <c r="O343" s="186"/>
      <c r="P343" s="186"/>
      <c r="Q343" s="186"/>
      <c r="R343" s="186"/>
      <c r="S343" s="186"/>
      <c r="T343" s="186"/>
      <c r="U343" s="186"/>
    </row>
    <row r="344" spans="1:21" x14ac:dyDescent="0.25">
      <c r="A344" s="638" t="s">
        <v>864</v>
      </c>
      <c r="B344" s="637">
        <v>3.2130999999999998</v>
      </c>
      <c r="C344" s="638"/>
      <c r="D344" s="638" t="s">
        <v>319</v>
      </c>
      <c r="E344" s="638" t="s">
        <v>319</v>
      </c>
      <c r="F344" s="638" t="s">
        <v>319</v>
      </c>
      <c r="G344" s="638" t="s">
        <v>865</v>
      </c>
      <c r="H344" s="638"/>
      <c r="I344" s="638">
        <v>31500</v>
      </c>
      <c r="J344" s="186"/>
      <c r="K344" s="186"/>
      <c r="L344" s="186"/>
      <c r="M344" s="186"/>
      <c r="N344" s="186"/>
      <c r="O344" s="186"/>
      <c r="P344" s="186"/>
      <c r="Q344" s="186"/>
      <c r="R344" s="186"/>
      <c r="S344" s="186"/>
      <c r="T344" s="186"/>
      <c r="U344" s="186"/>
    </row>
    <row r="345" spans="1:21" x14ac:dyDescent="0.25">
      <c r="A345" s="638" t="s">
        <v>864</v>
      </c>
      <c r="B345" s="637">
        <v>3.3132999999999999</v>
      </c>
      <c r="C345" s="638"/>
      <c r="D345" s="638" t="s">
        <v>319</v>
      </c>
      <c r="E345" s="638" t="s">
        <v>319</v>
      </c>
      <c r="F345" s="638" t="s">
        <v>319</v>
      </c>
      <c r="G345" s="638" t="s">
        <v>865</v>
      </c>
      <c r="H345" s="638"/>
      <c r="I345" s="638">
        <v>32500</v>
      </c>
      <c r="J345" s="186"/>
      <c r="K345" s="186"/>
      <c r="L345" s="186"/>
      <c r="M345" s="186"/>
      <c r="N345" s="186"/>
      <c r="O345" s="186"/>
      <c r="P345" s="186"/>
      <c r="Q345" s="186"/>
      <c r="R345" s="186"/>
      <c r="S345" s="186"/>
      <c r="T345" s="186"/>
      <c r="U345" s="186"/>
    </row>
    <row r="346" spans="1:21" x14ac:dyDescent="0.25">
      <c r="A346" s="638" t="s">
        <v>864</v>
      </c>
      <c r="B346" s="637">
        <v>3.4134000000000002</v>
      </c>
      <c r="C346" s="638"/>
      <c r="D346" s="638" t="s">
        <v>319</v>
      </c>
      <c r="E346" s="638" t="s">
        <v>319</v>
      </c>
      <c r="F346" s="638" t="s">
        <v>319</v>
      </c>
      <c r="G346" s="638" t="s">
        <v>865</v>
      </c>
      <c r="H346" s="638"/>
      <c r="I346" s="638">
        <v>33500</v>
      </c>
      <c r="J346" s="186"/>
      <c r="K346" s="186"/>
      <c r="L346" s="186"/>
      <c r="M346" s="186"/>
      <c r="N346" s="186"/>
      <c r="O346" s="186"/>
      <c r="P346" s="186"/>
      <c r="Q346" s="186"/>
      <c r="R346" s="186"/>
      <c r="S346" s="186"/>
      <c r="T346" s="186"/>
      <c r="U346" s="186"/>
    </row>
    <row r="347" spans="1:21" x14ac:dyDescent="0.25">
      <c r="A347" s="638" t="s">
        <v>864</v>
      </c>
      <c r="B347" s="637">
        <v>3.5133999999999999</v>
      </c>
      <c r="C347" s="638"/>
      <c r="D347" s="638" t="s">
        <v>319</v>
      </c>
      <c r="E347" s="638" t="s">
        <v>319</v>
      </c>
      <c r="F347" s="638" t="s">
        <v>319</v>
      </c>
      <c r="G347" s="638" t="s">
        <v>865</v>
      </c>
      <c r="H347" s="638"/>
      <c r="I347" s="638">
        <v>34500</v>
      </c>
      <c r="J347" s="186"/>
      <c r="K347" s="186"/>
      <c r="L347" s="186"/>
      <c r="M347" s="186"/>
      <c r="N347" s="186"/>
      <c r="O347" s="186"/>
      <c r="P347" s="186"/>
      <c r="Q347" s="186"/>
      <c r="R347" s="186"/>
      <c r="S347" s="186"/>
      <c r="T347" s="186"/>
      <c r="U347" s="186"/>
    </row>
    <row r="348" spans="1:21" x14ac:dyDescent="0.25">
      <c r="A348" s="638" t="s">
        <v>864</v>
      </c>
      <c r="B348" s="637">
        <v>3.6133999999999999</v>
      </c>
      <c r="C348" s="638"/>
      <c r="D348" s="638" t="s">
        <v>319</v>
      </c>
      <c r="E348" s="638" t="s">
        <v>319</v>
      </c>
      <c r="F348" s="638" t="s">
        <v>319</v>
      </c>
      <c r="G348" s="638" t="s">
        <v>865</v>
      </c>
      <c r="H348" s="638"/>
      <c r="I348" s="638">
        <v>35500</v>
      </c>
      <c r="J348" s="186"/>
      <c r="K348" s="186"/>
      <c r="L348" s="186"/>
      <c r="M348" s="186"/>
      <c r="N348" s="186"/>
      <c r="O348" s="186"/>
      <c r="P348" s="186"/>
      <c r="Q348" s="186"/>
      <c r="R348" s="186"/>
      <c r="S348" s="186"/>
      <c r="T348" s="186"/>
      <c r="U348" s="186"/>
    </row>
    <row r="349" spans="1:21" x14ac:dyDescent="0.25">
      <c r="A349" s="638" t="s">
        <v>864</v>
      </c>
      <c r="B349" s="637">
        <v>3.7132999999999998</v>
      </c>
      <c r="C349" s="638"/>
      <c r="D349" s="638" t="s">
        <v>319</v>
      </c>
      <c r="E349" s="638" t="s">
        <v>319</v>
      </c>
      <c r="F349" s="638" t="s">
        <v>319</v>
      </c>
      <c r="G349" s="638" t="s">
        <v>865</v>
      </c>
      <c r="H349" s="638"/>
      <c r="I349" s="638">
        <v>36500</v>
      </c>
      <c r="J349" s="186"/>
      <c r="K349" s="186"/>
      <c r="L349" s="186"/>
      <c r="M349" s="186"/>
      <c r="N349" s="186"/>
      <c r="O349" s="186"/>
      <c r="P349" s="186"/>
      <c r="Q349" s="186"/>
      <c r="R349" s="186"/>
      <c r="S349" s="186"/>
      <c r="T349" s="186"/>
      <c r="U349" s="186"/>
    </row>
    <row r="350" spans="1:21" x14ac:dyDescent="0.25">
      <c r="A350" s="638" t="s">
        <v>864</v>
      </c>
      <c r="B350" s="637">
        <v>3.8132000000000001</v>
      </c>
      <c r="C350" s="638"/>
      <c r="D350" s="638" t="s">
        <v>319</v>
      </c>
      <c r="E350" s="638" t="s">
        <v>319</v>
      </c>
      <c r="F350" s="638" t="s">
        <v>319</v>
      </c>
      <c r="G350" s="638" t="s">
        <v>865</v>
      </c>
      <c r="H350" s="638"/>
      <c r="I350" s="638">
        <v>37500</v>
      </c>
      <c r="J350" s="186"/>
      <c r="K350" s="186"/>
      <c r="L350" s="186"/>
      <c r="M350" s="186"/>
      <c r="N350" s="186"/>
      <c r="O350" s="186"/>
      <c r="P350" s="186"/>
      <c r="Q350" s="186"/>
      <c r="R350" s="186"/>
      <c r="S350" s="186"/>
      <c r="T350" s="186"/>
      <c r="U350" s="186"/>
    </row>
    <row r="351" spans="1:21" x14ac:dyDescent="0.25">
      <c r="A351" s="638" t="s">
        <v>864</v>
      </c>
      <c r="B351" s="637">
        <v>3.9129999999999998</v>
      </c>
      <c r="C351" s="638"/>
      <c r="D351" s="638" t="s">
        <v>319</v>
      </c>
      <c r="E351" s="638" t="s">
        <v>319</v>
      </c>
      <c r="F351" s="638" t="s">
        <v>319</v>
      </c>
      <c r="G351" s="638" t="s">
        <v>865</v>
      </c>
      <c r="H351" s="638"/>
      <c r="I351" s="638">
        <v>38500</v>
      </c>
      <c r="J351" s="186"/>
      <c r="K351" s="186"/>
      <c r="L351" s="186"/>
      <c r="M351" s="186"/>
      <c r="N351" s="186"/>
      <c r="O351" s="186"/>
      <c r="P351" s="186"/>
      <c r="Q351" s="186"/>
      <c r="R351" s="186"/>
      <c r="S351" s="186"/>
      <c r="T351" s="186"/>
      <c r="U351" s="186"/>
    </row>
    <row r="352" spans="1:21" x14ac:dyDescent="0.25">
      <c r="A352" s="638" t="s">
        <v>864</v>
      </c>
      <c r="B352" s="637">
        <v>4.0128000000000004</v>
      </c>
      <c r="C352" s="638"/>
      <c r="D352" s="638" t="s">
        <v>319</v>
      </c>
      <c r="E352" s="638" t="s">
        <v>319</v>
      </c>
      <c r="F352" s="638" t="s">
        <v>319</v>
      </c>
      <c r="G352" s="638" t="s">
        <v>865</v>
      </c>
      <c r="H352" s="638"/>
      <c r="I352" s="638">
        <v>39500</v>
      </c>
      <c r="J352" s="186"/>
      <c r="K352" s="186"/>
      <c r="L352" s="186"/>
      <c r="M352" s="186"/>
      <c r="N352" s="186"/>
      <c r="O352" s="186"/>
      <c r="P352" s="186"/>
      <c r="Q352" s="186"/>
      <c r="R352" s="186"/>
      <c r="S352" s="186"/>
      <c r="T352" s="186"/>
      <c r="U352" s="186"/>
    </row>
    <row r="353" spans="1:21" x14ac:dyDescent="0.25">
      <c r="A353" s="638" t="s">
        <v>864</v>
      </c>
      <c r="B353" s="637">
        <v>4.1125999999999996</v>
      </c>
      <c r="C353" s="638"/>
      <c r="D353" s="638" t="s">
        <v>319</v>
      </c>
      <c r="E353" s="638" t="s">
        <v>319</v>
      </c>
      <c r="F353" s="638" t="s">
        <v>319</v>
      </c>
      <c r="G353" s="638" t="s">
        <v>865</v>
      </c>
      <c r="H353" s="638"/>
      <c r="I353" s="638">
        <v>40500</v>
      </c>
      <c r="J353" s="186"/>
      <c r="K353" s="186"/>
      <c r="L353" s="186"/>
      <c r="M353" s="186"/>
      <c r="N353" s="186"/>
      <c r="O353" s="186"/>
      <c r="P353" s="186"/>
      <c r="Q353" s="186"/>
      <c r="R353" s="186"/>
      <c r="S353" s="186"/>
      <c r="T353" s="186"/>
      <c r="U353" s="186"/>
    </row>
    <row r="354" spans="1:21" x14ac:dyDescent="0.25">
      <c r="A354" s="638" t="s">
        <v>864</v>
      </c>
      <c r="B354" s="637">
        <v>4.2122999999999999</v>
      </c>
      <c r="C354" s="638"/>
      <c r="D354" s="638" t="s">
        <v>319</v>
      </c>
      <c r="E354" s="638" t="s">
        <v>319</v>
      </c>
      <c r="F354" s="638" t="s">
        <v>319</v>
      </c>
      <c r="G354" s="638" t="s">
        <v>865</v>
      </c>
      <c r="H354" s="638"/>
      <c r="I354" s="638">
        <v>41500</v>
      </c>
      <c r="J354" s="186"/>
      <c r="K354" s="186"/>
      <c r="L354" s="186"/>
      <c r="M354" s="186"/>
      <c r="N354" s="186"/>
      <c r="O354" s="186"/>
      <c r="P354" s="186"/>
      <c r="Q354" s="186"/>
      <c r="R354" s="186"/>
      <c r="S354" s="186"/>
      <c r="T354" s="186"/>
      <c r="U354" s="186"/>
    </row>
    <row r="355" spans="1:21" x14ac:dyDescent="0.25">
      <c r="A355" s="638" t="s">
        <v>864</v>
      </c>
      <c r="B355" s="637">
        <v>4.3118999999999996</v>
      </c>
      <c r="C355" s="638"/>
      <c r="D355" s="638" t="s">
        <v>319</v>
      </c>
      <c r="E355" s="638" t="s">
        <v>319</v>
      </c>
      <c r="F355" s="638" t="s">
        <v>319</v>
      </c>
      <c r="G355" s="638" t="s">
        <v>865</v>
      </c>
      <c r="H355" s="638"/>
      <c r="I355" s="638">
        <v>42500</v>
      </c>
      <c r="J355" s="186"/>
      <c r="K355" s="186"/>
      <c r="L355" s="186"/>
      <c r="M355" s="186"/>
      <c r="N355" s="186"/>
      <c r="O355" s="186"/>
      <c r="P355" s="186"/>
      <c r="Q355" s="186"/>
      <c r="R355" s="186"/>
      <c r="S355" s="186"/>
      <c r="T355" s="186"/>
      <c r="U355" s="186"/>
    </row>
    <row r="356" spans="1:21" x14ac:dyDescent="0.25">
      <c r="A356" s="638" t="s">
        <v>864</v>
      </c>
      <c r="B356" s="637">
        <v>4.4116</v>
      </c>
      <c r="C356" s="638"/>
      <c r="D356" s="638" t="s">
        <v>319</v>
      </c>
      <c r="E356" s="638" t="s">
        <v>319</v>
      </c>
      <c r="F356" s="638" t="s">
        <v>319</v>
      </c>
      <c r="G356" s="638" t="s">
        <v>865</v>
      </c>
      <c r="H356" s="638"/>
      <c r="I356" s="638">
        <v>43500</v>
      </c>
      <c r="J356" s="186"/>
      <c r="K356" s="186"/>
      <c r="L356" s="186"/>
      <c r="M356" s="186"/>
      <c r="N356" s="186"/>
      <c r="O356" s="186"/>
      <c r="P356" s="186"/>
      <c r="Q356" s="186"/>
      <c r="R356" s="186"/>
      <c r="S356" s="186"/>
      <c r="T356" s="186"/>
      <c r="U356" s="186"/>
    </row>
    <row r="357" spans="1:21" x14ac:dyDescent="0.25">
      <c r="A357" s="638" t="s">
        <v>864</v>
      </c>
      <c r="B357" s="637">
        <v>4.5111999999999997</v>
      </c>
      <c r="C357" s="638"/>
      <c r="D357" s="638" t="s">
        <v>319</v>
      </c>
      <c r="E357" s="638" t="s">
        <v>319</v>
      </c>
      <c r="F357" s="638" t="s">
        <v>319</v>
      </c>
      <c r="G357" s="638" t="s">
        <v>865</v>
      </c>
      <c r="H357" s="638"/>
      <c r="I357" s="638">
        <v>44500</v>
      </c>
      <c r="J357" s="186"/>
      <c r="K357" s="186"/>
      <c r="L357" s="186"/>
      <c r="M357" s="186"/>
      <c r="N357" s="186"/>
      <c r="O357" s="186"/>
      <c r="P357" s="186"/>
      <c r="Q357" s="186"/>
      <c r="R357" s="186"/>
      <c r="S357" s="186"/>
      <c r="T357" s="186"/>
      <c r="U357" s="186"/>
    </row>
    <row r="358" spans="1:21" x14ac:dyDescent="0.25">
      <c r="A358" s="638" t="s">
        <v>864</v>
      </c>
      <c r="B358" s="637">
        <v>4.6106999999999996</v>
      </c>
      <c r="C358" s="638"/>
      <c r="D358" s="638" t="s">
        <v>319</v>
      </c>
      <c r="E358" s="638" t="s">
        <v>319</v>
      </c>
      <c r="F358" s="638" t="s">
        <v>319</v>
      </c>
      <c r="G358" s="638" t="s">
        <v>865</v>
      </c>
      <c r="H358" s="638"/>
      <c r="I358" s="638">
        <v>45500</v>
      </c>
      <c r="J358" s="186"/>
      <c r="K358" s="186"/>
      <c r="L358" s="186"/>
      <c r="M358" s="186"/>
      <c r="N358" s="186"/>
      <c r="O358" s="186"/>
      <c r="P358" s="186"/>
      <c r="Q358" s="186"/>
      <c r="R358" s="186"/>
      <c r="S358" s="186"/>
      <c r="T358" s="186"/>
      <c r="U358" s="186"/>
    </row>
    <row r="359" spans="1:21" x14ac:dyDescent="0.25">
      <c r="A359" s="638" t="s">
        <v>864</v>
      </c>
      <c r="B359" s="637">
        <v>4.6919000000000004</v>
      </c>
      <c r="C359" s="638"/>
      <c r="D359" s="638" t="s">
        <v>319</v>
      </c>
      <c r="E359" s="638" t="s">
        <v>319</v>
      </c>
      <c r="F359" s="638" t="s">
        <v>319</v>
      </c>
      <c r="G359" s="638" t="s">
        <v>865</v>
      </c>
      <c r="H359" s="638"/>
      <c r="I359" s="638">
        <v>46500</v>
      </c>
      <c r="J359" s="186"/>
      <c r="K359" s="186"/>
      <c r="L359" s="186"/>
      <c r="M359" s="186"/>
      <c r="N359" s="186"/>
      <c r="O359" s="186"/>
      <c r="P359" s="186"/>
      <c r="Q359" s="186"/>
      <c r="R359" s="186"/>
      <c r="S359" s="186"/>
      <c r="T359" s="186"/>
      <c r="U359" s="186"/>
    </row>
    <row r="360" spans="1:21" x14ac:dyDescent="0.25">
      <c r="A360" s="638" t="s">
        <v>864</v>
      </c>
      <c r="B360" s="637">
        <v>4.7728000000000002</v>
      </c>
      <c r="C360" s="638"/>
      <c r="D360" s="638" t="s">
        <v>319</v>
      </c>
      <c r="E360" s="638" t="s">
        <v>319</v>
      </c>
      <c r="F360" s="638" t="s">
        <v>319</v>
      </c>
      <c r="G360" s="638" t="s">
        <v>865</v>
      </c>
      <c r="H360" s="638"/>
      <c r="I360" s="638">
        <v>47500</v>
      </c>
      <c r="J360" s="186"/>
      <c r="K360" s="186"/>
      <c r="L360" s="186"/>
      <c r="M360" s="186"/>
      <c r="N360" s="186"/>
      <c r="O360" s="186"/>
      <c r="P360" s="186"/>
      <c r="Q360" s="186"/>
      <c r="R360" s="186"/>
      <c r="S360" s="186"/>
      <c r="T360" s="186"/>
      <c r="U360" s="186"/>
    </row>
    <row r="361" spans="1:21" x14ac:dyDescent="0.25">
      <c r="A361" s="638" t="s">
        <v>864</v>
      </c>
      <c r="B361" s="637">
        <v>4.8533999999999997</v>
      </c>
      <c r="C361" s="638"/>
      <c r="D361" s="638" t="s">
        <v>319</v>
      </c>
      <c r="E361" s="638" t="s">
        <v>319</v>
      </c>
      <c r="F361" s="638" t="s">
        <v>319</v>
      </c>
      <c r="G361" s="638" t="s">
        <v>865</v>
      </c>
      <c r="H361" s="638"/>
      <c r="I361" s="638">
        <v>48500</v>
      </c>
      <c r="J361" s="186"/>
      <c r="K361" s="186"/>
      <c r="L361" s="186"/>
      <c r="M361" s="186"/>
      <c r="N361" s="186"/>
      <c r="O361" s="186"/>
      <c r="P361" s="186"/>
      <c r="Q361" s="186"/>
      <c r="R361" s="186"/>
      <c r="S361" s="186"/>
      <c r="T361" s="186"/>
      <c r="U361" s="186"/>
    </row>
    <row r="362" spans="1:21" x14ac:dyDescent="0.25">
      <c r="A362" s="638" t="s">
        <v>864</v>
      </c>
      <c r="B362" s="637">
        <v>4.9339000000000004</v>
      </c>
      <c r="C362" s="638"/>
      <c r="D362" s="638" t="s">
        <v>319</v>
      </c>
      <c r="E362" s="638" t="s">
        <v>319</v>
      </c>
      <c r="F362" s="638" t="s">
        <v>319</v>
      </c>
      <c r="G362" s="638" t="s">
        <v>865</v>
      </c>
      <c r="H362" s="638"/>
      <c r="I362" s="638">
        <v>49500</v>
      </c>
      <c r="J362" s="186"/>
      <c r="K362" s="186"/>
      <c r="L362" s="186"/>
      <c r="M362" s="186"/>
      <c r="N362" s="186"/>
      <c r="O362" s="186"/>
      <c r="P362" s="186"/>
      <c r="Q362" s="186"/>
      <c r="R362" s="186"/>
      <c r="S362" s="186"/>
      <c r="T362" s="186"/>
      <c r="U362" s="186"/>
    </row>
    <row r="363" spans="1:21" x14ac:dyDescent="0.25">
      <c r="A363" s="638" t="s">
        <v>864</v>
      </c>
      <c r="B363" s="637">
        <v>5.1738</v>
      </c>
      <c r="C363" s="638"/>
      <c r="D363" s="638" t="s">
        <v>319</v>
      </c>
      <c r="E363" s="638" t="s">
        <v>319</v>
      </c>
      <c r="F363" s="638" t="s">
        <v>319</v>
      </c>
      <c r="G363" s="638" t="s">
        <v>865</v>
      </c>
      <c r="H363" s="638"/>
      <c r="I363" s="638">
        <v>52500</v>
      </c>
      <c r="J363" s="186"/>
      <c r="K363" s="186"/>
      <c r="L363" s="186"/>
      <c r="M363" s="186"/>
      <c r="N363" s="186"/>
      <c r="O363" s="186"/>
      <c r="P363" s="186"/>
      <c r="Q363" s="186"/>
      <c r="R363" s="186"/>
      <c r="S363" s="186"/>
      <c r="T363" s="186"/>
      <c r="U363" s="186"/>
    </row>
    <row r="364" spans="1:21" x14ac:dyDescent="0.25">
      <c r="A364" s="638" t="s">
        <v>864</v>
      </c>
      <c r="B364" s="637">
        <v>5.5694999999999997</v>
      </c>
      <c r="C364" s="638"/>
      <c r="D364" s="638" t="s">
        <v>319</v>
      </c>
      <c r="E364" s="638" t="s">
        <v>319</v>
      </c>
      <c r="F364" s="638" t="s">
        <v>319</v>
      </c>
      <c r="G364" s="638" t="s">
        <v>865</v>
      </c>
      <c r="H364" s="638"/>
      <c r="I364" s="638">
        <v>57500</v>
      </c>
      <c r="J364" s="186"/>
      <c r="K364" s="186"/>
      <c r="L364" s="186"/>
      <c r="M364" s="186"/>
      <c r="N364" s="186"/>
      <c r="O364" s="186"/>
      <c r="P364" s="186"/>
      <c r="Q364" s="186"/>
      <c r="R364" s="186"/>
      <c r="S364" s="186"/>
      <c r="T364" s="186"/>
      <c r="U364" s="186"/>
    </row>
    <row r="365" spans="1:21" x14ac:dyDescent="0.25">
      <c r="A365" s="638" t="s">
        <v>864</v>
      </c>
      <c r="B365" s="637">
        <v>5.9606000000000003</v>
      </c>
      <c r="C365" s="638"/>
      <c r="D365" s="638" t="s">
        <v>319</v>
      </c>
      <c r="E365" s="638" t="s">
        <v>319</v>
      </c>
      <c r="F365" s="638" t="s">
        <v>319</v>
      </c>
      <c r="G365" s="638" t="s">
        <v>865</v>
      </c>
      <c r="H365" s="638"/>
      <c r="I365" s="638">
        <v>62500</v>
      </c>
      <c r="J365" s="186"/>
      <c r="K365" s="186"/>
      <c r="L365" s="186"/>
      <c r="M365" s="186"/>
      <c r="N365" s="186"/>
      <c r="O365" s="186"/>
      <c r="P365" s="186"/>
      <c r="Q365" s="186"/>
      <c r="R365" s="186"/>
      <c r="S365" s="186"/>
      <c r="T365" s="186"/>
      <c r="U365" s="186"/>
    </row>
    <row r="366" spans="1:21" x14ac:dyDescent="0.25">
      <c r="A366" s="638" t="s">
        <v>864</v>
      </c>
      <c r="B366" s="637">
        <v>6.3475000000000001</v>
      </c>
      <c r="C366" s="638"/>
      <c r="D366" s="638" t="s">
        <v>319</v>
      </c>
      <c r="E366" s="638" t="s">
        <v>319</v>
      </c>
      <c r="F366" s="638" t="s">
        <v>319</v>
      </c>
      <c r="G366" s="638" t="s">
        <v>865</v>
      </c>
      <c r="H366" s="638"/>
      <c r="I366" s="638">
        <v>67500</v>
      </c>
      <c r="J366" s="186"/>
      <c r="K366" s="186"/>
      <c r="L366" s="186"/>
      <c r="M366" s="186"/>
      <c r="N366" s="186"/>
      <c r="O366" s="186"/>
      <c r="P366" s="186"/>
      <c r="Q366" s="186"/>
      <c r="R366" s="186"/>
      <c r="S366" s="186"/>
      <c r="T366" s="186"/>
      <c r="U366" s="186"/>
    </row>
    <row r="367" spans="1:21" x14ac:dyDescent="0.25">
      <c r="A367" s="638" t="s">
        <v>864</v>
      </c>
      <c r="B367" s="637">
        <v>6.7306999999999997</v>
      </c>
      <c r="C367" s="638"/>
      <c r="D367" s="638" t="s">
        <v>319</v>
      </c>
      <c r="E367" s="638" t="s">
        <v>319</v>
      </c>
      <c r="F367" s="638" t="s">
        <v>319</v>
      </c>
      <c r="G367" s="638" t="s">
        <v>865</v>
      </c>
      <c r="H367" s="638"/>
      <c r="I367" s="638">
        <v>72500</v>
      </c>
      <c r="J367" s="186"/>
      <c r="K367" s="186"/>
      <c r="L367" s="186"/>
      <c r="M367" s="186"/>
      <c r="N367" s="186"/>
      <c r="O367" s="186"/>
      <c r="P367" s="186"/>
      <c r="Q367" s="186"/>
      <c r="R367" s="186"/>
      <c r="S367" s="186"/>
      <c r="T367" s="186"/>
      <c r="U367" s="186"/>
    </row>
    <row r="368" spans="1:21" x14ac:dyDescent="0.25">
      <c r="A368" s="638" t="s">
        <v>864</v>
      </c>
      <c r="B368" s="637">
        <v>7.1105</v>
      </c>
      <c r="C368" s="638"/>
      <c r="D368" s="638" t="s">
        <v>319</v>
      </c>
      <c r="E368" s="638" t="s">
        <v>319</v>
      </c>
      <c r="F368" s="638" t="s">
        <v>319</v>
      </c>
      <c r="G368" s="638" t="s">
        <v>865</v>
      </c>
      <c r="H368" s="638"/>
      <c r="I368" s="638">
        <v>77500</v>
      </c>
      <c r="J368" s="186"/>
      <c r="K368" s="186"/>
      <c r="L368" s="186"/>
      <c r="M368" s="186"/>
      <c r="N368" s="186"/>
      <c r="O368" s="186"/>
      <c r="P368" s="186"/>
      <c r="Q368" s="186"/>
      <c r="R368" s="186"/>
      <c r="S368" s="186"/>
      <c r="T368" s="186"/>
      <c r="U368" s="186"/>
    </row>
    <row r="369" spans="1:21" x14ac:dyDescent="0.25">
      <c r="A369" s="638" t="s">
        <v>864</v>
      </c>
      <c r="B369" s="637">
        <v>7.4871999999999996</v>
      </c>
      <c r="C369" s="638"/>
      <c r="D369" s="638" t="s">
        <v>319</v>
      </c>
      <c r="E369" s="638" t="s">
        <v>319</v>
      </c>
      <c r="F369" s="638" t="s">
        <v>319</v>
      </c>
      <c r="G369" s="638" t="s">
        <v>865</v>
      </c>
      <c r="H369" s="638"/>
      <c r="I369" s="638">
        <v>82500</v>
      </c>
      <c r="J369" s="186"/>
      <c r="K369" s="186"/>
      <c r="L369" s="186"/>
      <c r="M369" s="186"/>
      <c r="N369" s="186"/>
      <c r="O369" s="186"/>
      <c r="P369" s="186"/>
      <c r="Q369" s="186"/>
      <c r="R369" s="186"/>
      <c r="S369" s="186"/>
      <c r="T369" s="186"/>
      <c r="U369" s="186"/>
    </row>
    <row r="370" spans="1:21" x14ac:dyDescent="0.25">
      <c r="A370" s="638" t="s">
        <v>864</v>
      </c>
      <c r="B370" s="637">
        <v>7.8612000000000002</v>
      </c>
      <c r="C370" s="638"/>
      <c r="D370" s="638" t="s">
        <v>319</v>
      </c>
      <c r="E370" s="638" t="s">
        <v>319</v>
      </c>
      <c r="F370" s="638" t="s">
        <v>319</v>
      </c>
      <c r="G370" s="638" t="s">
        <v>865</v>
      </c>
      <c r="H370" s="638"/>
      <c r="I370" s="638">
        <v>87500</v>
      </c>
      <c r="J370" s="186"/>
      <c r="K370" s="186"/>
      <c r="L370" s="186"/>
      <c r="M370" s="186"/>
      <c r="N370" s="186"/>
      <c r="O370" s="186"/>
      <c r="P370" s="186"/>
      <c r="Q370" s="186"/>
      <c r="R370" s="186"/>
      <c r="S370" s="186"/>
      <c r="T370" s="186"/>
      <c r="U370" s="186"/>
    </row>
    <row r="371" spans="1:21" x14ac:dyDescent="0.25">
      <c r="A371" s="638" t="s">
        <v>864</v>
      </c>
      <c r="B371" s="637">
        <v>8.2325999999999997</v>
      </c>
      <c r="C371" s="638"/>
      <c r="D371" s="638" t="s">
        <v>319</v>
      </c>
      <c r="E371" s="638" t="s">
        <v>319</v>
      </c>
      <c r="F371" s="638" t="s">
        <v>319</v>
      </c>
      <c r="G371" s="638" t="s">
        <v>865</v>
      </c>
      <c r="H371" s="638"/>
      <c r="I371" s="638">
        <v>92500</v>
      </c>
      <c r="J371" s="186"/>
      <c r="K371" s="186"/>
      <c r="L371" s="186"/>
      <c r="M371" s="186"/>
      <c r="N371" s="186"/>
      <c r="O371" s="186"/>
      <c r="P371" s="186"/>
      <c r="Q371" s="186"/>
      <c r="R371" s="186"/>
      <c r="S371" s="186"/>
      <c r="T371" s="186"/>
      <c r="U371" s="186"/>
    </row>
    <row r="372" spans="1:21" x14ac:dyDescent="0.25">
      <c r="A372" s="638" t="s">
        <v>864</v>
      </c>
      <c r="B372" s="637">
        <v>8.6015999999999995</v>
      </c>
      <c r="C372" s="638"/>
      <c r="D372" s="638" t="s">
        <v>319</v>
      </c>
      <c r="E372" s="638" t="s">
        <v>319</v>
      </c>
      <c r="F372" s="638" t="s">
        <v>319</v>
      </c>
      <c r="G372" s="638" t="s">
        <v>865</v>
      </c>
      <c r="H372" s="638"/>
      <c r="I372" s="638">
        <v>97500</v>
      </c>
      <c r="J372" s="186"/>
      <c r="K372" s="186"/>
      <c r="L372" s="186"/>
      <c r="M372" s="186"/>
      <c r="N372" s="186"/>
      <c r="O372" s="186"/>
      <c r="P372" s="186"/>
      <c r="Q372" s="186"/>
      <c r="R372" s="186"/>
      <c r="S372" s="186"/>
      <c r="T372" s="186"/>
      <c r="U372" s="186"/>
    </row>
    <row r="373" spans="1:21" x14ac:dyDescent="0.25">
      <c r="A373" s="638" t="s">
        <v>864</v>
      </c>
      <c r="B373" s="637">
        <v>8.7332000000000001</v>
      </c>
      <c r="C373" s="638"/>
      <c r="D373" s="638" t="s">
        <v>319</v>
      </c>
      <c r="E373" s="638" t="s">
        <v>319</v>
      </c>
      <c r="F373" s="638" t="s">
        <v>319</v>
      </c>
      <c r="G373" s="638" t="s">
        <v>865</v>
      </c>
      <c r="H373" s="638"/>
      <c r="I373" s="638">
        <v>100000</v>
      </c>
      <c r="J373" s="186"/>
      <c r="K373" s="186"/>
      <c r="L373" s="186"/>
      <c r="M373" s="186"/>
      <c r="N373" s="186"/>
      <c r="O373" s="186"/>
      <c r="P373" s="186"/>
      <c r="Q373" s="186"/>
      <c r="R373" s="186"/>
      <c r="S373" s="186"/>
      <c r="T373" s="186"/>
      <c r="U373" s="186"/>
    </row>
    <row r="374" spans="1:21" x14ac:dyDescent="0.25">
      <c r="A374" s="638" t="s">
        <v>864</v>
      </c>
      <c r="B374" s="637">
        <v>7.4999999999999997E-3</v>
      </c>
      <c r="C374" s="638"/>
      <c r="D374" s="638" t="s">
        <v>319</v>
      </c>
      <c r="E374" s="638" t="s">
        <v>319</v>
      </c>
      <c r="F374" s="638" t="s">
        <v>319</v>
      </c>
      <c r="G374" s="638" t="s">
        <v>866</v>
      </c>
      <c r="H374" s="638" t="s">
        <v>867</v>
      </c>
      <c r="I374" s="638">
        <v>100000</v>
      </c>
      <c r="J374" s="186"/>
      <c r="K374" s="186"/>
      <c r="L374" s="186"/>
      <c r="M374" s="186"/>
      <c r="N374" s="186"/>
      <c r="O374" s="186"/>
      <c r="P374" s="186"/>
      <c r="Q374" s="186"/>
      <c r="R374" s="186"/>
      <c r="S374" s="186"/>
      <c r="T374" s="186"/>
      <c r="U374" s="186"/>
    </row>
    <row r="375" spans="1:21" x14ac:dyDescent="0.25">
      <c r="A375" s="641" t="s">
        <v>336</v>
      </c>
      <c r="B375" s="642">
        <v>1.05</v>
      </c>
      <c r="C375" s="641"/>
      <c r="D375" s="641" t="s">
        <v>319</v>
      </c>
      <c r="E375" s="641" t="s">
        <v>319</v>
      </c>
      <c r="F375" s="641" t="s">
        <v>319</v>
      </c>
      <c r="G375" s="641" t="s">
        <v>324</v>
      </c>
      <c r="H375" s="575" t="s">
        <v>325</v>
      </c>
      <c r="I375" s="601" t="s">
        <v>337</v>
      </c>
      <c r="J375" s="641" t="s">
        <v>338</v>
      </c>
      <c r="K375" s="641" t="s">
        <v>339</v>
      </c>
      <c r="L375" s="641" t="s">
        <v>320</v>
      </c>
      <c r="M375" s="641" t="s">
        <v>321</v>
      </c>
      <c r="N375" s="641" t="s">
        <v>340</v>
      </c>
      <c r="O375" s="641" t="s">
        <v>341</v>
      </c>
      <c r="P375" s="186"/>
      <c r="Q375" s="186"/>
      <c r="R375" s="186"/>
      <c r="S375" s="186"/>
      <c r="T375" s="186"/>
      <c r="U375" s="186"/>
    </row>
    <row r="376" spans="1:21" x14ac:dyDescent="0.25">
      <c r="A376" s="641" t="s">
        <v>336</v>
      </c>
      <c r="B376" s="642">
        <v>1.45</v>
      </c>
      <c r="C376" s="641"/>
      <c r="D376" s="641" t="s">
        <v>319</v>
      </c>
      <c r="E376" s="641" t="s">
        <v>319</v>
      </c>
      <c r="F376" s="641" t="s">
        <v>319</v>
      </c>
      <c r="G376" s="641" t="s">
        <v>324</v>
      </c>
      <c r="H376" s="575" t="s">
        <v>325</v>
      </c>
      <c r="I376" s="601" t="s">
        <v>342</v>
      </c>
      <c r="J376" s="641" t="s">
        <v>338</v>
      </c>
      <c r="K376" s="641" t="s">
        <v>339</v>
      </c>
      <c r="L376" s="641" t="s">
        <v>320</v>
      </c>
      <c r="M376" s="641" t="s">
        <v>321</v>
      </c>
      <c r="N376" s="641" t="s">
        <v>340</v>
      </c>
      <c r="O376" s="641" t="s">
        <v>341</v>
      </c>
      <c r="P376" s="186"/>
      <c r="Q376" s="186"/>
      <c r="R376" s="186"/>
      <c r="S376" s="186"/>
      <c r="T376" s="186"/>
      <c r="U376" s="186"/>
    </row>
    <row r="377" spans="1:21" x14ac:dyDescent="0.25">
      <c r="A377" s="641" t="s">
        <v>336</v>
      </c>
      <c r="B377" s="642">
        <v>1.45</v>
      </c>
      <c r="C377" s="641"/>
      <c r="D377" s="641" t="s">
        <v>319</v>
      </c>
      <c r="E377" s="641" t="s">
        <v>319</v>
      </c>
      <c r="F377" s="641" t="s">
        <v>319</v>
      </c>
      <c r="G377" s="641" t="s">
        <v>324</v>
      </c>
      <c r="H377" s="575" t="s">
        <v>325</v>
      </c>
      <c r="I377" s="601" t="s">
        <v>343</v>
      </c>
      <c r="J377" s="641" t="s">
        <v>338</v>
      </c>
      <c r="K377" s="641" t="s">
        <v>339</v>
      </c>
      <c r="L377" s="641" t="s">
        <v>320</v>
      </c>
      <c r="M377" s="641" t="s">
        <v>321</v>
      </c>
      <c r="N377" s="641" t="s">
        <v>340</v>
      </c>
      <c r="O377" s="641" t="s">
        <v>341</v>
      </c>
      <c r="P377" s="186"/>
      <c r="Q377" s="186"/>
      <c r="R377" s="186"/>
      <c r="S377" s="186"/>
      <c r="T377" s="186"/>
      <c r="U377" s="186"/>
    </row>
    <row r="378" spans="1:21" x14ac:dyDescent="0.25">
      <c r="A378" s="641" t="s">
        <v>336</v>
      </c>
      <c r="B378" s="642">
        <v>1.45</v>
      </c>
      <c r="C378" s="641"/>
      <c r="D378" s="641" t="s">
        <v>319</v>
      </c>
      <c r="E378" s="641" t="s">
        <v>319</v>
      </c>
      <c r="F378" s="641" t="s">
        <v>319</v>
      </c>
      <c r="G378" s="641" t="s">
        <v>324</v>
      </c>
      <c r="H378" s="575" t="s">
        <v>325</v>
      </c>
      <c r="I378" s="601" t="s">
        <v>344</v>
      </c>
      <c r="J378" s="641" t="s">
        <v>338</v>
      </c>
      <c r="K378" s="641" t="s">
        <v>339</v>
      </c>
      <c r="L378" s="641" t="s">
        <v>320</v>
      </c>
      <c r="M378" s="641" t="s">
        <v>321</v>
      </c>
      <c r="N378" s="641" t="s">
        <v>340</v>
      </c>
      <c r="O378" s="641" t="s">
        <v>341</v>
      </c>
      <c r="P378" s="186"/>
      <c r="Q378" s="186"/>
      <c r="R378" s="186"/>
      <c r="S378" s="186"/>
      <c r="T378" s="186"/>
      <c r="U378" s="186"/>
    </row>
    <row r="379" spans="1:21" x14ac:dyDescent="0.25">
      <c r="A379" s="641" t="s">
        <v>336</v>
      </c>
      <c r="B379" s="642">
        <v>1.45</v>
      </c>
      <c r="C379" s="641"/>
      <c r="D379" s="641" t="s">
        <v>319</v>
      </c>
      <c r="E379" s="641" t="s">
        <v>319</v>
      </c>
      <c r="F379" s="641" t="s">
        <v>319</v>
      </c>
      <c r="G379" s="641" t="s">
        <v>324</v>
      </c>
      <c r="H379" s="575" t="s">
        <v>325</v>
      </c>
      <c r="I379" s="601" t="s">
        <v>345</v>
      </c>
      <c r="J379" s="641" t="s">
        <v>338</v>
      </c>
      <c r="K379" s="641" t="s">
        <v>339</v>
      </c>
      <c r="L379" s="641" t="s">
        <v>320</v>
      </c>
      <c r="M379" s="641" t="s">
        <v>321</v>
      </c>
      <c r="N379" s="641" t="s">
        <v>340</v>
      </c>
      <c r="O379" s="641" t="s">
        <v>341</v>
      </c>
      <c r="P379" s="186"/>
      <c r="Q379" s="186"/>
      <c r="R379" s="186"/>
      <c r="S379" s="186"/>
      <c r="T379" s="186"/>
      <c r="U379" s="186"/>
    </row>
    <row r="380" spans="1:21" x14ac:dyDescent="0.25">
      <c r="A380" s="641" t="s">
        <v>336</v>
      </c>
      <c r="B380" s="642">
        <v>1.45</v>
      </c>
      <c r="C380" s="641"/>
      <c r="D380" s="641" t="s">
        <v>319</v>
      </c>
      <c r="E380" s="641" t="s">
        <v>319</v>
      </c>
      <c r="F380" s="641" t="s">
        <v>319</v>
      </c>
      <c r="G380" s="641" t="s">
        <v>324</v>
      </c>
      <c r="H380" s="575" t="s">
        <v>325</v>
      </c>
      <c r="I380" s="601" t="s">
        <v>346</v>
      </c>
      <c r="J380" s="641" t="s">
        <v>338</v>
      </c>
      <c r="K380" s="641" t="s">
        <v>339</v>
      </c>
      <c r="L380" s="641" t="s">
        <v>320</v>
      </c>
      <c r="M380" s="641" t="s">
        <v>321</v>
      </c>
      <c r="N380" s="641" t="s">
        <v>340</v>
      </c>
      <c r="O380" s="641" t="s">
        <v>341</v>
      </c>
      <c r="P380" s="186"/>
      <c r="Q380" s="186"/>
      <c r="R380" s="186"/>
      <c r="S380" s="186"/>
      <c r="T380" s="186"/>
      <c r="U380" s="186"/>
    </row>
    <row r="381" spans="1:21" x14ac:dyDescent="0.25">
      <c r="A381" s="641" t="s">
        <v>336</v>
      </c>
      <c r="B381" s="642">
        <v>1.45</v>
      </c>
      <c r="C381" s="641"/>
      <c r="D381" s="641" t="s">
        <v>319</v>
      </c>
      <c r="E381" s="641" t="s">
        <v>319</v>
      </c>
      <c r="F381" s="641" t="s">
        <v>319</v>
      </c>
      <c r="G381" s="641" t="s">
        <v>324</v>
      </c>
      <c r="H381" s="575" t="s">
        <v>325</v>
      </c>
      <c r="I381" s="601" t="s">
        <v>347</v>
      </c>
      <c r="J381" s="641" t="s">
        <v>338</v>
      </c>
      <c r="K381" s="641" t="s">
        <v>339</v>
      </c>
      <c r="L381" s="641" t="s">
        <v>320</v>
      </c>
      <c r="M381" s="641" t="s">
        <v>321</v>
      </c>
      <c r="N381" s="641" t="s">
        <v>340</v>
      </c>
      <c r="O381" s="641" t="s">
        <v>341</v>
      </c>
      <c r="P381" s="186"/>
      <c r="Q381" s="186"/>
      <c r="R381" s="186"/>
      <c r="S381" s="186"/>
      <c r="T381" s="186"/>
      <c r="U381" s="186"/>
    </row>
    <row r="382" spans="1:21" x14ac:dyDescent="0.25">
      <c r="A382" s="641" t="s">
        <v>336</v>
      </c>
      <c r="B382" s="642">
        <v>1.45</v>
      </c>
      <c r="C382" s="641"/>
      <c r="D382" s="641" t="s">
        <v>319</v>
      </c>
      <c r="E382" s="641" t="s">
        <v>319</v>
      </c>
      <c r="F382" s="641" t="s">
        <v>319</v>
      </c>
      <c r="G382" s="641" t="s">
        <v>324</v>
      </c>
      <c r="H382" s="575" t="s">
        <v>325</v>
      </c>
      <c r="I382" s="601" t="s">
        <v>348</v>
      </c>
      <c r="J382" s="641" t="s">
        <v>338</v>
      </c>
      <c r="K382" s="641" t="s">
        <v>339</v>
      </c>
      <c r="L382" s="641" t="s">
        <v>320</v>
      </c>
      <c r="M382" s="641" t="s">
        <v>321</v>
      </c>
      <c r="N382" s="641" t="s">
        <v>340</v>
      </c>
      <c r="O382" s="641" t="s">
        <v>341</v>
      </c>
      <c r="P382" s="186"/>
      <c r="Q382" s="186"/>
      <c r="R382" s="186"/>
      <c r="S382" s="186"/>
      <c r="T382" s="186"/>
      <c r="U382" s="186"/>
    </row>
    <row r="383" spans="1:21" x14ac:dyDescent="0.25">
      <c r="A383" s="641" t="s">
        <v>336</v>
      </c>
      <c r="B383" s="642">
        <v>1.45</v>
      </c>
      <c r="C383" s="641"/>
      <c r="D383" s="641" t="s">
        <v>319</v>
      </c>
      <c r="E383" s="641" t="s">
        <v>319</v>
      </c>
      <c r="F383" s="641" t="s">
        <v>319</v>
      </c>
      <c r="G383" s="641" t="s">
        <v>324</v>
      </c>
      <c r="H383" s="575" t="s">
        <v>325</v>
      </c>
      <c r="I383" s="601" t="s">
        <v>349</v>
      </c>
      <c r="J383" s="641" t="s">
        <v>338</v>
      </c>
      <c r="K383" s="641" t="s">
        <v>339</v>
      </c>
      <c r="L383" s="641" t="s">
        <v>320</v>
      </c>
      <c r="M383" s="641" t="s">
        <v>321</v>
      </c>
      <c r="N383" s="641" t="s">
        <v>340</v>
      </c>
      <c r="O383" s="641" t="s">
        <v>341</v>
      </c>
      <c r="P383" s="186"/>
      <c r="Q383" s="186"/>
      <c r="R383" s="186"/>
      <c r="S383" s="186"/>
      <c r="T383" s="186"/>
      <c r="U383" s="186"/>
    </row>
    <row r="384" spans="1:21" x14ac:dyDescent="0.25">
      <c r="A384" s="641" t="s">
        <v>336</v>
      </c>
      <c r="B384" s="642">
        <v>1.45</v>
      </c>
      <c r="C384" s="641"/>
      <c r="D384" s="641" t="s">
        <v>319</v>
      </c>
      <c r="E384" s="641" t="s">
        <v>319</v>
      </c>
      <c r="F384" s="641" t="s">
        <v>319</v>
      </c>
      <c r="G384" s="641" t="s">
        <v>324</v>
      </c>
      <c r="H384" s="575" t="s">
        <v>325</v>
      </c>
      <c r="I384" s="601" t="s">
        <v>350</v>
      </c>
      <c r="J384" s="641" t="s">
        <v>338</v>
      </c>
      <c r="K384" s="641" t="s">
        <v>339</v>
      </c>
      <c r="L384" s="641" t="s">
        <v>320</v>
      </c>
      <c r="M384" s="641" t="s">
        <v>321</v>
      </c>
      <c r="N384" s="641" t="s">
        <v>340</v>
      </c>
      <c r="O384" s="641" t="s">
        <v>341</v>
      </c>
      <c r="P384" s="186"/>
      <c r="Q384" s="186"/>
      <c r="R384" s="186"/>
      <c r="S384" s="186"/>
      <c r="T384" s="186"/>
      <c r="U384" s="186"/>
    </row>
    <row r="385" spans="1:21" x14ac:dyDescent="0.25">
      <c r="A385" s="641" t="s">
        <v>336</v>
      </c>
      <c r="B385" s="642">
        <v>1.45</v>
      </c>
      <c r="C385" s="641"/>
      <c r="D385" s="641" t="s">
        <v>319</v>
      </c>
      <c r="E385" s="641" t="s">
        <v>319</v>
      </c>
      <c r="F385" s="641" t="s">
        <v>319</v>
      </c>
      <c r="G385" s="641" t="s">
        <v>324</v>
      </c>
      <c r="H385" s="575" t="s">
        <v>325</v>
      </c>
      <c r="I385" s="601" t="s">
        <v>351</v>
      </c>
      <c r="J385" s="641" t="s">
        <v>338</v>
      </c>
      <c r="K385" s="641" t="s">
        <v>339</v>
      </c>
      <c r="L385" s="641" t="s">
        <v>320</v>
      </c>
      <c r="M385" s="641" t="s">
        <v>321</v>
      </c>
      <c r="N385" s="641" t="s">
        <v>340</v>
      </c>
      <c r="O385" s="641" t="s">
        <v>341</v>
      </c>
      <c r="P385" s="186"/>
      <c r="Q385" s="186"/>
      <c r="R385" s="186"/>
      <c r="S385" s="186"/>
      <c r="T385" s="186"/>
      <c r="U385" s="186"/>
    </row>
    <row r="386" spans="1:21" x14ac:dyDescent="0.25">
      <c r="A386" s="641" t="s">
        <v>336</v>
      </c>
      <c r="B386" s="642">
        <v>1.45</v>
      </c>
      <c r="C386" s="641"/>
      <c r="D386" s="641" t="s">
        <v>319</v>
      </c>
      <c r="E386" s="641" t="s">
        <v>319</v>
      </c>
      <c r="F386" s="641" t="s">
        <v>319</v>
      </c>
      <c r="G386" s="641" t="s">
        <v>324</v>
      </c>
      <c r="H386" s="575" t="s">
        <v>325</v>
      </c>
      <c r="I386" s="601" t="s">
        <v>352</v>
      </c>
      <c r="J386" s="641" t="s">
        <v>338</v>
      </c>
      <c r="K386" s="641" t="s">
        <v>339</v>
      </c>
      <c r="L386" s="641" t="s">
        <v>320</v>
      </c>
      <c r="M386" s="641" t="s">
        <v>321</v>
      </c>
      <c r="N386" s="641" t="s">
        <v>340</v>
      </c>
      <c r="O386" s="641" t="s">
        <v>341</v>
      </c>
      <c r="P386" s="186"/>
      <c r="Q386" s="186"/>
      <c r="R386" s="186"/>
      <c r="S386" s="186"/>
      <c r="T386" s="186"/>
      <c r="U386" s="186"/>
    </row>
    <row r="387" spans="1:21" x14ac:dyDescent="0.25">
      <c r="A387" s="641" t="s">
        <v>336</v>
      </c>
      <c r="B387" s="642">
        <v>1.45</v>
      </c>
      <c r="C387" s="641"/>
      <c r="D387" s="641" t="s">
        <v>319</v>
      </c>
      <c r="E387" s="641" t="s">
        <v>319</v>
      </c>
      <c r="F387" s="641" t="s">
        <v>319</v>
      </c>
      <c r="G387" s="641" t="s">
        <v>324</v>
      </c>
      <c r="H387" s="575" t="s">
        <v>325</v>
      </c>
      <c r="I387" s="601" t="s">
        <v>353</v>
      </c>
      <c r="J387" s="641" t="s">
        <v>338</v>
      </c>
      <c r="K387" s="641" t="s">
        <v>339</v>
      </c>
      <c r="L387" s="641" t="s">
        <v>320</v>
      </c>
      <c r="M387" s="641" t="s">
        <v>321</v>
      </c>
      <c r="N387" s="641" t="s">
        <v>340</v>
      </c>
      <c r="O387" s="641" t="s">
        <v>341</v>
      </c>
      <c r="P387" s="186"/>
      <c r="Q387" s="186"/>
      <c r="R387" s="186"/>
      <c r="S387" s="186"/>
      <c r="T387" s="186"/>
      <c r="U387" s="186"/>
    </row>
    <row r="388" spans="1:21" x14ac:dyDescent="0.25">
      <c r="A388" s="641" t="s">
        <v>336</v>
      </c>
      <c r="B388" s="642">
        <v>1.45</v>
      </c>
      <c r="C388" s="641"/>
      <c r="D388" s="641" t="s">
        <v>319</v>
      </c>
      <c r="E388" s="641" t="s">
        <v>319</v>
      </c>
      <c r="F388" s="641" t="s">
        <v>319</v>
      </c>
      <c r="G388" s="641" t="s">
        <v>324</v>
      </c>
      <c r="H388" s="575" t="s">
        <v>325</v>
      </c>
      <c r="I388" s="601" t="s">
        <v>354</v>
      </c>
      <c r="J388" s="641" t="s">
        <v>338</v>
      </c>
      <c r="K388" s="641" t="s">
        <v>339</v>
      </c>
      <c r="L388" s="641" t="s">
        <v>320</v>
      </c>
      <c r="M388" s="641" t="s">
        <v>321</v>
      </c>
      <c r="N388" s="641" t="s">
        <v>340</v>
      </c>
      <c r="O388" s="641" t="s">
        <v>341</v>
      </c>
      <c r="P388" s="186"/>
      <c r="Q388" s="186"/>
      <c r="R388" s="186"/>
      <c r="S388" s="186"/>
      <c r="T388" s="186"/>
      <c r="U388" s="186"/>
    </row>
    <row r="389" spans="1:21" x14ac:dyDescent="0.25">
      <c r="A389" s="641" t="s">
        <v>336</v>
      </c>
      <c r="B389" s="642">
        <v>1.45</v>
      </c>
      <c r="C389" s="641"/>
      <c r="D389" s="641" t="s">
        <v>319</v>
      </c>
      <c r="E389" s="641" t="s">
        <v>319</v>
      </c>
      <c r="F389" s="641" t="s">
        <v>319</v>
      </c>
      <c r="G389" s="641" t="s">
        <v>324</v>
      </c>
      <c r="H389" s="575" t="s">
        <v>325</v>
      </c>
      <c r="I389" s="601" t="s">
        <v>355</v>
      </c>
      <c r="J389" s="641" t="s">
        <v>338</v>
      </c>
      <c r="K389" s="641" t="s">
        <v>339</v>
      </c>
      <c r="L389" s="641" t="s">
        <v>320</v>
      </c>
      <c r="M389" s="641" t="s">
        <v>321</v>
      </c>
      <c r="N389" s="641" t="s">
        <v>340</v>
      </c>
      <c r="O389" s="641" t="s">
        <v>341</v>
      </c>
      <c r="P389" s="186"/>
      <c r="Q389" s="186"/>
      <c r="R389" s="186"/>
      <c r="S389" s="186"/>
      <c r="T389" s="186"/>
      <c r="U389" s="186"/>
    </row>
    <row r="390" spans="1:21" x14ac:dyDescent="0.25">
      <c r="A390" s="641" t="s">
        <v>336</v>
      </c>
      <c r="B390" s="642">
        <v>2</v>
      </c>
      <c r="C390" s="641"/>
      <c r="D390" s="641" t="s">
        <v>319</v>
      </c>
      <c r="E390" s="641" t="s">
        <v>319</v>
      </c>
      <c r="F390" s="641" t="s">
        <v>319</v>
      </c>
      <c r="G390" s="641" t="s">
        <v>324</v>
      </c>
      <c r="H390" s="575" t="s">
        <v>325</v>
      </c>
      <c r="I390" s="601" t="s">
        <v>356</v>
      </c>
      <c r="J390" s="641" t="s">
        <v>338</v>
      </c>
      <c r="K390" s="641" t="s">
        <v>339</v>
      </c>
      <c r="L390" s="641" t="s">
        <v>320</v>
      </c>
      <c r="M390" s="641" t="s">
        <v>321</v>
      </c>
      <c r="N390" s="641" t="s">
        <v>340</v>
      </c>
      <c r="O390" s="641" t="s">
        <v>341</v>
      </c>
      <c r="P390" s="186"/>
      <c r="Q390" s="186"/>
      <c r="R390" s="186"/>
      <c r="S390" s="186"/>
      <c r="T390" s="186"/>
      <c r="U390" s="186"/>
    </row>
    <row r="391" spans="1:21" x14ac:dyDescent="0.25">
      <c r="A391" s="641" t="s">
        <v>336</v>
      </c>
      <c r="B391" s="642">
        <v>2</v>
      </c>
      <c r="C391" s="641"/>
      <c r="D391" s="641" t="s">
        <v>319</v>
      </c>
      <c r="E391" s="641" t="s">
        <v>319</v>
      </c>
      <c r="F391" s="641" t="s">
        <v>319</v>
      </c>
      <c r="G391" s="641" t="s">
        <v>324</v>
      </c>
      <c r="H391" s="575" t="s">
        <v>325</v>
      </c>
      <c r="I391" s="601" t="s">
        <v>357</v>
      </c>
      <c r="J391" s="641" t="s">
        <v>338</v>
      </c>
      <c r="K391" s="641" t="s">
        <v>339</v>
      </c>
      <c r="L391" s="641" t="s">
        <v>320</v>
      </c>
      <c r="M391" s="641" t="s">
        <v>321</v>
      </c>
      <c r="N391" s="641" t="s">
        <v>340</v>
      </c>
      <c r="O391" s="641" t="s">
        <v>341</v>
      </c>
      <c r="P391" s="186"/>
      <c r="Q391" s="186"/>
      <c r="R391" s="186"/>
      <c r="S391" s="186"/>
      <c r="T391" s="186"/>
      <c r="U391" s="186"/>
    </row>
    <row r="392" spans="1:21" x14ac:dyDescent="0.25">
      <c r="A392" s="641" t="s">
        <v>336</v>
      </c>
      <c r="B392" s="642">
        <v>2</v>
      </c>
      <c r="C392" s="641"/>
      <c r="D392" s="641" t="s">
        <v>319</v>
      </c>
      <c r="E392" s="641" t="s">
        <v>319</v>
      </c>
      <c r="F392" s="641" t="s">
        <v>319</v>
      </c>
      <c r="G392" s="641" t="s">
        <v>324</v>
      </c>
      <c r="H392" s="575" t="s">
        <v>325</v>
      </c>
      <c r="I392" s="601" t="s">
        <v>358</v>
      </c>
      <c r="J392" s="641" t="s">
        <v>338</v>
      </c>
      <c r="K392" s="641" t="s">
        <v>339</v>
      </c>
      <c r="L392" s="641" t="s">
        <v>320</v>
      </c>
      <c r="M392" s="641" t="s">
        <v>321</v>
      </c>
      <c r="N392" s="641" t="s">
        <v>340</v>
      </c>
      <c r="O392" s="641" t="s">
        <v>341</v>
      </c>
      <c r="P392" s="186"/>
      <c r="Q392" s="186"/>
      <c r="R392" s="186"/>
      <c r="S392" s="186"/>
      <c r="T392" s="186"/>
      <c r="U392" s="186"/>
    </row>
    <row r="393" spans="1:21" x14ac:dyDescent="0.25">
      <c r="A393" s="641" t="s">
        <v>336</v>
      </c>
      <c r="B393" s="642">
        <v>2</v>
      </c>
      <c r="C393" s="641"/>
      <c r="D393" s="641" t="s">
        <v>319</v>
      </c>
      <c r="E393" s="641" t="s">
        <v>319</v>
      </c>
      <c r="F393" s="641" t="s">
        <v>319</v>
      </c>
      <c r="G393" s="641" t="s">
        <v>324</v>
      </c>
      <c r="H393" s="575" t="s">
        <v>325</v>
      </c>
      <c r="I393" s="601" t="s">
        <v>359</v>
      </c>
      <c r="J393" s="641" t="s">
        <v>338</v>
      </c>
      <c r="K393" s="641" t="s">
        <v>339</v>
      </c>
      <c r="L393" s="641" t="s">
        <v>320</v>
      </c>
      <c r="M393" s="641" t="s">
        <v>321</v>
      </c>
      <c r="N393" s="641" t="s">
        <v>340</v>
      </c>
      <c r="O393" s="641" t="s">
        <v>341</v>
      </c>
      <c r="P393" s="186"/>
      <c r="Q393" s="186"/>
      <c r="R393" s="186"/>
      <c r="S393" s="186"/>
      <c r="T393" s="186"/>
      <c r="U393" s="186"/>
    </row>
    <row r="394" spans="1:21" x14ac:dyDescent="0.25">
      <c r="A394" s="641" t="s">
        <v>336</v>
      </c>
      <c r="B394" s="642">
        <v>2</v>
      </c>
      <c r="C394" s="641"/>
      <c r="D394" s="641" t="s">
        <v>319</v>
      </c>
      <c r="E394" s="641" t="s">
        <v>319</v>
      </c>
      <c r="F394" s="641" t="s">
        <v>319</v>
      </c>
      <c r="G394" s="641" t="s">
        <v>324</v>
      </c>
      <c r="H394" s="575" t="s">
        <v>325</v>
      </c>
      <c r="I394" s="601" t="s">
        <v>360</v>
      </c>
      <c r="J394" s="641" t="s">
        <v>338</v>
      </c>
      <c r="K394" s="641" t="s">
        <v>339</v>
      </c>
      <c r="L394" s="641" t="s">
        <v>320</v>
      </c>
      <c r="M394" s="641" t="s">
        <v>321</v>
      </c>
      <c r="N394" s="641" t="s">
        <v>340</v>
      </c>
      <c r="O394" s="641" t="s">
        <v>341</v>
      </c>
      <c r="P394" s="186"/>
      <c r="Q394" s="186"/>
      <c r="R394" s="186"/>
      <c r="S394" s="186"/>
      <c r="T394" s="186"/>
      <c r="U394" s="186"/>
    </row>
    <row r="395" spans="1:21" x14ac:dyDescent="0.25">
      <c r="A395" s="641" t="s">
        <v>336</v>
      </c>
      <c r="B395" s="642">
        <v>2</v>
      </c>
      <c r="C395" s="641"/>
      <c r="D395" s="641" t="s">
        <v>319</v>
      </c>
      <c r="E395" s="641" t="s">
        <v>319</v>
      </c>
      <c r="F395" s="641" t="s">
        <v>319</v>
      </c>
      <c r="G395" s="641" t="s">
        <v>324</v>
      </c>
      <c r="H395" s="575" t="s">
        <v>325</v>
      </c>
      <c r="I395" s="601" t="s">
        <v>361</v>
      </c>
      <c r="J395" s="641" t="s">
        <v>338</v>
      </c>
      <c r="K395" s="641" t="s">
        <v>339</v>
      </c>
      <c r="L395" s="641" t="s">
        <v>320</v>
      </c>
      <c r="M395" s="641" t="s">
        <v>321</v>
      </c>
      <c r="N395" s="641" t="s">
        <v>340</v>
      </c>
      <c r="O395" s="641" t="s">
        <v>341</v>
      </c>
      <c r="P395" s="186"/>
      <c r="Q395" s="186"/>
      <c r="R395" s="186"/>
      <c r="S395" s="186"/>
      <c r="T395" s="186"/>
      <c r="U395" s="186"/>
    </row>
    <row r="396" spans="1:21" x14ac:dyDescent="0.25">
      <c r="A396" s="641" t="s">
        <v>336</v>
      </c>
      <c r="B396" s="642">
        <v>2</v>
      </c>
      <c r="C396" s="641"/>
      <c r="D396" s="641" t="s">
        <v>319</v>
      </c>
      <c r="E396" s="641" t="s">
        <v>319</v>
      </c>
      <c r="F396" s="641" t="s">
        <v>319</v>
      </c>
      <c r="G396" s="641" t="s">
        <v>324</v>
      </c>
      <c r="H396" s="575" t="s">
        <v>325</v>
      </c>
      <c r="I396" s="601" t="s">
        <v>362</v>
      </c>
      <c r="J396" s="641" t="s">
        <v>338</v>
      </c>
      <c r="K396" s="641" t="s">
        <v>339</v>
      </c>
      <c r="L396" s="641" t="s">
        <v>320</v>
      </c>
      <c r="M396" s="641" t="s">
        <v>321</v>
      </c>
      <c r="N396" s="641" t="s">
        <v>340</v>
      </c>
      <c r="O396" s="641" t="s">
        <v>341</v>
      </c>
      <c r="P396" s="186"/>
      <c r="Q396" s="186"/>
      <c r="R396" s="186"/>
      <c r="S396" s="186"/>
      <c r="T396" s="186"/>
      <c r="U396" s="186"/>
    </row>
    <row r="397" spans="1:21" x14ac:dyDescent="0.25">
      <c r="A397" s="641" t="s">
        <v>336</v>
      </c>
      <c r="B397" s="642">
        <v>2</v>
      </c>
      <c r="C397" s="641"/>
      <c r="D397" s="641" t="s">
        <v>319</v>
      </c>
      <c r="E397" s="641" t="s">
        <v>319</v>
      </c>
      <c r="F397" s="641" t="s">
        <v>319</v>
      </c>
      <c r="G397" s="641" t="s">
        <v>324</v>
      </c>
      <c r="H397" s="575" t="s">
        <v>325</v>
      </c>
      <c r="I397" s="601" t="s">
        <v>363</v>
      </c>
      <c r="J397" s="641" t="s">
        <v>338</v>
      </c>
      <c r="K397" s="641" t="s">
        <v>339</v>
      </c>
      <c r="L397" s="641" t="s">
        <v>320</v>
      </c>
      <c r="M397" s="641" t="s">
        <v>321</v>
      </c>
      <c r="N397" s="641" t="s">
        <v>340</v>
      </c>
      <c r="O397" s="641" t="s">
        <v>341</v>
      </c>
      <c r="P397" s="186"/>
      <c r="Q397" s="186"/>
      <c r="R397" s="186"/>
      <c r="S397" s="186"/>
      <c r="T397" s="186"/>
      <c r="U397" s="186"/>
    </row>
    <row r="398" spans="1:21" x14ac:dyDescent="0.25">
      <c r="A398" s="641" t="s">
        <v>336</v>
      </c>
      <c r="B398" s="642">
        <v>2</v>
      </c>
      <c r="C398" s="641"/>
      <c r="D398" s="641" t="s">
        <v>319</v>
      </c>
      <c r="E398" s="641" t="s">
        <v>319</v>
      </c>
      <c r="F398" s="641" t="s">
        <v>319</v>
      </c>
      <c r="G398" s="641" t="s">
        <v>324</v>
      </c>
      <c r="H398" s="575" t="s">
        <v>325</v>
      </c>
      <c r="I398" s="601" t="s">
        <v>364</v>
      </c>
      <c r="J398" s="641" t="s">
        <v>338</v>
      </c>
      <c r="K398" s="641" t="s">
        <v>339</v>
      </c>
      <c r="L398" s="641" t="s">
        <v>320</v>
      </c>
      <c r="M398" s="641" t="s">
        <v>321</v>
      </c>
      <c r="N398" s="641" t="s">
        <v>340</v>
      </c>
      <c r="O398" s="641" t="s">
        <v>341</v>
      </c>
      <c r="P398" s="186"/>
      <c r="Q398" s="186"/>
      <c r="R398" s="186"/>
      <c r="S398" s="186"/>
      <c r="T398" s="186"/>
      <c r="U398" s="186"/>
    </row>
    <row r="399" spans="1:21" x14ac:dyDescent="0.25">
      <c r="A399" s="641" t="s">
        <v>336</v>
      </c>
      <c r="B399" s="642">
        <v>2</v>
      </c>
      <c r="C399" s="641"/>
      <c r="D399" s="641" t="s">
        <v>319</v>
      </c>
      <c r="E399" s="641" t="s">
        <v>319</v>
      </c>
      <c r="F399" s="641" t="s">
        <v>319</v>
      </c>
      <c r="G399" s="641" t="s">
        <v>324</v>
      </c>
      <c r="H399" s="575" t="s">
        <v>325</v>
      </c>
      <c r="I399" s="601" t="s">
        <v>365</v>
      </c>
      <c r="J399" s="641" t="s">
        <v>338</v>
      </c>
      <c r="K399" s="641" t="s">
        <v>339</v>
      </c>
      <c r="L399" s="641" t="s">
        <v>320</v>
      </c>
      <c r="M399" s="641" t="s">
        <v>321</v>
      </c>
      <c r="N399" s="641" t="s">
        <v>340</v>
      </c>
      <c r="O399" s="641" t="s">
        <v>341</v>
      </c>
      <c r="P399" s="186"/>
      <c r="Q399" s="186"/>
      <c r="R399" s="186"/>
      <c r="S399" s="186"/>
      <c r="T399" s="186"/>
      <c r="U399" s="186"/>
    </row>
    <row r="400" spans="1:21" x14ac:dyDescent="0.25">
      <c r="A400" s="641" t="s">
        <v>336</v>
      </c>
      <c r="B400" s="642">
        <v>2</v>
      </c>
      <c r="C400" s="641"/>
      <c r="D400" s="641" t="s">
        <v>319</v>
      </c>
      <c r="E400" s="641" t="s">
        <v>319</v>
      </c>
      <c r="F400" s="641" t="s">
        <v>319</v>
      </c>
      <c r="G400" s="641" t="s">
        <v>324</v>
      </c>
      <c r="H400" s="575" t="s">
        <v>325</v>
      </c>
      <c r="I400" s="601" t="s">
        <v>366</v>
      </c>
      <c r="J400" s="641" t="s">
        <v>338</v>
      </c>
      <c r="K400" s="641" t="s">
        <v>339</v>
      </c>
      <c r="L400" s="641" t="s">
        <v>320</v>
      </c>
      <c r="M400" s="641" t="s">
        <v>321</v>
      </c>
      <c r="N400" s="641" t="s">
        <v>340</v>
      </c>
      <c r="O400" s="641" t="s">
        <v>341</v>
      </c>
      <c r="P400" s="186"/>
      <c r="Q400" s="186"/>
      <c r="R400" s="186"/>
      <c r="S400" s="186"/>
      <c r="T400" s="186"/>
      <c r="U400" s="186"/>
    </row>
    <row r="401" spans="1:21" x14ac:dyDescent="0.25">
      <c r="A401" s="641" t="s">
        <v>336</v>
      </c>
      <c r="B401" s="642">
        <v>2</v>
      </c>
      <c r="C401" s="641"/>
      <c r="D401" s="641" t="s">
        <v>319</v>
      </c>
      <c r="E401" s="641" t="s">
        <v>319</v>
      </c>
      <c r="F401" s="641" t="s">
        <v>319</v>
      </c>
      <c r="G401" s="641" t="s">
        <v>324</v>
      </c>
      <c r="H401" s="575" t="s">
        <v>325</v>
      </c>
      <c r="I401" s="601" t="s">
        <v>367</v>
      </c>
      <c r="J401" s="641" t="s">
        <v>338</v>
      </c>
      <c r="K401" s="641" t="s">
        <v>339</v>
      </c>
      <c r="L401" s="641" t="s">
        <v>320</v>
      </c>
      <c r="M401" s="641" t="s">
        <v>321</v>
      </c>
      <c r="N401" s="641" t="s">
        <v>340</v>
      </c>
      <c r="O401" s="641" t="s">
        <v>341</v>
      </c>
      <c r="P401" s="186"/>
      <c r="Q401" s="186"/>
      <c r="R401" s="186"/>
      <c r="S401" s="186"/>
      <c r="T401" s="186"/>
      <c r="U401" s="186"/>
    </row>
    <row r="402" spans="1:21" x14ac:dyDescent="0.25">
      <c r="A402" s="641" t="s">
        <v>336</v>
      </c>
      <c r="B402" s="642">
        <v>2</v>
      </c>
      <c r="C402" s="641"/>
      <c r="D402" s="641" t="s">
        <v>319</v>
      </c>
      <c r="E402" s="641" t="s">
        <v>319</v>
      </c>
      <c r="F402" s="641" t="s">
        <v>319</v>
      </c>
      <c r="G402" s="641" t="s">
        <v>324</v>
      </c>
      <c r="H402" s="575" t="s">
        <v>325</v>
      </c>
      <c r="I402" s="601" t="s">
        <v>368</v>
      </c>
      <c r="J402" s="641" t="s">
        <v>338</v>
      </c>
      <c r="K402" s="641" t="s">
        <v>339</v>
      </c>
      <c r="L402" s="641" t="s">
        <v>320</v>
      </c>
      <c r="M402" s="641" t="s">
        <v>321</v>
      </c>
      <c r="N402" s="641" t="s">
        <v>340</v>
      </c>
      <c r="O402" s="641" t="s">
        <v>341</v>
      </c>
      <c r="P402" s="186"/>
      <c r="Q402" s="186"/>
      <c r="R402" s="186"/>
      <c r="S402" s="186"/>
      <c r="T402" s="186"/>
      <c r="U402" s="186"/>
    </row>
    <row r="403" spans="1:21" x14ac:dyDescent="0.25">
      <c r="A403" s="641" t="s">
        <v>336</v>
      </c>
      <c r="B403" s="642">
        <v>2</v>
      </c>
      <c r="C403" s="641"/>
      <c r="D403" s="641" t="s">
        <v>319</v>
      </c>
      <c r="E403" s="641" t="s">
        <v>319</v>
      </c>
      <c r="F403" s="641" t="s">
        <v>319</v>
      </c>
      <c r="G403" s="641" t="s">
        <v>324</v>
      </c>
      <c r="H403" s="575" t="s">
        <v>325</v>
      </c>
      <c r="I403" s="601" t="s">
        <v>369</v>
      </c>
      <c r="J403" s="641" t="s">
        <v>338</v>
      </c>
      <c r="K403" s="641" t="s">
        <v>339</v>
      </c>
      <c r="L403" s="641" t="s">
        <v>320</v>
      </c>
      <c r="M403" s="641" t="s">
        <v>321</v>
      </c>
      <c r="N403" s="641" t="s">
        <v>340</v>
      </c>
      <c r="O403" s="641" t="s">
        <v>341</v>
      </c>
      <c r="P403" s="186"/>
      <c r="Q403" s="186"/>
      <c r="R403" s="186"/>
      <c r="S403" s="186"/>
      <c r="T403" s="186"/>
      <c r="U403" s="186"/>
    </row>
    <row r="404" spans="1:21" x14ac:dyDescent="0.25">
      <c r="A404" s="641" t="s">
        <v>336</v>
      </c>
      <c r="B404" s="642">
        <v>2.4</v>
      </c>
      <c r="C404" s="641"/>
      <c r="D404" s="641" t="s">
        <v>319</v>
      </c>
      <c r="E404" s="641" t="s">
        <v>319</v>
      </c>
      <c r="F404" s="641" t="s">
        <v>319</v>
      </c>
      <c r="G404" s="641" t="s">
        <v>324</v>
      </c>
      <c r="H404" s="575" t="s">
        <v>325</v>
      </c>
      <c r="I404" s="601" t="s">
        <v>370</v>
      </c>
      <c r="J404" s="641" t="s">
        <v>338</v>
      </c>
      <c r="K404" s="641" t="s">
        <v>339</v>
      </c>
      <c r="L404" s="641" t="s">
        <v>320</v>
      </c>
      <c r="M404" s="641" t="s">
        <v>321</v>
      </c>
      <c r="N404" s="641" t="s">
        <v>340</v>
      </c>
      <c r="O404" s="641" t="s">
        <v>341</v>
      </c>
      <c r="P404" s="186"/>
      <c r="Q404" s="186"/>
      <c r="R404" s="186"/>
      <c r="S404" s="186"/>
      <c r="T404" s="186"/>
      <c r="U404" s="186"/>
    </row>
    <row r="405" spans="1:21" x14ac:dyDescent="0.25">
      <c r="A405" s="641" t="s">
        <v>336</v>
      </c>
      <c r="B405" s="642">
        <v>2.4</v>
      </c>
      <c r="C405" s="641"/>
      <c r="D405" s="641" t="s">
        <v>319</v>
      </c>
      <c r="E405" s="641" t="s">
        <v>319</v>
      </c>
      <c r="F405" s="641" t="s">
        <v>319</v>
      </c>
      <c r="G405" s="641" t="s">
        <v>324</v>
      </c>
      <c r="H405" s="575" t="s">
        <v>325</v>
      </c>
      <c r="I405" s="601" t="s">
        <v>371</v>
      </c>
      <c r="J405" s="641" t="s">
        <v>338</v>
      </c>
      <c r="K405" s="641" t="s">
        <v>339</v>
      </c>
      <c r="L405" s="641" t="s">
        <v>320</v>
      </c>
      <c r="M405" s="641" t="s">
        <v>321</v>
      </c>
      <c r="N405" s="641" t="s">
        <v>340</v>
      </c>
      <c r="O405" s="641" t="s">
        <v>341</v>
      </c>
      <c r="P405" s="186"/>
      <c r="Q405" s="186"/>
      <c r="R405" s="186"/>
      <c r="S405" s="186"/>
      <c r="T405" s="186"/>
      <c r="U405" s="186"/>
    </row>
    <row r="406" spans="1:21" x14ac:dyDescent="0.25">
      <c r="A406" s="641" t="s">
        <v>336</v>
      </c>
      <c r="B406" s="642">
        <v>2.4</v>
      </c>
      <c r="C406" s="641"/>
      <c r="D406" s="641" t="s">
        <v>319</v>
      </c>
      <c r="E406" s="641" t="s">
        <v>319</v>
      </c>
      <c r="F406" s="641" t="s">
        <v>319</v>
      </c>
      <c r="G406" s="641" t="s">
        <v>324</v>
      </c>
      <c r="H406" s="575" t="s">
        <v>325</v>
      </c>
      <c r="I406" s="601" t="s">
        <v>372</v>
      </c>
      <c r="J406" s="641" t="s">
        <v>338</v>
      </c>
      <c r="K406" s="641" t="s">
        <v>339</v>
      </c>
      <c r="L406" s="641" t="s">
        <v>320</v>
      </c>
      <c r="M406" s="641" t="s">
        <v>321</v>
      </c>
      <c r="N406" s="641" t="s">
        <v>340</v>
      </c>
      <c r="O406" s="641" t="s">
        <v>341</v>
      </c>
      <c r="P406" s="186"/>
      <c r="Q406" s="186"/>
      <c r="R406" s="186"/>
      <c r="S406" s="186"/>
      <c r="T406" s="186"/>
      <c r="U406" s="186"/>
    </row>
    <row r="407" spans="1:21" x14ac:dyDescent="0.25">
      <c r="A407" s="641" t="s">
        <v>336</v>
      </c>
      <c r="B407" s="642">
        <v>2.4</v>
      </c>
      <c r="C407" s="641"/>
      <c r="D407" s="641" t="s">
        <v>319</v>
      </c>
      <c r="E407" s="641" t="s">
        <v>319</v>
      </c>
      <c r="F407" s="641" t="s">
        <v>319</v>
      </c>
      <c r="G407" s="641" t="s">
        <v>324</v>
      </c>
      <c r="H407" s="575" t="s">
        <v>325</v>
      </c>
      <c r="I407" s="601" t="s">
        <v>373</v>
      </c>
      <c r="J407" s="641" t="s">
        <v>338</v>
      </c>
      <c r="K407" s="641" t="s">
        <v>339</v>
      </c>
      <c r="L407" s="641" t="s">
        <v>320</v>
      </c>
      <c r="M407" s="641" t="s">
        <v>321</v>
      </c>
      <c r="N407" s="641" t="s">
        <v>340</v>
      </c>
      <c r="O407" s="641" t="s">
        <v>341</v>
      </c>
      <c r="P407" s="186"/>
      <c r="Q407" s="186"/>
      <c r="R407" s="186"/>
      <c r="S407" s="186"/>
      <c r="T407" s="186"/>
      <c r="U407" s="186"/>
    </row>
    <row r="408" spans="1:21" x14ac:dyDescent="0.25">
      <c r="A408" s="641" t="s">
        <v>336</v>
      </c>
      <c r="B408" s="642">
        <v>2.4</v>
      </c>
      <c r="C408" s="641"/>
      <c r="D408" s="641" t="s">
        <v>319</v>
      </c>
      <c r="E408" s="641" t="s">
        <v>319</v>
      </c>
      <c r="F408" s="641" t="s">
        <v>319</v>
      </c>
      <c r="G408" s="641" t="s">
        <v>324</v>
      </c>
      <c r="H408" s="575" t="s">
        <v>325</v>
      </c>
      <c r="I408" s="601" t="s">
        <v>374</v>
      </c>
      <c r="J408" s="641" t="s">
        <v>338</v>
      </c>
      <c r="K408" s="641" t="s">
        <v>339</v>
      </c>
      <c r="L408" s="641" t="s">
        <v>320</v>
      </c>
      <c r="M408" s="641" t="s">
        <v>321</v>
      </c>
      <c r="N408" s="641" t="s">
        <v>340</v>
      </c>
      <c r="O408" s="641" t="s">
        <v>341</v>
      </c>
      <c r="P408" s="186"/>
      <c r="Q408" s="186"/>
      <c r="R408" s="186"/>
      <c r="S408" s="186"/>
      <c r="T408" s="186"/>
      <c r="U408" s="186"/>
    </row>
    <row r="409" spans="1:21" x14ac:dyDescent="0.25">
      <c r="A409" s="641" t="s">
        <v>336</v>
      </c>
      <c r="B409" s="642">
        <v>2.4</v>
      </c>
      <c r="C409" s="641"/>
      <c r="D409" s="641" t="s">
        <v>319</v>
      </c>
      <c r="E409" s="641" t="s">
        <v>319</v>
      </c>
      <c r="F409" s="641" t="s">
        <v>319</v>
      </c>
      <c r="G409" s="641" t="s">
        <v>324</v>
      </c>
      <c r="H409" s="575" t="s">
        <v>325</v>
      </c>
      <c r="I409" s="601" t="s">
        <v>375</v>
      </c>
      <c r="J409" s="641" t="s">
        <v>338</v>
      </c>
      <c r="K409" s="641" t="s">
        <v>339</v>
      </c>
      <c r="L409" s="641" t="s">
        <v>320</v>
      </c>
      <c r="M409" s="641" t="s">
        <v>321</v>
      </c>
      <c r="N409" s="641" t="s">
        <v>340</v>
      </c>
      <c r="O409" s="641" t="s">
        <v>341</v>
      </c>
      <c r="P409" s="186"/>
      <c r="Q409" s="186"/>
      <c r="R409" s="186"/>
      <c r="S409" s="186"/>
      <c r="T409" s="186"/>
      <c r="U409" s="186"/>
    </row>
    <row r="410" spans="1:21" x14ac:dyDescent="0.25">
      <c r="A410" s="641" t="s">
        <v>336</v>
      </c>
      <c r="B410" s="642">
        <v>2.8</v>
      </c>
      <c r="C410" s="641"/>
      <c r="D410" s="641" t="s">
        <v>319</v>
      </c>
      <c r="E410" s="641" t="s">
        <v>319</v>
      </c>
      <c r="F410" s="641" t="s">
        <v>319</v>
      </c>
      <c r="G410" s="641" t="s">
        <v>324</v>
      </c>
      <c r="H410" s="575" t="s">
        <v>325</v>
      </c>
      <c r="I410" s="601" t="s">
        <v>376</v>
      </c>
      <c r="J410" s="641" t="s">
        <v>338</v>
      </c>
      <c r="K410" s="641" t="s">
        <v>339</v>
      </c>
      <c r="L410" s="641" t="s">
        <v>320</v>
      </c>
      <c r="M410" s="641" t="s">
        <v>321</v>
      </c>
      <c r="N410" s="641" t="s">
        <v>340</v>
      </c>
      <c r="O410" s="641" t="s">
        <v>341</v>
      </c>
      <c r="P410" s="186"/>
      <c r="Q410" s="186"/>
      <c r="R410" s="186"/>
      <c r="S410" s="186"/>
      <c r="T410" s="186"/>
      <c r="U410" s="186"/>
    </row>
    <row r="411" spans="1:21" x14ac:dyDescent="0.25">
      <c r="A411" s="641" t="s">
        <v>336</v>
      </c>
      <c r="B411" s="642">
        <v>2.8</v>
      </c>
      <c r="C411" s="641"/>
      <c r="D411" s="641" t="s">
        <v>319</v>
      </c>
      <c r="E411" s="641" t="s">
        <v>319</v>
      </c>
      <c r="F411" s="641" t="s">
        <v>319</v>
      </c>
      <c r="G411" s="641" t="s">
        <v>324</v>
      </c>
      <c r="H411" s="575" t="s">
        <v>325</v>
      </c>
      <c r="I411" s="601" t="s">
        <v>377</v>
      </c>
      <c r="J411" s="641" t="s">
        <v>338</v>
      </c>
      <c r="K411" s="641" t="s">
        <v>339</v>
      </c>
      <c r="L411" s="641" t="s">
        <v>320</v>
      </c>
      <c r="M411" s="641" t="s">
        <v>321</v>
      </c>
      <c r="N411" s="641" t="s">
        <v>340</v>
      </c>
      <c r="O411" s="641" t="s">
        <v>341</v>
      </c>
      <c r="P411" s="186"/>
      <c r="Q411" s="186"/>
      <c r="R411" s="186"/>
      <c r="S411" s="186"/>
      <c r="T411" s="186"/>
      <c r="U411" s="186"/>
    </row>
    <row r="412" spans="1:21" x14ac:dyDescent="0.25">
      <c r="A412" s="641" t="s">
        <v>336</v>
      </c>
      <c r="B412" s="642">
        <v>2.8</v>
      </c>
      <c r="C412" s="641"/>
      <c r="D412" s="641" t="s">
        <v>319</v>
      </c>
      <c r="E412" s="641" t="s">
        <v>319</v>
      </c>
      <c r="F412" s="641" t="s">
        <v>319</v>
      </c>
      <c r="G412" s="641" t="s">
        <v>324</v>
      </c>
      <c r="H412" s="575" t="s">
        <v>325</v>
      </c>
      <c r="I412" s="601" t="s">
        <v>378</v>
      </c>
      <c r="J412" s="641" t="s">
        <v>338</v>
      </c>
      <c r="K412" s="641" t="s">
        <v>339</v>
      </c>
      <c r="L412" s="641" t="s">
        <v>320</v>
      </c>
      <c r="M412" s="641" t="s">
        <v>321</v>
      </c>
      <c r="N412" s="641" t="s">
        <v>340</v>
      </c>
      <c r="O412" s="641" t="s">
        <v>341</v>
      </c>
      <c r="P412" s="186"/>
      <c r="Q412" s="186"/>
      <c r="R412" s="186"/>
      <c r="S412" s="186"/>
      <c r="T412" s="186"/>
      <c r="U412" s="186"/>
    </row>
    <row r="413" spans="1:21" x14ac:dyDescent="0.25">
      <c r="A413" s="641" t="s">
        <v>336</v>
      </c>
      <c r="B413" s="642">
        <v>2.8</v>
      </c>
      <c r="C413" s="641"/>
      <c r="D413" s="641" t="s">
        <v>319</v>
      </c>
      <c r="E413" s="641" t="s">
        <v>319</v>
      </c>
      <c r="F413" s="641" t="s">
        <v>319</v>
      </c>
      <c r="G413" s="641" t="s">
        <v>324</v>
      </c>
      <c r="H413" s="575" t="s">
        <v>325</v>
      </c>
      <c r="I413" s="601" t="s">
        <v>379</v>
      </c>
      <c r="J413" s="641" t="s">
        <v>338</v>
      </c>
      <c r="K413" s="641" t="s">
        <v>339</v>
      </c>
      <c r="L413" s="641" t="s">
        <v>320</v>
      </c>
      <c r="M413" s="641" t="s">
        <v>321</v>
      </c>
      <c r="N413" s="641" t="s">
        <v>340</v>
      </c>
      <c r="O413" s="641" t="s">
        <v>341</v>
      </c>
      <c r="P413" s="186"/>
      <c r="Q413" s="186"/>
      <c r="R413" s="186"/>
      <c r="S413" s="186"/>
      <c r="T413" s="186"/>
      <c r="U413" s="186"/>
    </row>
    <row r="414" spans="1:21" x14ac:dyDescent="0.25">
      <c r="A414" s="641" t="s">
        <v>336</v>
      </c>
      <c r="B414" s="642">
        <v>2.8</v>
      </c>
      <c r="C414" s="641"/>
      <c r="D414" s="641" t="s">
        <v>319</v>
      </c>
      <c r="E414" s="641" t="s">
        <v>319</v>
      </c>
      <c r="F414" s="641" t="s">
        <v>319</v>
      </c>
      <c r="G414" s="641" t="s">
        <v>324</v>
      </c>
      <c r="H414" s="575" t="s">
        <v>325</v>
      </c>
      <c r="I414" s="601" t="s">
        <v>380</v>
      </c>
      <c r="J414" s="641" t="s">
        <v>338</v>
      </c>
      <c r="K414" s="641" t="s">
        <v>339</v>
      </c>
      <c r="L414" s="641" t="s">
        <v>320</v>
      </c>
      <c r="M414" s="641" t="s">
        <v>321</v>
      </c>
      <c r="N414" s="641" t="s">
        <v>340</v>
      </c>
      <c r="O414" s="641" t="s">
        <v>341</v>
      </c>
      <c r="P414" s="186"/>
      <c r="Q414" s="186"/>
      <c r="R414" s="186"/>
      <c r="S414" s="186"/>
      <c r="T414" s="186"/>
      <c r="U414" s="186"/>
    </row>
    <row r="415" spans="1:21" x14ac:dyDescent="0.25">
      <c r="A415" s="641" t="s">
        <v>336</v>
      </c>
      <c r="B415" s="642">
        <v>2.8</v>
      </c>
      <c r="C415" s="641"/>
      <c r="D415" s="641" t="s">
        <v>319</v>
      </c>
      <c r="E415" s="641" t="s">
        <v>319</v>
      </c>
      <c r="F415" s="641" t="s">
        <v>319</v>
      </c>
      <c r="G415" s="641" t="s">
        <v>324</v>
      </c>
      <c r="H415" s="575" t="s">
        <v>325</v>
      </c>
      <c r="I415" s="601" t="s">
        <v>381</v>
      </c>
      <c r="J415" s="641" t="s">
        <v>338</v>
      </c>
      <c r="K415" s="641" t="s">
        <v>339</v>
      </c>
      <c r="L415" s="641" t="s">
        <v>320</v>
      </c>
      <c r="M415" s="641" t="s">
        <v>321</v>
      </c>
      <c r="N415" s="641" t="s">
        <v>340</v>
      </c>
      <c r="O415" s="641" t="s">
        <v>341</v>
      </c>
      <c r="P415" s="186"/>
      <c r="Q415" s="186"/>
      <c r="R415" s="186"/>
      <c r="S415" s="186"/>
      <c r="T415" s="186"/>
      <c r="U415" s="186"/>
    </row>
    <row r="416" spans="1:21" x14ac:dyDescent="0.25">
      <c r="A416" s="641" t="s">
        <v>336</v>
      </c>
      <c r="B416" s="642">
        <v>2.8</v>
      </c>
      <c r="C416" s="641"/>
      <c r="D416" s="641" t="s">
        <v>319</v>
      </c>
      <c r="E416" s="641" t="s">
        <v>319</v>
      </c>
      <c r="F416" s="641" t="s">
        <v>319</v>
      </c>
      <c r="G416" s="641" t="s">
        <v>324</v>
      </c>
      <c r="H416" s="575" t="s">
        <v>325</v>
      </c>
      <c r="I416" s="601" t="s">
        <v>382</v>
      </c>
      <c r="J416" s="641" t="s">
        <v>338</v>
      </c>
      <c r="K416" s="641" t="s">
        <v>339</v>
      </c>
      <c r="L416" s="641" t="s">
        <v>320</v>
      </c>
      <c r="M416" s="641" t="s">
        <v>321</v>
      </c>
      <c r="N416" s="641" t="s">
        <v>340</v>
      </c>
      <c r="O416" s="641" t="s">
        <v>341</v>
      </c>
      <c r="P416" s="186"/>
      <c r="Q416" s="186"/>
      <c r="R416" s="186"/>
      <c r="S416" s="186"/>
      <c r="T416" s="186"/>
      <c r="U416" s="186"/>
    </row>
    <row r="417" spans="1:21" x14ac:dyDescent="0.25">
      <c r="A417" s="641" t="s">
        <v>336</v>
      </c>
      <c r="B417" s="642">
        <v>2.8</v>
      </c>
      <c r="C417" s="641"/>
      <c r="D417" s="641" t="s">
        <v>319</v>
      </c>
      <c r="E417" s="641" t="s">
        <v>319</v>
      </c>
      <c r="F417" s="641" t="s">
        <v>319</v>
      </c>
      <c r="G417" s="641" t="s">
        <v>324</v>
      </c>
      <c r="H417" s="575" t="s">
        <v>325</v>
      </c>
      <c r="I417" s="601" t="s">
        <v>383</v>
      </c>
      <c r="J417" s="641" t="s">
        <v>338</v>
      </c>
      <c r="K417" s="641" t="s">
        <v>339</v>
      </c>
      <c r="L417" s="641" t="s">
        <v>320</v>
      </c>
      <c r="M417" s="641" t="s">
        <v>321</v>
      </c>
      <c r="N417" s="641" t="s">
        <v>340</v>
      </c>
      <c r="O417" s="641" t="s">
        <v>341</v>
      </c>
      <c r="P417" s="186"/>
      <c r="Q417" s="186"/>
      <c r="R417" s="186"/>
      <c r="S417" s="186"/>
      <c r="T417" s="186"/>
      <c r="U417" s="186"/>
    </row>
    <row r="418" spans="1:21" x14ac:dyDescent="0.25">
      <c r="A418" s="641" t="s">
        <v>336</v>
      </c>
      <c r="B418" s="642">
        <v>2.8</v>
      </c>
      <c r="C418" s="641"/>
      <c r="D418" s="641" t="s">
        <v>319</v>
      </c>
      <c r="E418" s="641" t="s">
        <v>319</v>
      </c>
      <c r="F418" s="641" t="s">
        <v>319</v>
      </c>
      <c r="G418" s="641" t="s">
        <v>324</v>
      </c>
      <c r="H418" s="575" t="s">
        <v>325</v>
      </c>
      <c r="I418" s="601" t="s">
        <v>384</v>
      </c>
      <c r="J418" s="641" t="s">
        <v>338</v>
      </c>
      <c r="K418" s="641" t="s">
        <v>339</v>
      </c>
      <c r="L418" s="641" t="s">
        <v>320</v>
      </c>
      <c r="M418" s="641" t="s">
        <v>321</v>
      </c>
      <c r="N418" s="641" t="s">
        <v>340</v>
      </c>
      <c r="O418" s="641" t="s">
        <v>341</v>
      </c>
      <c r="P418" s="186"/>
      <c r="Q418" s="186"/>
      <c r="R418" s="186"/>
      <c r="S418" s="186"/>
      <c r="T418" s="186"/>
      <c r="U418" s="186"/>
    </row>
    <row r="419" spans="1:21" x14ac:dyDescent="0.25">
      <c r="A419" s="641" t="s">
        <v>336</v>
      </c>
      <c r="B419" s="642">
        <v>2.8</v>
      </c>
      <c r="C419" s="641"/>
      <c r="D419" s="641" t="s">
        <v>319</v>
      </c>
      <c r="E419" s="641" t="s">
        <v>319</v>
      </c>
      <c r="F419" s="641" t="s">
        <v>319</v>
      </c>
      <c r="G419" s="641" t="s">
        <v>324</v>
      </c>
      <c r="H419" s="575" t="s">
        <v>325</v>
      </c>
      <c r="I419" s="601" t="s">
        <v>385</v>
      </c>
      <c r="J419" s="641" t="s">
        <v>338</v>
      </c>
      <c r="K419" s="641" t="s">
        <v>339</v>
      </c>
      <c r="L419" s="641" t="s">
        <v>320</v>
      </c>
      <c r="M419" s="641" t="s">
        <v>321</v>
      </c>
      <c r="N419" s="641" t="s">
        <v>340</v>
      </c>
      <c r="O419" s="641" t="s">
        <v>341</v>
      </c>
      <c r="P419" s="186"/>
      <c r="Q419" s="186"/>
      <c r="R419" s="186"/>
      <c r="S419" s="186"/>
      <c r="T419" s="186"/>
      <c r="U419" s="186"/>
    </row>
    <row r="420" spans="1:21" x14ac:dyDescent="0.25">
      <c r="A420" s="641" t="s">
        <v>336</v>
      </c>
      <c r="B420" s="642">
        <v>2.8</v>
      </c>
      <c r="C420" s="641"/>
      <c r="D420" s="641" t="s">
        <v>319</v>
      </c>
      <c r="E420" s="641" t="s">
        <v>319</v>
      </c>
      <c r="F420" s="641" t="s">
        <v>319</v>
      </c>
      <c r="G420" s="641" t="s">
        <v>324</v>
      </c>
      <c r="H420" s="575" t="s">
        <v>325</v>
      </c>
      <c r="I420" s="601" t="s">
        <v>386</v>
      </c>
      <c r="J420" s="641" t="s">
        <v>338</v>
      </c>
      <c r="K420" s="641" t="s">
        <v>339</v>
      </c>
      <c r="L420" s="641" t="s">
        <v>320</v>
      </c>
      <c r="M420" s="641" t="s">
        <v>321</v>
      </c>
      <c r="N420" s="641" t="s">
        <v>340</v>
      </c>
      <c r="O420" s="641" t="s">
        <v>341</v>
      </c>
      <c r="P420" s="186"/>
      <c r="Q420" s="186"/>
      <c r="R420" s="186"/>
      <c r="S420" s="186"/>
      <c r="T420" s="186"/>
      <c r="U420" s="186"/>
    </row>
    <row r="421" spans="1:21" x14ac:dyDescent="0.25">
      <c r="A421" s="641" t="s">
        <v>336</v>
      </c>
      <c r="B421" s="642">
        <v>2.8</v>
      </c>
      <c r="C421" s="641"/>
      <c r="D421" s="641" t="s">
        <v>319</v>
      </c>
      <c r="E421" s="641" t="s">
        <v>319</v>
      </c>
      <c r="F421" s="641" t="s">
        <v>319</v>
      </c>
      <c r="G421" s="641" t="s">
        <v>324</v>
      </c>
      <c r="H421" s="575" t="s">
        <v>325</v>
      </c>
      <c r="I421" s="601" t="s">
        <v>387</v>
      </c>
      <c r="J421" s="641" t="s">
        <v>338</v>
      </c>
      <c r="K421" s="641" t="s">
        <v>339</v>
      </c>
      <c r="L421" s="641" t="s">
        <v>320</v>
      </c>
      <c r="M421" s="641" t="s">
        <v>321</v>
      </c>
      <c r="N421" s="641" t="s">
        <v>340</v>
      </c>
      <c r="O421" s="641" t="s">
        <v>341</v>
      </c>
      <c r="P421" s="186"/>
      <c r="Q421" s="186"/>
      <c r="R421" s="186"/>
      <c r="S421" s="186"/>
      <c r="T421" s="186"/>
      <c r="U421" s="186"/>
    </row>
    <row r="422" spans="1:21" x14ac:dyDescent="0.25">
      <c r="A422" s="641" t="s">
        <v>336</v>
      </c>
      <c r="B422" s="642">
        <v>2.8</v>
      </c>
      <c r="C422" s="641"/>
      <c r="D422" s="641" t="s">
        <v>319</v>
      </c>
      <c r="E422" s="641" t="s">
        <v>319</v>
      </c>
      <c r="F422" s="641" t="s">
        <v>319</v>
      </c>
      <c r="G422" s="641" t="s">
        <v>324</v>
      </c>
      <c r="H422" s="575" t="s">
        <v>325</v>
      </c>
      <c r="I422" s="601" t="s">
        <v>388</v>
      </c>
      <c r="J422" s="641" t="s">
        <v>338</v>
      </c>
      <c r="K422" s="641" t="s">
        <v>339</v>
      </c>
      <c r="L422" s="641" t="s">
        <v>320</v>
      </c>
      <c r="M422" s="641" t="s">
        <v>321</v>
      </c>
      <c r="N422" s="641" t="s">
        <v>340</v>
      </c>
      <c r="O422" s="641" t="s">
        <v>341</v>
      </c>
      <c r="P422" s="186"/>
      <c r="Q422" s="186"/>
      <c r="R422" s="186"/>
      <c r="S422" s="186"/>
      <c r="T422" s="186"/>
      <c r="U422" s="186"/>
    </row>
    <row r="423" spans="1:21" x14ac:dyDescent="0.25">
      <c r="A423" s="641" t="s">
        <v>336</v>
      </c>
      <c r="B423" s="642">
        <v>2.8</v>
      </c>
      <c r="C423" s="641"/>
      <c r="D423" s="641" t="s">
        <v>319</v>
      </c>
      <c r="E423" s="641" t="s">
        <v>319</v>
      </c>
      <c r="F423" s="641" t="s">
        <v>319</v>
      </c>
      <c r="G423" s="641" t="s">
        <v>324</v>
      </c>
      <c r="H423" s="575" t="s">
        <v>325</v>
      </c>
      <c r="I423" s="601" t="s">
        <v>389</v>
      </c>
      <c r="J423" s="641" t="s">
        <v>338</v>
      </c>
      <c r="K423" s="641" t="s">
        <v>339</v>
      </c>
      <c r="L423" s="641" t="s">
        <v>320</v>
      </c>
      <c r="M423" s="641" t="s">
        <v>321</v>
      </c>
      <c r="N423" s="641" t="s">
        <v>340</v>
      </c>
      <c r="O423" s="641" t="s">
        <v>341</v>
      </c>
      <c r="P423" s="186"/>
      <c r="Q423" s="186"/>
      <c r="R423" s="186"/>
      <c r="S423" s="186"/>
      <c r="T423" s="186"/>
      <c r="U423" s="186"/>
    </row>
    <row r="424" spans="1:21" x14ac:dyDescent="0.25">
      <c r="A424" s="641" t="s">
        <v>336</v>
      </c>
      <c r="B424" s="642">
        <v>2.8</v>
      </c>
      <c r="C424" s="641"/>
      <c r="D424" s="641" t="s">
        <v>319</v>
      </c>
      <c r="E424" s="641" t="s">
        <v>319</v>
      </c>
      <c r="F424" s="641" t="s">
        <v>319</v>
      </c>
      <c r="G424" s="641" t="s">
        <v>324</v>
      </c>
      <c r="H424" s="575" t="s">
        <v>325</v>
      </c>
      <c r="I424" s="601" t="s">
        <v>390</v>
      </c>
      <c r="J424" s="641" t="s">
        <v>338</v>
      </c>
      <c r="K424" s="641" t="s">
        <v>339</v>
      </c>
      <c r="L424" s="641" t="s">
        <v>320</v>
      </c>
      <c r="M424" s="641" t="s">
        <v>321</v>
      </c>
      <c r="N424" s="641" t="s">
        <v>340</v>
      </c>
      <c r="O424" s="641" t="s">
        <v>341</v>
      </c>
      <c r="P424" s="186"/>
      <c r="Q424" s="186"/>
      <c r="R424" s="186"/>
      <c r="S424" s="186"/>
      <c r="T424" s="186"/>
      <c r="U424" s="186"/>
    </row>
    <row r="425" spans="1:21" x14ac:dyDescent="0.25">
      <c r="A425" s="641" t="s">
        <v>336</v>
      </c>
      <c r="B425" s="642">
        <v>2.8</v>
      </c>
      <c r="C425" s="641"/>
      <c r="D425" s="641" t="s">
        <v>319</v>
      </c>
      <c r="E425" s="641" t="s">
        <v>319</v>
      </c>
      <c r="F425" s="641" t="s">
        <v>319</v>
      </c>
      <c r="G425" s="641" t="s">
        <v>324</v>
      </c>
      <c r="H425" s="575" t="s">
        <v>325</v>
      </c>
      <c r="I425" s="601" t="s">
        <v>391</v>
      </c>
      <c r="J425" s="641" t="s">
        <v>338</v>
      </c>
      <c r="K425" s="641" t="s">
        <v>339</v>
      </c>
      <c r="L425" s="641" t="s">
        <v>320</v>
      </c>
      <c r="M425" s="641" t="s">
        <v>321</v>
      </c>
      <c r="N425" s="641" t="s">
        <v>340</v>
      </c>
      <c r="O425" s="641" t="s">
        <v>341</v>
      </c>
      <c r="P425" s="186"/>
      <c r="Q425" s="186"/>
      <c r="R425" s="186"/>
      <c r="S425" s="186"/>
      <c r="T425" s="186"/>
      <c r="U425" s="186"/>
    </row>
    <row r="426" spans="1:21" x14ac:dyDescent="0.25">
      <c r="A426" s="641" t="s">
        <v>336</v>
      </c>
      <c r="B426" s="642">
        <v>2.8</v>
      </c>
      <c r="C426" s="641"/>
      <c r="D426" s="641" t="s">
        <v>319</v>
      </c>
      <c r="E426" s="641" t="s">
        <v>319</v>
      </c>
      <c r="F426" s="641" t="s">
        <v>319</v>
      </c>
      <c r="G426" s="641" t="s">
        <v>324</v>
      </c>
      <c r="H426" s="575" t="s">
        <v>325</v>
      </c>
      <c r="I426" s="601" t="s">
        <v>392</v>
      </c>
      <c r="J426" s="641" t="s">
        <v>338</v>
      </c>
      <c r="K426" s="641" t="s">
        <v>339</v>
      </c>
      <c r="L426" s="641" t="s">
        <v>320</v>
      </c>
      <c r="M426" s="641" t="s">
        <v>321</v>
      </c>
      <c r="N426" s="641" t="s">
        <v>340</v>
      </c>
      <c r="O426" s="641" t="s">
        <v>341</v>
      </c>
      <c r="P426" s="186"/>
      <c r="Q426" s="186"/>
      <c r="R426" s="186"/>
      <c r="S426" s="186"/>
      <c r="T426" s="186"/>
      <c r="U426" s="186"/>
    </row>
    <row r="427" spans="1:21" x14ac:dyDescent="0.25">
      <c r="A427" s="641" t="s">
        <v>336</v>
      </c>
      <c r="B427" s="642">
        <v>2.8</v>
      </c>
      <c r="C427" s="641"/>
      <c r="D427" s="641" t="s">
        <v>319</v>
      </c>
      <c r="E427" s="641" t="s">
        <v>319</v>
      </c>
      <c r="F427" s="641" t="s">
        <v>319</v>
      </c>
      <c r="G427" s="641" t="s">
        <v>324</v>
      </c>
      <c r="H427" s="575" t="s">
        <v>325</v>
      </c>
      <c r="I427" s="601" t="s">
        <v>393</v>
      </c>
      <c r="J427" s="641" t="s">
        <v>338</v>
      </c>
      <c r="K427" s="641" t="s">
        <v>339</v>
      </c>
      <c r="L427" s="641" t="s">
        <v>320</v>
      </c>
      <c r="M427" s="641" t="s">
        <v>321</v>
      </c>
      <c r="N427" s="641" t="s">
        <v>340</v>
      </c>
      <c r="O427" s="641" t="s">
        <v>341</v>
      </c>
      <c r="P427" s="186"/>
      <c r="Q427" s="186"/>
      <c r="R427" s="186"/>
      <c r="S427" s="186"/>
      <c r="T427" s="186"/>
      <c r="U427" s="186"/>
    </row>
    <row r="428" spans="1:21" x14ac:dyDescent="0.25">
      <c r="A428" s="641" t="s">
        <v>336</v>
      </c>
      <c r="B428" s="642">
        <v>2.8</v>
      </c>
      <c r="C428" s="641"/>
      <c r="D428" s="641" t="s">
        <v>319</v>
      </c>
      <c r="E428" s="641" t="s">
        <v>319</v>
      </c>
      <c r="F428" s="641" t="s">
        <v>319</v>
      </c>
      <c r="G428" s="641" t="s">
        <v>324</v>
      </c>
      <c r="H428" s="575" t="s">
        <v>325</v>
      </c>
      <c r="I428" s="601" t="s">
        <v>394</v>
      </c>
      <c r="J428" s="641" t="s">
        <v>338</v>
      </c>
      <c r="K428" s="641" t="s">
        <v>339</v>
      </c>
      <c r="L428" s="641" t="s">
        <v>320</v>
      </c>
      <c r="M428" s="641" t="s">
        <v>321</v>
      </c>
      <c r="N428" s="641" t="s">
        <v>340</v>
      </c>
      <c r="O428" s="641" t="s">
        <v>341</v>
      </c>
      <c r="P428" s="186"/>
      <c r="Q428" s="186"/>
      <c r="R428" s="186"/>
      <c r="S428" s="186"/>
      <c r="T428" s="186"/>
      <c r="U428" s="186"/>
    </row>
    <row r="429" spans="1:21" x14ac:dyDescent="0.25">
      <c r="A429" s="641" t="s">
        <v>336</v>
      </c>
      <c r="B429" s="642">
        <v>2.8</v>
      </c>
      <c r="C429" s="641"/>
      <c r="D429" s="641" t="s">
        <v>319</v>
      </c>
      <c r="E429" s="641" t="s">
        <v>319</v>
      </c>
      <c r="F429" s="641" t="s">
        <v>319</v>
      </c>
      <c r="G429" s="641" t="s">
        <v>324</v>
      </c>
      <c r="H429" s="575" t="s">
        <v>325</v>
      </c>
      <c r="I429" s="601" t="s">
        <v>395</v>
      </c>
      <c r="J429" s="641" t="s">
        <v>338</v>
      </c>
      <c r="K429" s="641" t="s">
        <v>339</v>
      </c>
      <c r="L429" s="641" t="s">
        <v>320</v>
      </c>
      <c r="M429" s="641" t="s">
        <v>321</v>
      </c>
      <c r="N429" s="641" t="s">
        <v>340</v>
      </c>
      <c r="O429" s="641" t="s">
        <v>341</v>
      </c>
      <c r="P429" s="186"/>
      <c r="Q429" s="186"/>
      <c r="R429" s="186"/>
      <c r="S429" s="186"/>
      <c r="T429" s="186"/>
      <c r="U429" s="186"/>
    </row>
    <row r="430" spans="1:21" x14ac:dyDescent="0.25">
      <c r="A430" s="641" t="s">
        <v>336</v>
      </c>
      <c r="B430" s="642">
        <v>2.8</v>
      </c>
      <c r="C430" s="641"/>
      <c r="D430" s="641" t="s">
        <v>319</v>
      </c>
      <c r="E430" s="641" t="s">
        <v>319</v>
      </c>
      <c r="F430" s="641" t="s">
        <v>319</v>
      </c>
      <c r="G430" s="641" t="s">
        <v>324</v>
      </c>
      <c r="H430" s="575" t="s">
        <v>325</v>
      </c>
      <c r="I430" s="601" t="s">
        <v>396</v>
      </c>
      <c r="J430" s="641" t="s">
        <v>338</v>
      </c>
      <c r="K430" s="641" t="s">
        <v>339</v>
      </c>
      <c r="L430" s="641" t="s">
        <v>320</v>
      </c>
      <c r="M430" s="641" t="s">
        <v>321</v>
      </c>
      <c r="N430" s="641" t="s">
        <v>340</v>
      </c>
      <c r="O430" s="641" t="s">
        <v>341</v>
      </c>
      <c r="P430" s="186"/>
      <c r="Q430" s="186"/>
      <c r="R430" s="186"/>
      <c r="S430" s="186"/>
      <c r="T430" s="186"/>
      <c r="U430" s="186"/>
    </row>
    <row r="431" spans="1:21" x14ac:dyDescent="0.25">
      <c r="A431" s="641" t="s">
        <v>336</v>
      </c>
      <c r="B431" s="642">
        <v>2.6</v>
      </c>
      <c r="C431" s="641"/>
      <c r="D431" s="641" t="s">
        <v>319</v>
      </c>
      <c r="E431" s="641" t="s">
        <v>319</v>
      </c>
      <c r="F431" s="641" t="s">
        <v>319</v>
      </c>
      <c r="G431" s="641" t="s">
        <v>324</v>
      </c>
      <c r="H431" s="575" t="s">
        <v>325</v>
      </c>
      <c r="I431" s="601" t="s">
        <v>397</v>
      </c>
      <c r="J431" s="641" t="s">
        <v>338</v>
      </c>
      <c r="K431" s="641" t="s">
        <v>339</v>
      </c>
      <c r="L431" s="641" t="s">
        <v>320</v>
      </c>
      <c r="M431" s="641" t="s">
        <v>321</v>
      </c>
      <c r="N431" s="641" t="s">
        <v>340</v>
      </c>
      <c r="O431" s="641" t="s">
        <v>341</v>
      </c>
      <c r="P431" s="186"/>
      <c r="Q431" s="186"/>
      <c r="R431" s="186"/>
      <c r="S431" s="186"/>
      <c r="T431" s="186"/>
      <c r="U431" s="186"/>
    </row>
    <row r="432" spans="1:21" x14ac:dyDescent="0.25">
      <c r="A432" s="641" t="s">
        <v>336</v>
      </c>
      <c r="B432" s="642">
        <v>2.6</v>
      </c>
      <c r="C432" s="641"/>
      <c r="D432" s="641" t="s">
        <v>319</v>
      </c>
      <c r="E432" s="641" t="s">
        <v>319</v>
      </c>
      <c r="F432" s="641" t="s">
        <v>319</v>
      </c>
      <c r="G432" s="641" t="s">
        <v>324</v>
      </c>
      <c r="H432" s="575" t="s">
        <v>325</v>
      </c>
      <c r="I432" s="601" t="s">
        <v>398</v>
      </c>
      <c r="J432" s="641" t="s">
        <v>338</v>
      </c>
      <c r="K432" s="641" t="s">
        <v>339</v>
      </c>
      <c r="L432" s="641" t="s">
        <v>320</v>
      </c>
      <c r="M432" s="641" t="s">
        <v>321</v>
      </c>
      <c r="N432" s="641" t="s">
        <v>340</v>
      </c>
      <c r="O432" s="641" t="s">
        <v>341</v>
      </c>
      <c r="P432" s="186"/>
      <c r="Q432" s="186"/>
      <c r="R432" s="186"/>
      <c r="S432" s="186"/>
      <c r="T432" s="186"/>
      <c r="U432" s="186"/>
    </row>
    <row r="433" spans="1:21" x14ac:dyDescent="0.25">
      <c r="A433" s="641" t="s">
        <v>336</v>
      </c>
      <c r="B433" s="642">
        <v>2.6</v>
      </c>
      <c r="C433" s="641"/>
      <c r="D433" s="641" t="s">
        <v>319</v>
      </c>
      <c r="E433" s="641" t="s">
        <v>319</v>
      </c>
      <c r="F433" s="641" t="s">
        <v>319</v>
      </c>
      <c r="G433" s="641" t="s">
        <v>324</v>
      </c>
      <c r="H433" s="575" t="s">
        <v>325</v>
      </c>
      <c r="I433" s="601" t="s">
        <v>399</v>
      </c>
      <c r="J433" s="641" t="s">
        <v>338</v>
      </c>
      <c r="K433" s="641" t="s">
        <v>339</v>
      </c>
      <c r="L433" s="641" t="s">
        <v>320</v>
      </c>
      <c r="M433" s="641" t="s">
        <v>321</v>
      </c>
      <c r="N433" s="641" t="s">
        <v>340</v>
      </c>
      <c r="O433" s="641" t="s">
        <v>341</v>
      </c>
      <c r="P433" s="186"/>
      <c r="Q433" s="186"/>
      <c r="R433" s="186"/>
      <c r="S433" s="186"/>
      <c r="T433" s="186"/>
      <c r="U433" s="186"/>
    </row>
    <row r="434" spans="1:21" x14ac:dyDescent="0.25">
      <c r="A434" s="641" t="s">
        <v>336</v>
      </c>
      <c r="B434" s="642">
        <v>2.6</v>
      </c>
      <c r="C434" s="641"/>
      <c r="D434" s="641" t="s">
        <v>319</v>
      </c>
      <c r="E434" s="641" t="s">
        <v>319</v>
      </c>
      <c r="F434" s="641" t="s">
        <v>319</v>
      </c>
      <c r="G434" s="641" t="s">
        <v>324</v>
      </c>
      <c r="H434" s="575" t="s">
        <v>325</v>
      </c>
      <c r="I434" s="601" t="s">
        <v>400</v>
      </c>
      <c r="J434" s="641" t="s">
        <v>338</v>
      </c>
      <c r="K434" s="641" t="s">
        <v>339</v>
      </c>
      <c r="L434" s="641" t="s">
        <v>320</v>
      </c>
      <c r="M434" s="641" t="s">
        <v>321</v>
      </c>
      <c r="N434" s="641" t="s">
        <v>340</v>
      </c>
      <c r="O434" s="641" t="s">
        <v>341</v>
      </c>
      <c r="P434" s="186"/>
      <c r="Q434" s="186"/>
      <c r="R434" s="186"/>
      <c r="S434" s="186"/>
      <c r="T434" s="186"/>
      <c r="U434" s="186"/>
    </row>
    <row r="435" spans="1:21" x14ac:dyDescent="0.25">
      <c r="A435" s="641" t="s">
        <v>336</v>
      </c>
      <c r="B435" s="642">
        <v>2.6</v>
      </c>
      <c r="C435" s="641"/>
      <c r="D435" s="641" t="s">
        <v>319</v>
      </c>
      <c r="E435" s="641" t="s">
        <v>319</v>
      </c>
      <c r="F435" s="641" t="s">
        <v>319</v>
      </c>
      <c r="G435" s="641" t="s">
        <v>324</v>
      </c>
      <c r="H435" s="575" t="s">
        <v>325</v>
      </c>
      <c r="I435" s="601" t="s">
        <v>401</v>
      </c>
      <c r="J435" s="641" t="s">
        <v>338</v>
      </c>
      <c r="K435" s="641" t="s">
        <v>339</v>
      </c>
      <c r="L435" s="641" t="s">
        <v>320</v>
      </c>
      <c r="M435" s="641" t="s">
        <v>321</v>
      </c>
      <c r="N435" s="641" t="s">
        <v>340</v>
      </c>
      <c r="O435" s="641" t="s">
        <v>341</v>
      </c>
      <c r="P435" s="186"/>
      <c r="Q435" s="186"/>
      <c r="R435" s="186"/>
      <c r="S435" s="186"/>
      <c r="T435" s="186"/>
      <c r="U435" s="186"/>
    </row>
    <row r="436" spans="1:21" x14ac:dyDescent="0.25">
      <c r="A436" s="641" t="s">
        <v>336</v>
      </c>
      <c r="B436" s="642">
        <v>2.4</v>
      </c>
      <c r="C436" s="641"/>
      <c r="D436" s="641" t="s">
        <v>319</v>
      </c>
      <c r="E436" s="641" t="s">
        <v>319</v>
      </c>
      <c r="F436" s="641" t="s">
        <v>319</v>
      </c>
      <c r="G436" s="641" t="s">
        <v>324</v>
      </c>
      <c r="H436" s="575" t="s">
        <v>325</v>
      </c>
      <c r="I436" s="601" t="s">
        <v>402</v>
      </c>
      <c r="J436" s="641" t="s">
        <v>338</v>
      </c>
      <c r="K436" s="641" t="s">
        <v>339</v>
      </c>
      <c r="L436" s="641" t="s">
        <v>320</v>
      </c>
      <c r="M436" s="641" t="s">
        <v>321</v>
      </c>
      <c r="N436" s="641" t="s">
        <v>340</v>
      </c>
      <c r="O436" s="641" t="s">
        <v>341</v>
      </c>
      <c r="P436" s="186"/>
      <c r="Q436" s="186"/>
      <c r="R436" s="186"/>
      <c r="S436" s="186"/>
      <c r="T436" s="186"/>
      <c r="U436" s="186"/>
    </row>
    <row r="437" spans="1:21" x14ac:dyDescent="0.25">
      <c r="A437" s="641" t="s">
        <v>336</v>
      </c>
      <c r="B437" s="642">
        <v>2.4</v>
      </c>
      <c r="C437" s="641"/>
      <c r="D437" s="641" t="s">
        <v>319</v>
      </c>
      <c r="E437" s="641" t="s">
        <v>319</v>
      </c>
      <c r="F437" s="641" t="s">
        <v>319</v>
      </c>
      <c r="G437" s="641" t="s">
        <v>324</v>
      </c>
      <c r="H437" s="575" t="s">
        <v>325</v>
      </c>
      <c r="I437" s="601" t="s">
        <v>403</v>
      </c>
      <c r="J437" s="641" t="s">
        <v>338</v>
      </c>
      <c r="K437" s="641" t="s">
        <v>339</v>
      </c>
      <c r="L437" s="641" t="s">
        <v>320</v>
      </c>
      <c r="M437" s="641" t="s">
        <v>321</v>
      </c>
      <c r="N437" s="641" t="s">
        <v>340</v>
      </c>
      <c r="O437" s="641" t="s">
        <v>341</v>
      </c>
      <c r="P437" s="186"/>
      <c r="Q437" s="186"/>
      <c r="R437" s="186"/>
      <c r="S437" s="186"/>
      <c r="T437" s="186"/>
      <c r="U437" s="186"/>
    </row>
    <row r="438" spans="1:21" x14ac:dyDescent="0.25">
      <c r="A438" s="641" t="s">
        <v>336</v>
      </c>
      <c r="B438" s="642">
        <v>2.4</v>
      </c>
      <c r="C438" s="641"/>
      <c r="D438" s="641" t="s">
        <v>319</v>
      </c>
      <c r="E438" s="641" t="s">
        <v>319</v>
      </c>
      <c r="F438" s="641" t="s">
        <v>319</v>
      </c>
      <c r="G438" s="641" t="s">
        <v>324</v>
      </c>
      <c r="H438" s="575" t="s">
        <v>325</v>
      </c>
      <c r="I438" s="601" t="s">
        <v>404</v>
      </c>
      <c r="J438" s="641" t="s">
        <v>338</v>
      </c>
      <c r="K438" s="641" t="s">
        <v>339</v>
      </c>
      <c r="L438" s="641" t="s">
        <v>320</v>
      </c>
      <c r="M438" s="641" t="s">
        <v>321</v>
      </c>
      <c r="N438" s="641" t="s">
        <v>340</v>
      </c>
      <c r="O438" s="641" t="s">
        <v>341</v>
      </c>
      <c r="P438" s="186"/>
      <c r="Q438" s="186"/>
      <c r="R438" s="186"/>
      <c r="S438" s="186"/>
      <c r="T438" s="186"/>
      <c r="U438" s="186"/>
    </row>
    <row r="439" spans="1:21" x14ac:dyDescent="0.25">
      <c r="A439" s="641" t="s">
        <v>336</v>
      </c>
      <c r="B439" s="642">
        <v>2.4</v>
      </c>
      <c r="C439" s="641"/>
      <c r="D439" s="641" t="s">
        <v>319</v>
      </c>
      <c r="E439" s="641" t="s">
        <v>319</v>
      </c>
      <c r="F439" s="641" t="s">
        <v>319</v>
      </c>
      <c r="G439" s="641" t="s">
        <v>324</v>
      </c>
      <c r="H439" s="575" t="s">
        <v>325</v>
      </c>
      <c r="I439" s="601" t="s">
        <v>405</v>
      </c>
      <c r="J439" s="641" t="s">
        <v>338</v>
      </c>
      <c r="K439" s="641" t="s">
        <v>339</v>
      </c>
      <c r="L439" s="641" t="s">
        <v>320</v>
      </c>
      <c r="M439" s="641" t="s">
        <v>321</v>
      </c>
      <c r="N439" s="641" t="s">
        <v>340</v>
      </c>
      <c r="O439" s="641" t="s">
        <v>341</v>
      </c>
      <c r="P439" s="186"/>
      <c r="Q439" s="186"/>
      <c r="R439" s="186"/>
      <c r="S439" s="186"/>
      <c r="T439" s="186"/>
      <c r="U439" s="186"/>
    </row>
    <row r="440" spans="1:21" x14ac:dyDescent="0.25">
      <c r="A440" s="641" t="s">
        <v>336</v>
      </c>
      <c r="B440" s="642">
        <v>2.4</v>
      </c>
      <c r="C440" s="641"/>
      <c r="D440" s="641" t="s">
        <v>319</v>
      </c>
      <c r="E440" s="641" t="s">
        <v>319</v>
      </c>
      <c r="F440" s="641" t="s">
        <v>319</v>
      </c>
      <c r="G440" s="641" t="s">
        <v>324</v>
      </c>
      <c r="H440" s="575" t="s">
        <v>325</v>
      </c>
      <c r="I440" s="601" t="s">
        <v>406</v>
      </c>
      <c r="J440" s="641" t="s">
        <v>338</v>
      </c>
      <c r="K440" s="641" t="s">
        <v>339</v>
      </c>
      <c r="L440" s="641" t="s">
        <v>320</v>
      </c>
      <c r="M440" s="641" t="s">
        <v>321</v>
      </c>
      <c r="N440" s="641" t="s">
        <v>340</v>
      </c>
      <c r="O440" s="641" t="s">
        <v>341</v>
      </c>
      <c r="P440" s="186"/>
      <c r="Q440" s="186"/>
      <c r="R440" s="186"/>
      <c r="S440" s="186"/>
      <c r="T440" s="186"/>
      <c r="U440" s="186"/>
    </row>
    <row r="441" spans="1:21" x14ac:dyDescent="0.25">
      <c r="A441" s="641" t="s">
        <v>336</v>
      </c>
      <c r="B441" s="642">
        <v>2.4</v>
      </c>
      <c r="C441" s="641"/>
      <c r="D441" s="641" t="s">
        <v>319</v>
      </c>
      <c r="E441" s="641" t="s">
        <v>319</v>
      </c>
      <c r="F441" s="641" t="s">
        <v>319</v>
      </c>
      <c r="G441" s="641" t="s">
        <v>324</v>
      </c>
      <c r="H441" s="575" t="s">
        <v>325</v>
      </c>
      <c r="I441" s="601" t="s">
        <v>407</v>
      </c>
      <c r="J441" s="641" t="s">
        <v>338</v>
      </c>
      <c r="K441" s="641" t="s">
        <v>339</v>
      </c>
      <c r="L441" s="641" t="s">
        <v>320</v>
      </c>
      <c r="M441" s="641" t="s">
        <v>321</v>
      </c>
      <c r="N441" s="641" t="s">
        <v>340</v>
      </c>
      <c r="O441" s="641" t="s">
        <v>341</v>
      </c>
      <c r="P441" s="186"/>
      <c r="Q441" s="186"/>
      <c r="R441" s="186"/>
      <c r="S441" s="186"/>
      <c r="T441" s="186"/>
      <c r="U441" s="186"/>
    </row>
    <row r="442" spans="1:21" x14ac:dyDescent="0.25">
      <c r="A442" s="641" t="s">
        <v>336</v>
      </c>
      <c r="B442" s="642">
        <v>2.4</v>
      </c>
      <c r="C442" s="641"/>
      <c r="D442" s="641" t="s">
        <v>319</v>
      </c>
      <c r="E442" s="641" t="s">
        <v>319</v>
      </c>
      <c r="F442" s="641" t="s">
        <v>319</v>
      </c>
      <c r="G442" s="641" t="s">
        <v>324</v>
      </c>
      <c r="H442" s="575" t="s">
        <v>325</v>
      </c>
      <c r="I442" s="601" t="s">
        <v>408</v>
      </c>
      <c r="J442" s="641" t="s">
        <v>338</v>
      </c>
      <c r="K442" s="641" t="s">
        <v>339</v>
      </c>
      <c r="L442" s="641" t="s">
        <v>320</v>
      </c>
      <c r="M442" s="641" t="s">
        <v>321</v>
      </c>
      <c r="N442" s="641" t="s">
        <v>340</v>
      </c>
      <c r="O442" s="641" t="s">
        <v>341</v>
      </c>
      <c r="P442" s="186"/>
      <c r="Q442" s="186"/>
      <c r="R442" s="186"/>
      <c r="S442" s="186"/>
      <c r="T442" s="186"/>
      <c r="U442" s="186"/>
    </row>
    <row r="443" spans="1:21" x14ac:dyDescent="0.25">
      <c r="A443" s="641" t="s">
        <v>336</v>
      </c>
      <c r="B443" s="642">
        <v>2.4</v>
      </c>
      <c r="C443" s="641"/>
      <c r="D443" s="641" t="s">
        <v>319</v>
      </c>
      <c r="E443" s="641" t="s">
        <v>319</v>
      </c>
      <c r="F443" s="641" t="s">
        <v>319</v>
      </c>
      <c r="G443" s="641" t="s">
        <v>324</v>
      </c>
      <c r="H443" s="575" t="s">
        <v>325</v>
      </c>
      <c r="I443" s="601" t="s">
        <v>409</v>
      </c>
      <c r="J443" s="641" t="s">
        <v>338</v>
      </c>
      <c r="K443" s="641" t="s">
        <v>339</v>
      </c>
      <c r="L443" s="641" t="s">
        <v>320</v>
      </c>
      <c r="M443" s="641" t="s">
        <v>321</v>
      </c>
      <c r="N443" s="641" t="s">
        <v>340</v>
      </c>
      <c r="O443" s="641" t="s">
        <v>341</v>
      </c>
      <c r="P443" s="186"/>
      <c r="Q443" s="186"/>
      <c r="R443" s="186"/>
      <c r="S443" s="186"/>
      <c r="T443" s="186"/>
      <c r="U443" s="186"/>
    </row>
    <row r="444" spans="1:21" x14ac:dyDescent="0.25">
      <c r="A444" s="641" t="s">
        <v>336</v>
      </c>
      <c r="B444" s="642">
        <v>2.4</v>
      </c>
      <c r="C444" s="641"/>
      <c r="D444" s="641" t="s">
        <v>319</v>
      </c>
      <c r="E444" s="641" t="s">
        <v>319</v>
      </c>
      <c r="F444" s="641" t="s">
        <v>319</v>
      </c>
      <c r="G444" s="641" t="s">
        <v>324</v>
      </c>
      <c r="H444" s="575" t="s">
        <v>325</v>
      </c>
      <c r="I444" s="601" t="s">
        <v>410</v>
      </c>
      <c r="J444" s="641" t="s">
        <v>338</v>
      </c>
      <c r="K444" s="641" t="s">
        <v>339</v>
      </c>
      <c r="L444" s="641" t="s">
        <v>320</v>
      </c>
      <c r="M444" s="641" t="s">
        <v>321</v>
      </c>
      <c r="N444" s="641" t="s">
        <v>340</v>
      </c>
      <c r="O444" s="641" t="s">
        <v>341</v>
      </c>
      <c r="P444" s="186"/>
      <c r="Q444" s="186"/>
      <c r="R444" s="186"/>
      <c r="S444" s="186"/>
      <c r="T444" s="186"/>
      <c r="U444" s="186"/>
    </row>
    <row r="445" spans="1:21" x14ac:dyDescent="0.25">
      <c r="A445" s="641" t="s">
        <v>336</v>
      </c>
      <c r="B445" s="642">
        <v>2.4</v>
      </c>
      <c r="C445" s="641"/>
      <c r="D445" s="641" t="s">
        <v>319</v>
      </c>
      <c r="E445" s="641" t="s">
        <v>319</v>
      </c>
      <c r="F445" s="641" t="s">
        <v>319</v>
      </c>
      <c r="G445" s="641" t="s">
        <v>324</v>
      </c>
      <c r="H445" s="575" t="s">
        <v>325</v>
      </c>
      <c r="I445" s="601" t="s">
        <v>411</v>
      </c>
      <c r="J445" s="641" t="s">
        <v>338</v>
      </c>
      <c r="K445" s="641" t="s">
        <v>339</v>
      </c>
      <c r="L445" s="641" t="s">
        <v>320</v>
      </c>
      <c r="M445" s="641" t="s">
        <v>321</v>
      </c>
      <c r="N445" s="641" t="s">
        <v>340</v>
      </c>
      <c r="O445" s="641" t="s">
        <v>341</v>
      </c>
      <c r="P445" s="186"/>
      <c r="Q445" s="186"/>
      <c r="R445" s="186"/>
      <c r="S445" s="186"/>
      <c r="T445" s="186"/>
      <c r="U445" s="186"/>
    </row>
    <row r="446" spans="1:21" x14ac:dyDescent="0.25">
      <c r="A446" s="641" t="s">
        <v>336</v>
      </c>
      <c r="B446" s="642">
        <v>2.4</v>
      </c>
      <c r="C446" s="641"/>
      <c r="D446" s="641" t="s">
        <v>319</v>
      </c>
      <c r="E446" s="641" t="s">
        <v>319</v>
      </c>
      <c r="F446" s="641" t="s">
        <v>319</v>
      </c>
      <c r="G446" s="641" t="s">
        <v>324</v>
      </c>
      <c r="H446" s="575" t="s">
        <v>325</v>
      </c>
      <c r="I446" s="601" t="s">
        <v>412</v>
      </c>
      <c r="J446" s="641" t="s">
        <v>338</v>
      </c>
      <c r="K446" s="641" t="s">
        <v>339</v>
      </c>
      <c r="L446" s="641" t="s">
        <v>320</v>
      </c>
      <c r="M446" s="641" t="s">
        <v>321</v>
      </c>
      <c r="N446" s="641" t="s">
        <v>340</v>
      </c>
      <c r="O446" s="641" t="s">
        <v>341</v>
      </c>
      <c r="P446" s="186"/>
      <c r="Q446" s="186"/>
      <c r="R446" s="186"/>
      <c r="S446" s="186"/>
      <c r="T446" s="186"/>
      <c r="U446" s="186"/>
    </row>
    <row r="447" spans="1:21" x14ac:dyDescent="0.25">
      <c r="A447" s="641" t="s">
        <v>336</v>
      </c>
      <c r="B447" s="642">
        <v>2.4</v>
      </c>
      <c r="C447" s="641"/>
      <c r="D447" s="641" t="s">
        <v>319</v>
      </c>
      <c r="E447" s="641" t="s">
        <v>319</v>
      </c>
      <c r="F447" s="641" t="s">
        <v>319</v>
      </c>
      <c r="G447" s="641" t="s">
        <v>324</v>
      </c>
      <c r="H447" s="575" t="s">
        <v>325</v>
      </c>
      <c r="I447" s="601" t="s">
        <v>413</v>
      </c>
      <c r="J447" s="641" t="s">
        <v>338</v>
      </c>
      <c r="K447" s="641" t="s">
        <v>339</v>
      </c>
      <c r="L447" s="641" t="s">
        <v>320</v>
      </c>
      <c r="M447" s="641" t="s">
        <v>321</v>
      </c>
      <c r="N447" s="641" t="s">
        <v>340</v>
      </c>
      <c r="O447" s="641" t="s">
        <v>341</v>
      </c>
      <c r="P447" s="186"/>
      <c r="Q447" s="186"/>
      <c r="R447" s="186"/>
      <c r="S447" s="186"/>
      <c r="T447" s="186"/>
      <c r="U447" s="186"/>
    </row>
    <row r="448" spans="1:21" x14ac:dyDescent="0.25">
      <c r="A448" s="641" t="s">
        <v>336</v>
      </c>
      <c r="B448" s="642">
        <v>2.4</v>
      </c>
      <c r="C448" s="641"/>
      <c r="D448" s="641" t="s">
        <v>319</v>
      </c>
      <c r="E448" s="641" t="s">
        <v>319</v>
      </c>
      <c r="F448" s="641" t="s">
        <v>319</v>
      </c>
      <c r="G448" s="641" t="s">
        <v>324</v>
      </c>
      <c r="H448" s="575" t="s">
        <v>325</v>
      </c>
      <c r="I448" s="601" t="s">
        <v>414</v>
      </c>
      <c r="J448" s="641" t="s">
        <v>338</v>
      </c>
      <c r="K448" s="641" t="s">
        <v>339</v>
      </c>
      <c r="L448" s="641" t="s">
        <v>320</v>
      </c>
      <c r="M448" s="641" t="s">
        <v>321</v>
      </c>
      <c r="N448" s="641" t="s">
        <v>340</v>
      </c>
      <c r="O448" s="641" t="s">
        <v>341</v>
      </c>
      <c r="P448" s="186"/>
      <c r="Q448" s="186"/>
      <c r="R448" s="186"/>
      <c r="S448" s="186"/>
      <c r="T448" s="186"/>
      <c r="U448" s="186"/>
    </row>
    <row r="449" spans="1:21" x14ac:dyDescent="0.25">
      <c r="A449" s="641" t="s">
        <v>336</v>
      </c>
      <c r="B449" s="642">
        <v>2.4</v>
      </c>
      <c r="C449" s="641"/>
      <c r="D449" s="641" t="s">
        <v>319</v>
      </c>
      <c r="E449" s="641" t="s">
        <v>319</v>
      </c>
      <c r="F449" s="641" t="s">
        <v>319</v>
      </c>
      <c r="G449" s="641" t="s">
        <v>324</v>
      </c>
      <c r="H449" s="575" t="s">
        <v>325</v>
      </c>
      <c r="I449" s="601" t="s">
        <v>415</v>
      </c>
      <c r="J449" s="641" t="s">
        <v>338</v>
      </c>
      <c r="K449" s="641" t="s">
        <v>339</v>
      </c>
      <c r="L449" s="641" t="s">
        <v>320</v>
      </c>
      <c r="M449" s="641" t="s">
        <v>321</v>
      </c>
      <c r="N449" s="641" t="s">
        <v>340</v>
      </c>
      <c r="O449" s="641" t="s">
        <v>341</v>
      </c>
      <c r="P449" s="186"/>
      <c r="Q449" s="186"/>
      <c r="R449" s="186"/>
      <c r="S449" s="186"/>
      <c r="T449" s="186"/>
      <c r="U449" s="186"/>
    </row>
    <row r="450" spans="1:21" x14ac:dyDescent="0.25">
      <c r="A450" s="641" t="s">
        <v>336</v>
      </c>
      <c r="B450" s="642">
        <v>2.4</v>
      </c>
      <c r="C450" s="641"/>
      <c r="D450" s="641" t="s">
        <v>319</v>
      </c>
      <c r="E450" s="641" t="s">
        <v>319</v>
      </c>
      <c r="F450" s="641" t="s">
        <v>319</v>
      </c>
      <c r="G450" s="641" t="s">
        <v>324</v>
      </c>
      <c r="H450" s="575" t="s">
        <v>325</v>
      </c>
      <c r="I450" s="601" t="s">
        <v>416</v>
      </c>
      <c r="J450" s="641" t="s">
        <v>338</v>
      </c>
      <c r="K450" s="641" t="s">
        <v>339</v>
      </c>
      <c r="L450" s="641" t="s">
        <v>320</v>
      </c>
      <c r="M450" s="641" t="s">
        <v>321</v>
      </c>
      <c r="N450" s="641" t="s">
        <v>340</v>
      </c>
      <c r="O450" s="641" t="s">
        <v>341</v>
      </c>
      <c r="P450" s="186"/>
      <c r="Q450" s="186"/>
      <c r="R450" s="186"/>
      <c r="S450" s="186"/>
      <c r="T450" s="186"/>
      <c r="U450" s="186"/>
    </row>
    <row r="451" spans="1:21" x14ac:dyDescent="0.25">
      <c r="A451" s="641" t="s">
        <v>336</v>
      </c>
      <c r="B451" s="642">
        <v>0.75</v>
      </c>
      <c r="C451" s="641"/>
      <c r="D451" s="641" t="s">
        <v>319</v>
      </c>
      <c r="E451" s="641" t="s">
        <v>319</v>
      </c>
      <c r="F451" s="641" t="s">
        <v>319</v>
      </c>
      <c r="G451" s="641" t="s">
        <v>324</v>
      </c>
      <c r="H451" s="575" t="s">
        <v>325</v>
      </c>
      <c r="I451" s="601" t="s">
        <v>337</v>
      </c>
      <c r="J451" s="641" t="s">
        <v>338</v>
      </c>
      <c r="K451" s="641" t="s">
        <v>339</v>
      </c>
      <c r="L451" s="641" t="b">
        <v>0</v>
      </c>
      <c r="M451" s="641" t="s">
        <v>321</v>
      </c>
      <c r="N451" s="641" t="s">
        <v>340</v>
      </c>
      <c r="O451" s="641" t="s">
        <v>341</v>
      </c>
      <c r="P451" s="186"/>
      <c r="Q451" s="186"/>
      <c r="R451" s="186"/>
      <c r="S451" s="186"/>
      <c r="T451" s="186"/>
      <c r="U451" s="186"/>
    </row>
    <row r="452" spans="1:21" x14ac:dyDescent="0.25">
      <c r="A452" s="641" t="s">
        <v>336</v>
      </c>
      <c r="B452" s="642">
        <v>0.85</v>
      </c>
      <c r="C452" s="641"/>
      <c r="D452" s="641" t="s">
        <v>319</v>
      </c>
      <c r="E452" s="641" t="s">
        <v>319</v>
      </c>
      <c r="F452" s="641" t="s">
        <v>319</v>
      </c>
      <c r="G452" s="641" t="s">
        <v>324</v>
      </c>
      <c r="H452" s="575" t="s">
        <v>325</v>
      </c>
      <c r="I452" s="601" t="s">
        <v>342</v>
      </c>
      <c r="J452" s="641" t="s">
        <v>338</v>
      </c>
      <c r="K452" s="641" t="s">
        <v>339</v>
      </c>
      <c r="L452" s="641" t="b">
        <v>0</v>
      </c>
      <c r="M452" s="641" t="s">
        <v>321</v>
      </c>
      <c r="N452" s="641" t="s">
        <v>340</v>
      </c>
      <c r="O452" s="641" t="s">
        <v>341</v>
      </c>
      <c r="P452" s="186"/>
      <c r="Q452" s="186"/>
      <c r="R452" s="186"/>
      <c r="S452" s="186"/>
      <c r="T452" s="186"/>
      <c r="U452" s="186"/>
    </row>
    <row r="453" spans="1:21" x14ac:dyDescent="0.25">
      <c r="A453" s="641" t="s">
        <v>336</v>
      </c>
      <c r="B453" s="642">
        <v>0.85</v>
      </c>
      <c r="C453" s="641"/>
      <c r="D453" s="641" t="s">
        <v>319</v>
      </c>
      <c r="E453" s="641" t="s">
        <v>319</v>
      </c>
      <c r="F453" s="641" t="s">
        <v>319</v>
      </c>
      <c r="G453" s="641" t="s">
        <v>324</v>
      </c>
      <c r="H453" s="575" t="s">
        <v>325</v>
      </c>
      <c r="I453" s="601" t="s">
        <v>343</v>
      </c>
      <c r="J453" s="641" t="s">
        <v>338</v>
      </c>
      <c r="K453" s="641" t="s">
        <v>339</v>
      </c>
      <c r="L453" s="641" t="b">
        <v>0</v>
      </c>
      <c r="M453" s="641" t="s">
        <v>321</v>
      </c>
      <c r="N453" s="641" t="s">
        <v>340</v>
      </c>
      <c r="O453" s="641" t="s">
        <v>341</v>
      </c>
      <c r="P453" s="186"/>
      <c r="Q453" s="186"/>
      <c r="R453" s="186"/>
      <c r="S453" s="186"/>
      <c r="T453" s="186"/>
      <c r="U453" s="186"/>
    </row>
    <row r="454" spans="1:21" x14ac:dyDescent="0.25">
      <c r="A454" s="641" t="s">
        <v>336</v>
      </c>
      <c r="B454" s="642">
        <v>0.85</v>
      </c>
      <c r="C454" s="641"/>
      <c r="D454" s="641" t="s">
        <v>319</v>
      </c>
      <c r="E454" s="641" t="s">
        <v>319</v>
      </c>
      <c r="F454" s="641" t="s">
        <v>319</v>
      </c>
      <c r="G454" s="641" t="s">
        <v>324</v>
      </c>
      <c r="H454" s="575" t="s">
        <v>325</v>
      </c>
      <c r="I454" s="601" t="s">
        <v>344</v>
      </c>
      <c r="J454" s="641" t="s">
        <v>338</v>
      </c>
      <c r="K454" s="641" t="s">
        <v>339</v>
      </c>
      <c r="L454" s="641" t="b">
        <v>0</v>
      </c>
      <c r="M454" s="641" t="s">
        <v>321</v>
      </c>
      <c r="N454" s="641" t="s">
        <v>340</v>
      </c>
      <c r="O454" s="641" t="s">
        <v>341</v>
      </c>
      <c r="P454" s="186"/>
      <c r="Q454" s="186"/>
      <c r="R454" s="186"/>
      <c r="S454" s="186"/>
      <c r="T454" s="186"/>
      <c r="U454" s="186"/>
    </row>
    <row r="455" spans="1:21" x14ac:dyDescent="0.25">
      <c r="A455" s="641" t="s">
        <v>336</v>
      </c>
      <c r="B455" s="642">
        <v>0.85</v>
      </c>
      <c r="C455" s="641"/>
      <c r="D455" s="641" t="s">
        <v>319</v>
      </c>
      <c r="E455" s="641" t="s">
        <v>319</v>
      </c>
      <c r="F455" s="641" t="s">
        <v>319</v>
      </c>
      <c r="G455" s="641" t="s">
        <v>324</v>
      </c>
      <c r="H455" s="575" t="s">
        <v>325</v>
      </c>
      <c r="I455" s="601" t="s">
        <v>345</v>
      </c>
      <c r="J455" s="641" t="s">
        <v>338</v>
      </c>
      <c r="K455" s="641" t="s">
        <v>339</v>
      </c>
      <c r="L455" s="641" t="b">
        <v>0</v>
      </c>
      <c r="M455" s="641" t="s">
        <v>321</v>
      </c>
      <c r="N455" s="641" t="s">
        <v>340</v>
      </c>
      <c r="O455" s="641" t="s">
        <v>341</v>
      </c>
      <c r="P455" s="186"/>
      <c r="Q455" s="186"/>
      <c r="R455" s="186"/>
      <c r="S455" s="186"/>
      <c r="T455" s="186"/>
      <c r="U455" s="186"/>
    </row>
    <row r="456" spans="1:21" x14ac:dyDescent="0.25">
      <c r="A456" s="641" t="s">
        <v>336</v>
      </c>
      <c r="B456" s="642">
        <v>0.85</v>
      </c>
      <c r="C456" s="641"/>
      <c r="D456" s="641" t="s">
        <v>319</v>
      </c>
      <c r="E456" s="641" t="s">
        <v>319</v>
      </c>
      <c r="F456" s="641" t="s">
        <v>319</v>
      </c>
      <c r="G456" s="641" t="s">
        <v>324</v>
      </c>
      <c r="H456" s="575" t="s">
        <v>325</v>
      </c>
      <c r="I456" s="601" t="s">
        <v>346</v>
      </c>
      <c r="J456" s="641" t="s">
        <v>338</v>
      </c>
      <c r="K456" s="641" t="s">
        <v>339</v>
      </c>
      <c r="L456" s="641" t="b">
        <v>0</v>
      </c>
      <c r="M456" s="641" t="s">
        <v>321</v>
      </c>
      <c r="N456" s="641" t="s">
        <v>340</v>
      </c>
      <c r="O456" s="641" t="s">
        <v>341</v>
      </c>
      <c r="P456" s="186"/>
      <c r="Q456" s="186"/>
      <c r="R456" s="186"/>
      <c r="S456" s="186"/>
      <c r="T456" s="186"/>
      <c r="U456" s="186"/>
    </row>
    <row r="457" spans="1:21" x14ac:dyDescent="0.25">
      <c r="A457" s="641" t="s">
        <v>336</v>
      </c>
      <c r="B457" s="642">
        <v>0.85</v>
      </c>
      <c r="C457" s="641"/>
      <c r="D457" s="641" t="s">
        <v>319</v>
      </c>
      <c r="E457" s="641" t="s">
        <v>319</v>
      </c>
      <c r="F457" s="641" t="s">
        <v>319</v>
      </c>
      <c r="G457" s="641" t="s">
        <v>324</v>
      </c>
      <c r="H457" s="575" t="s">
        <v>325</v>
      </c>
      <c r="I457" s="601" t="s">
        <v>347</v>
      </c>
      <c r="J457" s="641" t="s">
        <v>338</v>
      </c>
      <c r="K457" s="641" t="s">
        <v>339</v>
      </c>
      <c r="L457" s="641" t="b">
        <v>0</v>
      </c>
      <c r="M457" s="641" t="s">
        <v>321</v>
      </c>
      <c r="N457" s="641" t="s">
        <v>340</v>
      </c>
      <c r="O457" s="641" t="s">
        <v>341</v>
      </c>
      <c r="P457" s="186"/>
      <c r="Q457" s="186"/>
      <c r="R457" s="186"/>
      <c r="S457" s="186"/>
      <c r="T457" s="186"/>
      <c r="U457" s="186"/>
    </row>
    <row r="458" spans="1:21" x14ac:dyDescent="0.25">
      <c r="A458" s="641" t="s">
        <v>336</v>
      </c>
      <c r="B458" s="642">
        <v>0.85</v>
      </c>
      <c r="C458" s="641"/>
      <c r="D458" s="641" t="s">
        <v>319</v>
      </c>
      <c r="E458" s="641" t="s">
        <v>319</v>
      </c>
      <c r="F458" s="641" t="s">
        <v>319</v>
      </c>
      <c r="G458" s="641" t="s">
        <v>324</v>
      </c>
      <c r="H458" s="575" t="s">
        <v>325</v>
      </c>
      <c r="I458" s="601" t="s">
        <v>348</v>
      </c>
      <c r="J458" s="641" t="s">
        <v>338</v>
      </c>
      <c r="K458" s="641" t="s">
        <v>339</v>
      </c>
      <c r="L458" s="641" t="b">
        <v>0</v>
      </c>
      <c r="M458" s="641" t="s">
        <v>321</v>
      </c>
      <c r="N458" s="641" t="s">
        <v>340</v>
      </c>
      <c r="O458" s="641" t="s">
        <v>341</v>
      </c>
      <c r="P458" s="186"/>
      <c r="Q458" s="186"/>
      <c r="R458" s="186"/>
      <c r="S458" s="186"/>
      <c r="T458" s="186"/>
      <c r="U458" s="186"/>
    </row>
    <row r="459" spans="1:21" x14ac:dyDescent="0.25">
      <c r="A459" s="641" t="s">
        <v>336</v>
      </c>
      <c r="B459" s="642">
        <v>0.85</v>
      </c>
      <c r="C459" s="641"/>
      <c r="D459" s="641" t="s">
        <v>319</v>
      </c>
      <c r="E459" s="641" t="s">
        <v>319</v>
      </c>
      <c r="F459" s="641" t="s">
        <v>319</v>
      </c>
      <c r="G459" s="641" t="s">
        <v>324</v>
      </c>
      <c r="H459" s="575" t="s">
        <v>325</v>
      </c>
      <c r="I459" s="601" t="s">
        <v>349</v>
      </c>
      <c r="J459" s="641" t="s">
        <v>338</v>
      </c>
      <c r="K459" s="641" t="s">
        <v>339</v>
      </c>
      <c r="L459" s="641" t="b">
        <v>0</v>
      </c>
      <c r="M459" s="641" t="s">
        <v>321</v>
      </c>
      <c r="N459" s="641" t="s">
        <v>340</v>
      </c>
      <c r="O459" s="641" t="s">
        <v>341</v>
      </c>
      <c r="P459" s="186"/>
      <c r="Q459" s="186"/>
      <c r="R459" s="186"/>
      <c r="S459" s="186"/>
      <c r="T459" s="186"/>
      <c r="U459" s="186"/>
    </row>
    <row r="460" spans="1:21" x14ac:dyDescent="0.25">
      <c r="A460" s="641" t="s">
        <v>336</v>
      </c>
      <c r="B460" s="642">
        <v>0.85</v>
      </c>
      <c r="C460" s="641"/>
      <c r="D460" s="641" t="s">
        <v>319</v>
      </c>
      <c r="E460" s="641" t="s">
        <v>319</v>
      </c>
      <c r="F460" s="641" t="s">
        <v>319</v>
      </c>
      <c r="G460" s="641" t="s">
        <v>324</v>
      </c>
      <c r="H460" s="575" t="s">
        <v>325</v>
      </c>
      <c r="I460" s="601" t="s">
        <v>350</v>
      </c>
      <c r="J460" s="641" t="s">
        <v>338</v>
      </c>
      <c r="K460" s="641" t="s">
        <v>339</v>
      </c>
      <c r="L460" s="641" t="b">
        <v>0</v>
      </c>
      <c r="M460" s="641" t="s">
        <v>321</v>
      </c>
      <c r="N460" s="641" t="s">
        <v>340</v>
      </c>
      <c r="O460" s="641" t="s">
        <v>341</v>
      </c>
      <c r="P460" s="186"/>
      <c r="Q460" s="186"/>
      <c r="R460" s="186"/>
      <c r="S460" s="186"/>
      <c r="T460" s="186"/>
      <c r="U460" s="186"/>
    </row>
    <row r="461" spans="1:21" x14ac:dyDescent="0.25">
      <c r="A461" s="641" t="s">
        <v>336</v>
      </c>
      <c r="B461" s="642">
        <v>0.85</v>
      </c>
      <c r="C461" s="641"/>
      <c r="D461" s="641" t="s">
        <v>319</v>
      </c>
      <c r="E461" s="641" t="s">
        <v>319</v>
      </c>
      <c r="F461" s="641" t="s">
        <v>319</v>
      </c>
      <c r="G461" s="641" t="s">
        <v>324</v>
      </c>
      <c r="H461" s="575" t="s">
        <v>325</v>
      </c>
      <c r="I461" s="601" t="s">
        <v>351</v>
      </c>
      <c r="J461" s="641" t="s">
        <v>338</v>
      </c>
      <c r="K461" s="641" t="s">
        <v>339</v>
      </c>
      <c r="L461" s="641" t="b">
        <v>0</v>
      </c>
      <c r="M461" s="641" t="s">
        <v>321</v>
      </c>
      <c r="N461" s="641" t="s">
        <v>340</v>
      </c>
      <c r="O461" s="641" t="s">
        <v>341</v>
      </c>
      <c r="P461" s="186"/>
      <c r="Q461" s="186"/>
      <c r="R461" s="186"/>
      <c r="S461" s="186"/>
      <c r="T461" s="186"/>
      <c r="U461" s="186"/>
    </row>
    <row r="462" spans="1:21" x14ac:dyDescent="0.25">
      <c r="A462" s="641" t="s">
        <v>336</v>
      </c>
      <c r="B462" s="642">
        <v>0.9</v>
      </c>
      <c r="C462" s="641"/>
      <c r="D462" s="641" t="s">
        <v>319</v>
      </c>
      <c r="E462" s="641" t="s">
        <v>319</v>
      </c>
      <c r="F462" s="641" t="s">
        <v>319</v>
      </c>
      <c r="G462" s="641" t="s">
        <v>324</v>
      </c>
      <c r="H462" s="575" t="s">
        <v>325</v>
      </c>
      <c r="I462" s="601" t="s">
        <v>352</v>
      </c>
      <c r="J462" s="641" t="s">
        <v>338</v>
      </c>
      <c r="K462" s="641" t="s">
        <v>339</v>
      </c>
      <c r="L462" s="641" t="b">
        <v>0</v>
      </c>
      <c r="M462" s="641" t="s">
        <v>321</v>
      </c>
      <c r="N462" s="641" t="s">
        <v>340</v>
      </c>
      <c r="O462" s="641" t="s">
        <v>341</v>
      </c>
      <c r="P462" s="186"/>
      <c r="Q462" s="186"/>
      <c r="R462" s="186"/>
      <c r="S462" s="186"/>
      <c r="T462" s="186"/>
      <c r="U462" s="186"/>
    </row>
    <row r="463" spans="1:21" x14ac:dyDescent="0.25">
      <c r="A463" s="641" t="s">
        <v>336</v>
      </c>
      <c r="B463" s="642">
        <v>0.9</v>
      </c>
      <c r="C463" s="641"/>
      <c r="D463" s="641" t="s">
        <v>319</v>
      </c>
      <c r="E463" s="641" t="s">
        <v>319</v>
      </c>
      <c r="F463" s="641" t="s">
        <v>319</v>
      </c>
      <c r="G463" s="641" t="s">
        <v>324</v>
      </c>
      <c r="H463" s="575" t="s">
        <v>325</v>
      </c>
      <c r="I463" s="601" t="s">
        <v>353</v>
      </c>
      <c r="J463" s="641" t="s">
        <v>338</v>
      </c>
      <c r="K463" s="641" t="s">
        <v>339</v>
      </c>
      <c r="L463" s="641" t="b">
        <v>0</v>
      </c>
      <c r="M463" s="641" t="s">
        <v>321</v>
      </c>
      <c r="N463" s="641" t="s">
        <v>340</v>
      </c>
      <c r="O463" s="641" t="s">
        <v>341</v>
      </c>
      <c r="P463" s="186"/>
      <c r="Q463" s="186"/>
      <c r="R463" s="186"/>
      <c r="S463" s="186"/>
      <c r="T463" s="186"/>
      <c r="U463" s="186"/>
    </row>
    <row r="464" spans="1:21" x14ac:dyDescent="0.25">
      <c r="A464" s="641" t="s">
        <v>336</v>
      </c>
      <c r="B464" s="642">
        <v>0.9</v>
      </c>
      <c r="C464" s="641"/>
      <c r="D464" s="641" t="s">
        <v>319</v>
      </c>
      <c r="E464" s="641" t="s">
        <v>319</v>
      </c>
      <c r="F464" s="641" t="s">
        <v>319</v>
      </c>
      <c r="G464" s="641" t="s">
        <v>324</v>
      </c>
      <c r="H464" s="575" t="s">
        <v>325</v>
      </c>
      <c r="I464" s="601" t="s">
        <v>354</v>
      </c>
      <c r="J464" s="641" t="s">
        <v>338</v>
      </c>
      <c r="K464" s="641" t="s">
        <v>339</v>
      </c>
      <c r="L464" s="641" t="b">
        <v>0</v>
      </c>
      <c r="M464" s="641" t="s">
        <v>321</v>
      </c>
      <c r="N464" s="641" t="s">
        <v>340</v>
      </c>
      <c r="O464" s="641" t="s">
        <v>341</v>
      </c>
      <c r="P464" s="186"/>
      <c r="Q464" s="186"/>
      <c r="R464" s="186"/>
      <c r="S464" s="186"/>
      <c r="T464" s="186"/>
      <c r="U464" s="186"/>
    </row>
    <row r="465" spans="1:21" x14ac:dyDescent="0.25">
      <c r="A465" s="641" t="s">
        <v>336</v>
      </c>
      <c r="B465" s="642">
        <v>0.9</v>
      </c>
      <c r="C465" s="641"/>
      <c r="D465" s="641" t="s">
        <v>319</v>
      </c>
      <c r="E465" s="641" t="s">
        <v>319</v>
      </c>
      <c r="F465" s="641" t="s">
        <v>319</v>
      </c>
      <c r="G465" s="641" t="s">
        <v>324</v>
      </c>
      <c r="H465" s="575" t="s">
        <v>325</v>
      </c>
      <c r="I465" s="601" t="s">
        <v>355</v>
      </c>
      <c r="J465" s="641" t="s">
        <v>338</v>
      </c>
      <c r="K465" s="641" t="s">
        <v>339</v>
      </c>
      <c r="L465" s="641" t="b">
        <v>0</v>
      </c>
      <c r="M465" s="641" t="s">
        <v>321</v>
      </c>
      <c r="N465" s="641" t="s">
        <v>340</v>
      </c>
      <c r="O465" s="641" t="s">
        <v>341</v>
      </c>
      <c r="P465" s="186"/>
      <c r="Q465" s="186"/>
      <c r="R465" s="186"/>
      <c r="S465" s="186"/>
      <c r="T465" s="186"/>
      <c r="U465" s="186"/>
    </row>
    <row r="466" spans="1:21" x14ac:dyDescent="0.25">
      <c r="A466" s="641" t="s">
        <v>336</v>
      </c>
      <c r="B466" s="642">
        <v>1</v>
      </c>
      <c r="C466" s="641"/>
      <c r="D466" s="641" t="s">
        <v>319</v>
      </c>
      <c r="E466" s="641" t="s">
        <v>319</v>
      </c>
      <c r="F466" s="641" t="s">
        <v>319</v>
      </c>
      <c r="G466" s="641" t="s">
        <v>324</v>
      </c>
      <c r="H466" s="575" t="s">
        <v>325</v>
      </c>
      <c r="I466" s="601" t="s">
        <v>356</v>
      </c>
      <c r="J466" s="641" t="s">
        <v>338</v>
      </c>
      <c r="K466" s="641" t="s">
        <v>339</v>
      </c>
      <c r="L466" s="641" t="b">
        <v>0</v>
      </c>
      <c r="M466" s="641" t="s">
        <v>321</v>
      </c>
      <c r="N466" s="641" t="s">
        <v>340</v>
      </c>
      <c r="O466" s="641" t="s">
        <v>341</v>
      </c>
      <c r="P466" s="186"/>
      <c r="Q466" s="186"/>
      <c r="R466" s="186"/>
      <c r="S466" s="186"/>
      <c r="T466" s="186"/>
      <c r="U466" s="186"/>
    </row>
    <row r="467" spans="1:21" x14ac:dyDescent="0.25">
      <c r="A467" s="641" t="s">
        <v>336</v>
      </c>
      <c r="B467" s="642">
        <v>1</v>
      </c>
      <c r="C467" s="641"/>
      <c r="D467" s="641" t="s">
        <v>319</v>
      </c>
      <c r="E467" s="641" t="s">
        <v>319</v>
      </c>
      <c r="F467" s="641" t="s">
        <v>319</v>
      </c>
      <c r="G467" s="641" t="s">
        <v>324</v>
      </c>
      <c r="H467" s="575" t="s">
        <v>325</v>
      </c>
      <c r="I467" s="601" t="s">
        <v>357</v>
      </c>
      <c r="J467" s="641" t="s">
        <v>338</v>
      </c>
      <c r="K467" s="641" t="s">
        <v>339</v>
      </c>
      <c r="L467" s="641" t="b">
        <v>0</v>
      </c>
      <c r="M467" s="641" t="s">
        <v>321</v>
      </c>
      <c r="N467" s="641" t="s">
        <v>340</v>
      </c>
      <c r="O467" s="641" t="s">
        <v>341</v>
      </c>
      <c r="P467" s="186"/>
      <c r="Q467" s="186"/>
      <c r="R467" s="186"/>
      <c r="S467" s="186"/>
      <c r="T467" s="186"/>
      <c r="U467" s="186"/>
    </row>
    <row r="468" spans="1:21" x14ac:dyDescent="0.25">
      <c r="A468" s="641" t="s">
        <v>336</v>
      </c>
      <c r="B468" s="642">
        <v>1</v>
      </c>
      <c r="C468" s="641"/>
      <c r="D468" s="641" t="s">
        <v>319</v>
      </c>
      <c r="E468" s="641" t="s">
        <v>319</v>
      </c>
      <c r="F468" s="641" t="s">
        <v>319</v>
      </c>
      <c r="G468" s="641" t="s">
        <v>324</v>
      </c>
      <c r="H468" s="575" t="s">
        <v>325</v>
      </c>
      <c r="I468" s="601" t="s">
        <v>358</v>
      </c>
      <c r="J468" s="641" t="s">
        <v>338</v>
      </c>
      <c r="K468" s="641" t="s">
        <v>339</v>
      </c>
      <c r="L468" s="641" t="b">
        <v>0</v>
      </c>
      <c r="M468" s="641" t="s">
        <v>321</v>
      </c>
      <c r="N468" s="641" t="s">
        <v>340</v>
      </c>
      <c r="O468" s="641" t="s">
        <v>341</v>
      </c>
      <c r="P468" s="186"/>
      <c r="Q468" s="186"/>
      <c r="R468" s="186"/>
      <c r="S468" s="186"/>
      <c r="T468" s="186"/>
      <c r="U468" s="186"/>
    </row>
    <row r="469" spans="1:21" x14ac:dyDescent="0.25">
      <c r="A469" s="641" t="s">
        <v>336</v>
      </c>
      <c r="B469" s="642">
        <v>1</v>
      </c>
      <c r="C469" s="641"/>
      <c r="D469" s="641" t="s">
        <v>319</v>
      </c>
      <c r="E469" s="641" t="s">
        <v>319</v>
      </c>
      <c r="F469" s="641" t="s">
        <v>319</v>
      </c>
      <c r="G469" s="641" t="s">
        <v>324</v>
      </c>
      <c r="H469" s="575" t="s">
        <v>325</v>
      </c>
      <c r="I469" s="601" t="s">
        <v>359</v>
      </c>
      <c r="J469" s="641" t="s">
        <v>338</v>
      </c>
      <c r="K469" s="641" t="s">
        <v>339</v>
      </c>
      <c r="L469" s="641" t="b">
        <v>0</v>
      </c>
      <c r="M469" s="641" t="s">
        <v>321</v>
      </c>
      <c r="N469" s="641" t="s">
        <v>340</v>
      </c>
      <c r="O469" s="641" t="s">
        <v>341</v>
      </c>
      <c r="P469" s="186"/>
      <c r="Q469" s="186"/>
      <c r="R469" s="186"/>
      <c r="S469" s="186"/>
      <c r="T469" s="186"/>
      <c r="U469" s="186"/>
    </row>
    <row r="470" spans="1:21" x14ac:dyDescent="0.25">
      <c r="A470" s="641" t="s">
        <v>336</v>
      </c>
      <c r="B470" s="642">
        <v>1</v>
      </c>
      <c r="C470" s="641"/>
      <c r="D470" s="641" t="s">
        <v>319</v>
      </c>
      <c r="E470" s="641" t="s">
        <v>319</v>
      </c>
      <c r="F470" s="641" t="s">
        <v>319</v>
      </c>
      <c r="G470" s="641" t="s">
        <v>324</v>
      </c>
      <c r="H470" s="575" t="s">
        <v>325</v>
      </c>
      <c r="I470" s="601" t="s">
        <v>360</v>
      </c>
      <c r="J470" s="641" t="s">
        <v>338</v>
      </c>
      <c r="K470" s="641" t="s">
        <v>339</v>
      </c>
      <c r="L470" s="641" t="b">
        <v>0</v>
      </c>
      <c r="M470" s="641" t="s">
        <v>321</v>
      </c>
      <c r="N470" s="641" t="s">
        <v>340</v>
      </c>
      <c r="O470" s="641" t="s">
        <v>341</v>
      </c>
      <c r="P470" s="186"/>
      <c r="Q470" s="186"/>
      <c r="R470" s="186"/>
      <c r="S470" s="186"/>
      <c r="T470" s="186"/>
      <c r="U470" s="186"/>
    </row>
    <row r="471" spans="1:21" x14ac:dyDescent="0.25">
      <c r="A471" s="641" t="s">
        <v>336</v>
      </c>
      <c r="B471" s="642">
        <v>1</v>
      </c>
      <c r="C471" s="641"/>
      <c r="D471" s="641" t="s">
        <v>319</v>
      </c>
      <c r="E471" s="641" t="s">
        <v>319</v>
      </c>
      <c r="F471" s="641" t="s">
        <v>319</v>
      </c>
      <c r="G471" s="641" t="s">
        <v>324</v>
      </c>
      <c r="H471" s="575" t="s">
        <v>325</v>
      </c>
      <c r="I471" s="601" t="s">
        <v>361</v>
      </c>
      <c r="J471" s="641" t="s">
        <v>338</v>
      </c>
      <c r="K471" s="641" t="s">
        <v>339</v>
      </c>
      <c r="L471" s="641" t="b">
        <v>0</v>
      </c>
      <c r="M471" s="641" t="s">
        <v>321</v>
      </c>
      <c r="N471" s="641" t="s">
        <v>340</v>
      </c>
      <c r="O471" s="641" t="s">
        <v>341</v>
      </c>
      <c r="P471" s="186"/>
      <c r="Q471" s="186"/>
      <c r="R471" s="186"/>
      <c r="S471" s="186"/>
      <c r="T471" s="186"/>
      <c r="U471" s="186"/>
    </row>
    <row r="472" spans="1:21" x14ac:dyDescent="0.25">
      <c r="A472" s="641" t="s">
        <v>336</v>
      </c>
      <c r="B472" s="642">
        <v>1</v>
      </c>
      <c r="C472" s="641"/>
      <c r="D472" s="641" t="s">
        <v>319</v>
      </c>
      <c r="E472" s="641" t="s">
        <v>319</v>
      </c>
      <c r="F472" s="641" t="s">
        <v>319</v>
      </c>
      <c r="G472" s="641" t="s">
        <v>324</v>
      </c>
      <c r="H472" s="575" t="s">
        <v>325</v>
      </c>
      <c r="I472" s="601" t="s">
        <v>362</v>
      </c>
      <c r="J472" s="641" t="s">
        <v>338</v>
      </c>
      <c r="K472" s="641" t="s">
        <v>339</v>
      </c>
      <c r="L472" s="641" t="b">
        <v>0</v>
      </c>
      <c r="M472" s="641" t="s">
        <v>321</v>
      </c>
      <c r="N472" s="641" t="s">
        <v>340</v>
      </c>
      <c r="O472" s="641" t="s">
        <v>341</v>
      </c>
      <c r="P472" s="186"/>
      <c r="Q472" s="186"/>
      <c r="R472" s="186"/>
      <c r="S472" s="186"/>
      <c r="T472" s="186"/>
      <c r="U472" s="186"/>
    </row>
    <row r="473" spans="1:21" x14ac:dyDescent="0.25">
      <c r="A473" s="641" t="s">
        <v>336</v>
      </c>
      <c r="B473" s="642">
        <v>1</v>
      </c>
      <c r="C473" s="641"/>
      <c r="D473" s="641" t="s">
        <v>319</v>
      </c>
      <c r="E473" s="641" t="s">
        <v>319</v>
      </c>
      <c r="F473" s="641" t="s">
        <v>319</v>
      </c>
      <c r="G473" s="641" t="s">
        <v>324</v>
      </c>
      <c r="H473" s="575" t="s">
        <v>325</v>
      </c>
      <c r="I473" s="601" t="s">
        <v>363</v>
      </c>
      <c r="J473" s="641" t="s">
        <v>338</v>
      </c>
      <c r="K473" s="641" t="s">
        <v>339</v>
      </c>
      <c r="L473" s="641" t="b">
        <v>0</v>
      </c>
      <c r="M473" s="641" t="s">
        <v>321</v>
      </c>
      <c r="N473" s="641" t="s">
        <v>340</v>
      </c>
      <c r="O473" s="641" t="s">
        <v>341</v>
      </c>
      <c r="P473" s="186"/>
      <c r="Q473" s="186"/>
      <c r="R473" s="186"/>
      <c r="S473" s="186"/>
      <c r="T473" s="186"/>
      <c r="U473" s="186"/>
    </row>
    <row r="474" spans="1:21" x14ac:dyDescent="0.25">
      <c r="A474" s="641" t="s">
        <v>336</v>
      </c>
      <c r="B474" s="642">
        <v>1</v>
      </c>
      <c r="C474" s="641"/>
      <c r="D474" s="641" t="s">
        <v>319</v>
      </c>
      <c r="E474" s="641" t="s">
        <v>319</v>
      </c>
      <c r="F474" s="641" t="s">
        <v>319</v>
      </c>
      <c r="G474" s="641" t="s">
        <v>324</v>
      </c>
      <c r="H474" s="575" t="s">
        <v>325</v>
      </c>
      <c r="I474" s="601" t="s">
        <v>364</v>
      </c>
      <c r="J474" s="641" t="s">
        <v>338</v>
      </c>
      <c r="K474" s="641" t="s">
        <v>339</v>
      </c>
      <c r="L474" s="641" t="b">
        <v>0</v>
      </c>
      <c r="M474" s="641" t="s">
        <v>321</v>
      </c>
      <c r="N474" s="641" t="s">
        <v>340</v>
      </c>
      <c r="O474" s="641" t="s">
        <v>341</v>
      </c>
      <c r="P474" s="186"/>
      <c r="Q474" s="186"/>
      <c r="R474" s="186"/>
      <c r="S474" s="186"/>
      <c r="T474" s="186"/>
      <c r="U474" s="186"/>
    </row>
    <row r="475" spans="1:21" x14ac:dyDescent="0.25">
      <c r="A475" s="641" t="s">
        <v>336</v>
      </c>
      <c r="B475" s="642">
        <v>1.1499999999999999</v>
      </c>
      <c r="C475" s="641"/>
      <c r="D475" s="641" t="s">
        <v>319</v>
      </c>
      <c r="E475" s="641" t="s">
        <v>319</v>
      </c>
      <c r="F475" s="641" t="s">
        <v>319</v>
      </c>
      <c r="G475" s="641" t="s">
        <v>324</v>
      </c>
      <c r="H475" s="575" t="s">
        <v>325</v>
      </c>
      <c r="I475" s="601" t="s">
        <v>365</v>
      </c>
      <c r="J475" s="641" t="s">
        <v>338</v>
      </c>
      <c r="K475" s="641" t="s">
        <v>339</v>
      </c>
      <c r="L475" s="641" t="b">
        <v>0</v>
      </c>
      <c r="M475" s="641" t="s">
        <v>321</v>
      </c>
      <c r="N475" s="641" t="s">
        <v>340</v>
      </c>
      <c r="O475" s="641" t="s">
        <v>341</v>
      </c>
      <c r="P475" s="186"/>
      <c r="Q475" s="186"/>
      <c r="R475" s="186"/>
      <c r="S475" s="186"/>
      <c r="T475" s="186"/>
      <c r="U475" s="186"/>
    </row>
    <row r="476" spans="1:21" x14ac:dyDescent="0.25">
      <c r="A476" s="641" t="s">
        <v>336</v>
      </c>
      <c r="B476" s="642">
        <v>1.1499999999999999</v>
      </c>
      <c r="C476" s="641"/>
      <c r="D476" s="641" t="s">
        <v>319</v>
      </c>
      <c r="E476" s="641" t="s">
        <v>319</v>
      </c>
      <c r="F476" s="641" t="s">
        <v>319</v>
      </c>
      <c r="G476" s="641" t="s">
        <v>324</v>
      </c>
      <c r="H476" s="575" t="s">
        <v>325</v>
      </c>
      <c r="I476" s="601" t="s">
        <v>366</v>
      </c>
      <c r="J476" s="641" t="s">
        <v>338</v>
      </c>
      <c r="K476" s="641" t="s">
        <v>339</v>
      </c>
      <c r="L476" s="641" t="b">
        <v>0</v>
      </c>
      <c r="M476" s="641" t="s">
        <v>321</v>
      </c>
      <c r="N476" s="641" t="s">
        <v>340</v>
      </c>
      <c r="O476" s="641" t="s">
        <v>341</v>
      </c>
      <c r="P476" s="186"/>
      <c r="Q476" s="186"/>
      <c r="R476" s="186"/>
      <c r="S476" s="186"/>
      <c r="T476" s="186"/>
      <c r="U476" s="186"/>
    </row>
    <row r="477" spans="1:21" x14ac:dyDescent="0.25">
      <c r="A477" s="641" t="s">
        <v>336</v>
      </c>
      <c r="B477" s="642">
        <v>1.1499999999999999</v>
      </c>
      <c r="C477" s="641"/>
      <c r="D477" s="641" t="s">
        <v>319</v>
      </c>
      <c r="E477" s="641" t="s">
        <v>319</v>
      </c>
      <c r="F477" s="641" t="s">
        <v>319</v>
      </c>
      <c r="G477" s="641" t="s">
        <v>324</v>
      </c>
      <c r="H477" s="575" t="s">
        <v>325</v>
      </c>
      <c r="I477" s="601" t="s">
        <v>367</v>
      </c>
      <c r="J477" s="641" t="s">
        <v>338</v>
      </c>
      <c r="K477" s="641" t="s">
        <v>339</v>
      </c>
      <c r="L477" s="641" t="b">
        <v>0</v>
      </c>
      <c r="M477" s="641" t="s">
        <v>321</v>
      </c>
      <c r="N477" s="641" t="s">
        <v>340</v>
      </c>
      <c r="O477" s="641" t="s">
        <v>341</v>
      </c>
      <c r="P477" s="186"/>
      <c r="Q477" s="186"/>
      <c r="R477" s="186"/>
      <c r="S477" s="186"/>
      <c r="T477" s="186"/>
      <c r="U477" s="186"/>
    </row>
    <row r="478" spans="1:21" x14ac:dyDescent="0.25">
      <c r="A478" s="641" t="s">
        <v>336</v>
      </c>
      <c r="B478" s="642">
        <v>1.2</v>
      </c>
      <c r="C478" s="641"/>
      <c r="D478" s="641" t="s">
        <v>319</v>
      </c>
      <c r="E478" s="641" t="s">
        <v>319</v>
      </c>
      <c r="F478" s="641" t="s">
        <v>319</v>
      </c>
      <c r="G478" s="641" t="s">
        <v>324</v>
      </c>
      <c r="H478" s="575" t="s">
        <v>325</v>
      </c>
      <c r="I478" s="601" t="s">
        <v>368</v>
      </c>
      <c r="J478" s="641" t="s">
        <v>338</v>
      </c>
      <c r="K478" s="641" t="s">
        <v>339</v>
      </c>
      <c r="L478" s="641" t="b">
        <v>0</v>
      </c>
      <c r="M478" s="641" t="s">
        <v>321</v>
      </c>
      <c r="N478" s="641" t="s">
        <v>340</v>
      </c>
      <c r="O478" s="641" t="s">
        <v>341</v>
      </c>
      <c r="P478" s="186"/>
      <c r="Q478" s="186"/>
      <c r="R478" s="186"/>
      <c r="S478" s="186"/>
      <c r="T478" s="186"/>
      <c r="U478" s="186"/>
    </row>
    <row r="479" spans="1:21" x14ac:dyDescent="0.25">
      <c r="A479" s="641" t="s">
        <v>336</v>
      </c>
      <c r="B479" s="642">
        <v>1.2</v>
      </c>
      <c r="C479" s="641"/>
      <c r="D479" s="641" t="s">
        <v>319</v>
      </c>
      <c r="E479" s="641" t="s">
        <v>319</v>
      </c>
      <c r="F479" s="641" t="s">
        <v>319</v>
      </c>
      <c r="G479" s="641" t="s">
        <v>324</v>
      </c>
      <c r="H479" s="575" t="s">
        <v>325</v>
      </c>
      <c r="I479" s="601" t="s">
        <v>369</v>
      </c>
      <c r="J479" s="641" t="s">
        <v>338</v>
      </c>
      <c r="K479" s="641" t="s">
        <v>339</v>
      </c>
      <c r="L479" s="641" t="b">
        <v>0</v>
      </c>
      <c r="M479" s="641" t="s">
        <v>321</v>
      </c>
      <c r="N479" s="641" t="s">
        <v>340</v>
      </c>
      <c r="O479" s="641" t="s">
        <v>341</v>
      </c>
      <c r="P479" s="186"/>
      <c r="Q479" s="186"/>
      <c r="R479" s="186"/>
      <c r="S479" s="186"/>
      <c r="T479" s="186"/>
      <c r="U479" s="186"/>
    </row>
    <row r="480" spans="1:21" x14ac:dyDescent="0.25">
      <c r="A480" s="641" t="s">
        <v>336</v>
      </c>
      <c r="B480" s="642">
        <v>1.5</v>
      </c>
      <c r="C480" s="641"/>
      <c r="D480" s="641" t="s">
        <v>319</v>
      </c>
      <c r="E480" s="641" t="s">
        <v>319</v>
      </c>
      <c r="F480" s="641" t="s">
        <v>319</v>
      </c>
      <c r="G480" s="641" t="s">
        <v>324</v>
      </c>
      <c r="H480" s="575" t="s">
        <v>325</v>
      </c>
      <c r="I480" s="601" t="s">
        <v>370</v>
      </c>
      <c r="J480" s="641" t="s">
        <v>338</v>
      </c>
      <c r="K480" s="641" t="s">
        <v>339</v>
      </c>
      <c r="L480" s="641" t="b">
        <v>0</v>
      </c>
      <c r="M480" s="641" t="s">
        <v>321</v>
      </c>
      <c r="N480" s="641" t="s">
        <v>340</v>
      </c>
      <c r="O480" s="641" t="s">
        <v>341</v>
      </c>
      <c r="P480" s="186"/>
      <c r="Q480" s="186"/>
      <c r="R480" s="186"/>
      <c r="S480" s="186"/>
      <c r="T480" s="186"/>
      <c r="U480" s="186"/>
    </row>
    <row r="481" spans="1:21" x14ac:dyDescent="0.25">
      <c r="A481" s="641" t="s">
        <v>336</v>
      </c>
      <c r="B481" s="642">
        <v>1.5</v>
      </c>
      <c r="C481" s="641"/>
      <c r="D481" s="641" t="s">
        <v>319</v>
      </c>
      <c r="E481" s="641" t="s">
        <v>319</v>
      </c>
      <c r="F481" s="641" t="s">
        <v>319</v>
      </c>
      <c r="G481" s="641" t="s">
        <v>324</v>
      </c>
      <c r="H481" s="575" t="s">
        <v>325</v>
      </c>
      <c r="I481" s="601" t="s">
        <v>371</v>
      </c>
      <c r="J481" s="641" t="s">
        <v>338</v>
      </c>
      <c r="K481" s="641" t="s">
        <v>339</v>
      </c>
      <c r="L481" s="641" t="b">
        <v>0</v>
      </c>
      <c r="M481" s="641" t="s">
        <v>321</v>
      </c>
      <c r="N481" s="641" t="s">
        <v>340</v>
      </c>
      <c r="O481" s="641" t="s">
        <v>341</v>
      </c>
      <c r="P481" s="186"/>
      <c r="Q481" s="186"/>
      <c r="R481" s="186"/>
      <c r="S481" s="186"/>
      <c r="T481" s="186"/>
      <c r="U481" s="186"/>
    </row>
    <row r="482" spans="1:21" x14ac:dyDescent="0.25">
      <c r="A482" s="641" t="s">
        <v>336</v>
      </c>
      <c r="B482" s="642">
        <v>1.5</v>
      </c>
      <c r="C482" s="641"/>
      <c r="D482" s="641" t="s">
        <v>319</v>
      </c>
      <c r="E482" s="641" t="s">
        <v>319</v>
      </c>
      <c r="F482" s="641" t="s">
        <v>319</v>
      </c>
      <c r="G482" s="641" t="s">
        <v>324</v>
      </c>
      <c r="H482" s="575" t="s">
        <v>325</v>
      </c>
      <c r="I482" s="601" t="s">
        <v>372</v>
      </c>
      <c r="J482" s="641" t="s">
        <v>338</v>
      </c>
      <c r="K482" s="641" t="s">
        <v>339</v>
      </c>
      <c r="L482" s="641" t="b">
        <v>0</v>
      </c>
      <c r="M482" s="641" t="s">
        <v>321</v>
      </c>
      <c r="N482" s="641" t="s">
        <v>340</v>
      </c>
      <c r="O482" s="641" t="s">
        <v>341</v>
      </c>
      <c r="P482" s="186"/>
      <c r="Q482" s="186"/>
      <c r="R482" s="186"/>
      <c r="S482" s="186"/>
      <c r="T482" s="186"/>
      <c r="U482" s="186"/>
    </row>
    <row r="483" spans="1:21" x14ac:dyDescent="0.25">
      <c r="A483" s="641" t="s">
        <v>336</v>
      </c>
      <c r="B483" s="642">
        <v>1.55</v>
      </c>
      <c r="C483" s="641"/>
      <c r="D483" s="641" t="s">
        <v>319</v>
      </c>
      <c r="E483" s="641" t="s">
        <v>319</v>
      </c>
      <c r="F483" s="641" t="s">
        <v>319</v>
      </c>
      <c r="G483" s="641" t="s">
        <v>324</v>
      </c>
      <c r="H483" s="575" t="s">
        <v>325</v>
      </c>
      <c r="I483" s="601" t="s">
        <v>373</v>
      </c>
      <c r="J483" s="641" t="s">
        <v>338</v>
      </c>
      <c r="K483" s="641" t="s">
        <v>339</v>
      </c>
      <c r="L483" s="641" t="b">
        <v>0</v>
      </c>
      <c r="M483" s="641" t="s">
        <v>321</v>
      </c>
      <c r="N483" s="641" t="s">
        <v>340</v>
      </c>
      <c r="O483" s="641" t="s">
        <v>341</v>
      </c>
      <c r="P483" s="186"/>
      <c r="Q483" s="186"/>
      <c r="R483" s="186"/>
      <c r="S483" s="186"/>
      <c r="T483" s="186"/>
      <c r="U483" s="186"/>
    </row>
    <row r="484" spans="1:21" x14ac:dyDescent="0.25">
      <c r="A484" s="641" t="s">
        <v>336</v>
      </c>
      <c r="B484" s="642">
        <v>1.55</v>
      </c>
      <c r="C484" s="641"/>
      <c r="D484" s="641" t="s">
        <v>319</v>
      </c>
      <c r="E484" s="641" t="s">
        <v>319</v>
      </c>
      <c r="F484" s="641" t="s">
        <v>319</v>
      </c>
      <c r="G484" s="641" t="s">
        <v>324</v>
      </c>
      <c r="H484" s="575" t="s">
        <v>325</v>
      </c>
      <c r="I484" s="601" t="s">
        <v>374</v>
      </c>
      <c r="J484" s="641" t="s">
        <v>338</v>
      </c>
      <c r="K484" s="641" t="s">
        <v>339</v>
      </c>
      <c r="L484" s="641" t="b">
        <v>0</v>
      </c>
      <c r="M484" s="641" t="s">
        <v>321</v>
      </c>
      <c r="N484" s="641" t="s">
        <v>340</v>
      </c>
      <c r="O484" s="641" t="s">
        <v>341</v>
      </c>
      <c r="P484" s="186"/>
      <c r="Q484" s="186"/>
      <c r="R484" s="186"/>
      <c r="S484" s="186"/>
      <c r="T484" s="186"/>
      <c r="U484" s="186"/>
    </row>
    <row r="485" spans="1:21" x14ac:dyDescent="0.25">
      <c r="A485" s="641" t="s">
        <v>336</v>
      </c>
      <c r="B485" s="642">
        <v>1.55</v>
      </c>
      <c r="C485" s="641"/>
      <c r="D485" s="641" t="s">
        <v>319</v>
      </c>
      <c r="E485" s="641" t="s">
        <v>319</v>
      </c>
      <c r="F485" s="641" t="s">
        <v>319</v>
      </c>
      <c r="G485" s="641" t="s">
        <v>324</v>
      </c>
      <c r="H485" s="575" t="s">
        <v>325</v>
      </c>
      <c r="I485" s="601" t="s">
        <v>375</v>
      </c>
      <c r="J485" s="641" t="s">
        <v>338</v>
      </c>
      <c r="K485" s="641" t="s">
        <v>339</v>
      </c>
      <c r="L485" s="641" t="b">
        <v>0</v>
      </c>
      <c r="M485" s="641" t="s">
        <v>321</v>
      </c>
      <c r="N485" s="641" t="s">
        <v>340</v>
      </c>
      <c r="O485" s="641" t="s">
        <v>341</v>
      </c>
      <c r="P485" s="186"/>
      <c r="Q485" s="186"/>
      <c r="R485" s="186"/>
      <c r="S485" s="186"/>
      <c r="T485" s="186"/>
      <c r="U485" s="186"/>
    </row>
    <row r="486" spans="1:21" x14ac:dyDescent="0.25">
      <c r="A486" s="641" t="s">
        <v>336</v>
      </c>
      <c r="B486" s="642">
        <v>1.845</v>
      </c>
      <c r="C486" s="641"/>
      <c r="D486" s="641" t="s">
        <v>319</v>
      </c>
      <c r="E486" s="641" t="s">
        <v>319</v>
      </c>
      <c r="F486" s="641" t="s">
        <v>319</v>
      </c>
      <c r="G486" s="641" t="s">
        <v>324</v>
      </c>
      <c r="H486" s="575" t="s">
        <v>325</v>
      </c>
      <c r="I486" s="601" t="s">
        <v>376</v>
      </c>
      <c r="J486" s="641" t="s">
        <v>338</v>
      </c>
      <c r="K486" s="641" t="s">
        <v>339</v>
      </c>
      <c r="L486" s="641" t="b">
        <v>0</v>
      </c>
      <c r="M486" s="641" t="s">
        <v>321</v>
      </c>
      <c r="N486" s="641" t="s">
        <v>340</v>
      </c>
      <c r="O486" s="641" t="s">
        <v>341</v>
      </c>
      <c r="P486" s="186"/>
      <c r="Q486" s="186"/>
      <c r="R486" s="186"/>
      <c r="S486" s="186"/>
      <c r="T486" s="186"/>
      <c r="U486" s="186"/>
    </row>
    <row r="487" spans="1:21" x14ac:dyDescent="0.25">
      <c r="A487" s="641" t="s">
        <v>336</v>
      </c>
      <c r="B487" s="642">
        <v>1.845</v>
      </c>
      <c r="C487" s="641"/>
      <c r="D487" s="641" t="s">
        <v>319</v>
      </c>
      <c r="E487" s="641" t="s">
        <v>319</v>
      </c>
      <c r="F487" s="641" t="s">
        <v>319</v>
      </c>
      <c r="G487" s="641" t="s">
        <v>324</v>
      </c>
      <c r="H487" s="575" t="s">
        <v>325</v>
      </c>
      <c r="I487" s="601" t="s">
        <v>377</v>
      </c>
      <c r="J487" s="641" t="s">
        <v>338</v>
      </c>
      <c r="K487" s="641" t="s">
        <v>339</v>
      </c>
      <c r="L487" s="641" t="b">
        <v>0</v>
      </c>
      <c r="M487" s="641" t="s">
        <v>321</v>
      </c>
      <c r="N487" s="641" t="s">
        <v>340</v>
      </c>
      <c r="O487" s="641" t="s">
        <v>341</v>
      </c>
      <c r="P487" s="186"/>
      <c r="Q487" s="186"/>
      <c r="R487" s="186"/>
      <c r="S487" s="186"/>
      <c r="T487" s="186"/>
      <c r="U487" s="186"/>
    </row>
    <row r="488" spans="1:21" x14ac:dyDescent="0.25">
      <c r="A488" s="641" t="s">
        <v>336</v>
      </c>
      <c r="B488" s="642">
        <v>1.845</v>
      </c>
      <c r="C488" s="641"/>
      <c r="D488" s="641" t="s">
        <v>319</v>
      </c>
      <c r="E488" s="641" t="s">
        <v>319</v>
      </c>
      <c r="F488" s="641" t="s">
        <v>319</v>
      </c>
      <c r="G488" s="641" t="s">
        <v>324</v>
      </c>
      <c r="H488" s="575" t="s">
        <v>325</v>
      </c>
      <c r="I488" s="601" t="s">
        <v>378</v>
      </c>
      <c r="J488" s="641" t="s">
        <v>338</v>
      </c>
      <c r="K488" s="641" t="s">
        <v>339</v>
      </c>
      <c r="L488" s="641" t="b">
        <v>0</v>
      </c>
      <c r="M488" s="641" t="s">
        <v>321</v>
      </c>
      <c r="N488" s="641" t="s">
        <v>340</v>
      </c>
      <c r="O488" s="641" t="s">
        <v>341</v>
      </c>
      <c r="P488" s="186"/>
      <c r="Q488" s="186"/>
      <c r="R488" s="186"/>
      <c r="S488" s="186"/>
      <c r="T488" s="186"/>
      <c r="U488" s="186"/>
    </row>
    <row r="489" spans="1:21" x14ac:dyDescent="0.25">
      <c r="A489" s="641" t="s">
        <v>336</v>
      </c>
      <c r="B489" s="642">
        <v>1.845</v>
      </c>
      <c r="C489" s="641"/>
      <c r="D489" s="641" t="s">
        <v>319</v>
      </c>
      <c r="E489" s="641" t="s">
        <v>319</v>
      </c>
      <c r="F489" s="641" t="s">
        <v>319</v>
      </c>
      <c r="G489" s="641" t="s">
        <v>324</v>
      </c>
      <c r="H489" s="575" t="s">
        <v>325</v>
      </c>
      <c r="I489" s="601" t="s">
        <v>379</v>
      </c>
      <c r="J489" s="641" t="s">
        <v>338</v>
      </c>
      <c r="K489" s="641" t="s">
        <v>339</v>
      </c>
      <c r="L489" s="641" t="b">
        <v>0</v>
      </c>
      <c r="M489" s="641" t="s">
        <v>321</v>
      </c>
      <c r="N489" s="641" t="s">
        <v>340</v>
      </c>
      <c r="O489" s="641" t="s">
        <v>341</v>
      </c>
      <c r="P489" s="186"/>
      <c r="Q489" s="186"/>
      <c r="R489" s="186"/>
      <c r="S489" s="186"/>
      <c r="T489" s="186"/>
      <c r="U489" s="186"/>
    </row>
    <row r="490" spans="1:21" x14ac:dyDescent="0.25">
      <c r="A490" s="641" t="s">
        <v>336</v>
      </c>
      <c r="B490" s="642">
        <v>1.845</v>
      </c>
      <c r="C490" s="641"/>
      <c r="D490" s="641" t="s">
        <v>319</v>
      </c>
      <c r="E490" s="641" t="s">
        <v>319</v>
      </c>
      <c r="F490" s="641" t="s">
        <v>319</v>
      </c>
      <c r="G490" s="641" t="s">
        <v>324</v>
      </c>
      <c r="H490" s="575" t="s">
        <v>325</v>
      </c>
      <c r="I490" s="601" t="s">
        <v>380</v>
      </c>
      <c r="J490" s="641" t="s">
        <v>338</v>
      </c>
      <c r="K490" s="641" t="s">
        <v>339</v>
      </c>
      <c r="L490" s="641" t="b">
        <v>0</v>
      </c>
      <c r="M490" s="641" t="s">
        <v>321</v>
      </c>
      <c r="N490" s="641" t="s">
        <v>340</v>
      </c>
      <c r="O490" s="641" t="s">
        <v>341</v>
      </c>
      <c r="P490" s="186"/>
      <c r="Q490" s="186"/>
      <c r="R490" s="186"/>
      <c r="S490" s="186"/>
      <c r="T490" s="186"/>
      <c r="U490" s="186"/>
    </row>
    <row r="491" spans="1:21" x14ac:dyDescent="0.25">
      <c r="A491" s="641" t="s">
        <v>336</v>
      </c>
      <c r="B491" s="642">
        <v>1.845</v>
      </c>
      <c r="C491" s="641"/>
      <c r="D491" s="641" t="s">
        <v>319</v>
      </c>
      <c r="E491" s="641" t="s">
        <v>319</v>
      </c>
      <c r="F491" s="641" t="s">
        <v>319</v>
      </c>
      <c r="G491" s="641" t="s">
        <v>324</v>
      </c>
      <c r="H491" s="575" t="s">
        <v>325</v>
      </c>
      <c r="I491" s="601" t="s">
        <v>381</v>
      </c>
      <c r="J491" s="641" t="s">
        <v>338</v>
      </c>
      <c r="K491" s="641" t="s">
        <v>339</v>
      </c>
      <c r="L491" s="641" t="b">
        <v>0</v>
      </c>
      <c r="M491" s="641" t="s">
        <v>321</v>
      </c>
      <c r="N491" s="641" t="s">
        <v>340</v>
      </c>
      <c r="O491" s="641" t="s">
        <v>341</v>
      </c>
      <c r="P491" s="186"/>
      <c r="Q491" s="186"/>
      <c r="R491" s="186"/>
      <c r="S491" s="186"/>
      <c r="T491" s="186"/>
      <c r="U491" s="186"/>
    </row>
    <row r="492" spans="1:21" x14ac:dyDescent="0.25">
      <c r="A492" s="641" t="s">
        <v>336</v>
      </c>
      <c r="B492" s="642">
        <v>1.845</v>
      </c>
      <c r="C492" s="641"/>
      <c r="D492" s="641" t="s">
        <v>319</v>
      </c>
      <c r="E492" s="641" t="s">
        <v>319</v>
      </c>
      <c r="F492" s="641" t="s">
        <v>319</v>
      </c>
      <c r="G492" s="641" t="s">
        <v>324</v>
      </c>
      <c r="H492" s="575" t="s">
        <v>325</v>
      </c>
      <c r="I492" s="601" t="s">
        <v>382</v>
      </c>
      <c r="J492" s="641" t="s">
        <v>338</v>
      </c>
      <c r="K492" s="641" t="s">
        <v>339</v>
      </c>
      <c r="L492" s="641" t="b">
        <v>0</v>
      </c>
      <c r="M492" s="641" t="s">
        <v>321</v>
      </c>
      <c r="N492" s="641" t="s">
        <v>340</v>
      </c>
      <c r="O492" s="641" t="s">
        <v>341</v>
      </c>
      <c r="P492" s="186"/>
      <c r="Q492" s="186"/>
      <c r="R492" s="186"/>
      <c r="S492" s="186"/>
      <c r="T492" s="186"/>
      <c r="U492" s="186"/>
    </row>
    <row r="493" spans="1:21" x14ac:dyDescent="0.25">
      <c r="A493" s="641" t="s">
        <v>336</v>
      </c>
      <c r="B493" s="642">
        <v>2.25</v>
      </c>
      <c r="C493" s="641"/>
      <c r="D493" s="641" t="s">
        <v>319</v>
      </c>
      <c r="E493" s="641" t="s">
        <v>319</v>
      </c>
      <c r="F493" s="641" t="s">
        <v>319</v>
      </c>
      <c r="G493" s="641" t="s">
        <v>324</v>
      </c>
      <c r="H493" s="575" t="s">
        <v>325</v>
      </c>
      <c r="I493" s="601" t="s">
        <v>383</v>
      </c>
      <c r="J493" s="641" t="s">
        <v>338</v>
      </c>
      <c r="K493" s="641" t="s">
        <v>339</v>
      </c>
      <c r="L493" s="641" t="b">
        <v>0</v>
      </c>
      <c r="M493" s="641" t="s">
        <v>321</v>
      </c>
      <c r="N493" s="641" t="s">
        <v>340</v>
      </c>
      <c r="O493" s="641" t="s">
        <v>341</v>
      </c>
      <c r="P493" s="186"/>
      <c r="Q493" s="186"/>
      <c r="R493" s="186"/>
      <c r="S493" s="186"/>
      <c r="T493" s="186"/>
      <c r="U493" s="186"/>
    </row>
    <row r="494" spans="1:21" x14ac:dyDescent="0.25">
      <c r="A494" s="641" t="s">
        <v>336</v>
      </c>
      <c r="B494" s="642">
        <v>2.25</v>
      </c>
      <c r="C494" s="641"/>
      <c r="D494" s="641" t="s">
        <v>319</v>
      </c>
      <c r="E494" s="641" t="s">
        <v>319</v>
      </c>
      <c r="F494" s="641" t="s">
        <v>319</v>
      </c>
      <c r="G494" s="641" t="s">
        <v>324</v>
      </c>
      <c r="H494" s="575" t="s">
        <v>325</v>
      </c>
      <c r="I494" s="601" t="s">
        <v>384</v>
      </c>
      <c r="J494" s="641" t="s">
        <v>338</v>
      </c>
      <c r="K494" s="641" t="s">
        <v>339</v>
      </c>
      <c r="L494" s="641" t="b">
        <v>0</v>
      </c>
      <c r="M494" s="641" t="s">
        <v>321</v>
      </c>
      <c r="N494" s="641" t="s">
        <v>340</v>
      </c>
      <c r="O494" s="641" t="s">
        <v>341</v>
      </c>
      <c r="P494" s="186"/>
      <c r="Q494" s="186"/>
      <c r="R494" s="186"/>
      <c r="S494" s="186"/>
      <c r="T494" s="186"/>
      <c r="U494" s="186"/>
    </row>
    <row r="495" spans="1:21" x14ac:dyDescent="0.25">
      <c r="A495" s="641" t="s">
        <v>336</v>
      </c>
      <c r="B495" s="642">
        <v>2.25</v>
      </c>
      <c r="C495" s="641"/>
      <c r="D495" s="641" t="s">
        <v>319</v>
      </c>
      <c r="E495" s="641" t="s">
        <v>319</v>
      </c>
      <c r="F495" s="641" t="s">
        <v>319</v>
      </c>
      <c r="G495" s="641" t="s">
        <v>324</v>
      </c>
      <c r="H495" s="575" t="s">
        <v>325</v>
      </c>
      <c r="I495" s="601" t="s">
        <v>385</v>
      </c>
      <c r="J495" s="641" t="s">
        <v>338</v>
      </c>
      <c r="K495" s="641" t="s">
        <v>339</v>
      </c>
      <c r="L495" s="641" t="b">
        <v>0</v>
      </c>
      <c r="M495" s="641" t="s">
        <v>321</v>
      </c>
      <c r="N495" s="641" t="s">
        <v>340</v>
      </c>
      <c r="O495" s="641" t="s">
        <v>341</v>
      </c>
      <c r="P495" s="186"/>
      <c r="Q495" s="186"/>
      <c r="R495" s="186"/>
      <c r="S495" s="186"/>
      <c r="T495" s="186"/>
      <c r="U495" s="186"/>
    </row>
    <row r="496" spans="1:21" x14ac:dyDescent="0.25">
      <c r="A496" s="641" t="s">
        <v>336</v>
      </c>
      <c r="B496" s="642">
        <v>2.25</v>
      </c>
      <c r="C496" s="641"/>
      <c r="D496" s="641" t="s">
        <v>319</v>
      </c>
      <c r="E496" s="641" t="s">
        <v>319</v>
      </c>
      <c r="F496" s="641" t="s">
        <v>319</v>
      </c>
      <c r="G496" s="641" t="s">
        <v>324</v>
      </c>
      <c r="H496" s="575" t="s">
        <v>325</v>
      </c>
      <c r="I496" s="601" t="s">
        <v>386</v>
      </c>
      <c r="J496" s="641" t="s">
        <v>338</v>
      </c>
      <c r="K496" s="641" t="s">
        <v>339</v>
      </c>
      <c r="L496" s="641" t="b">
        <v>0</v>
      </c>
      <c r="M496" s="641" t="s">
        <v>321</v>
      </c>
      <c r="N496" s="641" t="s">
        <v>340</v>
      </c>
      <c r="O496" s="641" t="s">
        <v>341</v>
      </c>
      <c r="P496" s="186"/>
      <c r="Q496" s="186"/>
      <c r="R496" s="186"/>
      <c r="S496" s="186"/>
      <c r="T496" s="186"/>
      <c r="U496" s="186"/>
    </row>
    <row r="497" spans="1:21" x14ac:dyDescent="0.25">
      <c r="A497" s="641" t="s">
        <v>336</v>
      </c>
      <c r="B497" s="642">
        <v>2.2050000000000001</v>
      </c>
      <c r="C497" s="641"/>
      <c r="D497" s="641" t="s">
        <v>319</v>
      </c>
      <c r="E497" s="641" t="s">
        <v>319</v>
      </c>
      <c r="F497" s="641" t="s">
        <v>319</v>
      </c>
      <c r="G497" s="641" t="s">
        <v>324</v>
      </c>
      <c r="H497" s="575" t="s">
        <v>325</v>
      </c>
      <c r="I497" s="601" t="s">
        <v>387</v>
      </c>
      <c r="J497" s="641" t="s">
        <v>338</v>
      </c>
      <c r="K497" s="641" t="s">
        <v>339</v>
      </c>
      <c r="L497" s="641" t="b">
        <v>0</v>
      </c>
      <c r="M497" s="641" t="s">
        <v>321</v>
      </c>
      <c r="N497" s="641" t="s">
        <v>340</v>
      </c>
      <c r="O497" s="641" t="s">
        <v>341</v>
      </c>
      <c r="P497" s="186"/>
      <c r="Q497" s="186"/>
      <c r="R497" s="186"/>
      <c r="S497" s="186"/>
      <c r="T497" s="186"/>
      <c r="U497" s="186"/>
    </row>
    <row r="498" spans="1:21" x14ac:dyDescent="0.25">
      <c r="A498" s="641" t="s">
        <v>336</v>
      </c>
      <c r="B498" s="642">
        <v>2.2050000000000001</v>
      </c>
      <c r="C498" s="641"/>
      <c r="D498" s="641" t="s">
        <v>319</v>
      </c>
      <c r="E498" s="641" t="s">
        <v>319</v>
      </c>
      <c r="F498" s="641" t="s">
        <v>319</v>
      </c>
      <c r="G498" s="641" t="s">
        <v>324</v>
      </c>
      <c r="H498" s="575" t="s">
        <v>325</v>
      </c>
      <c r="I498" s="601" t="s">
        <v>388</v>
      </c>
      <c r="J498" s="641" t="s">
        <v>338</v>
      </c>
      <c r="K498" s="641" t="s">
        <v>339</v>
      </c>
      <c r="L498" s="641" t="b">
        <v>0</v>
      </c>
      <c r="M498" s="641" t="s">
        <v>321</v>
      </c>
      <c r="N498" s="641" t="s">
        <v>340</v>
      </c>
      <c r="O498" s="641" t="s">
        <v>341</v>
      </c>
      <c r="P498" s="186"/>
      <c r="Q498" s="186"/>
      <c r="R498" s="186"/>
      <c r="S498" s="186"/>
      <c r="T498" s="186"/>
      <c r="U498" s="186"/>
    </row>
    <row r="499" spans="1:21" x14ac:dyDescent="0.25">
      <c r="A499" s="641" t="s">
        <v>336</v>
      </c>
      <c r="B499" s="642">
        <v>2.2050000000000001</v>
      </c>
      <c r="C499" s="641"/>
      <c r="D499" s="641" t="s">
        <v>319</v>
      </c>
      <c r="E499" s="641" t="s">
        <v>319</v>
      </c>
      <c r="F499" s="641" t="s">
        <v>319</v>
      </c>
      <c r="G499" s="641" t="s">
        <v>324</v>
      </c>
      <c r="H499" s="575" t="s">
        <v>325</v>
      </c>
      <c r="I499" s="601" t="s">
        <v>389</v>
      </c>
      <c r="J499" s="641" t="s">
        <v>338</v>
      </c>
      <c r="K499" s="641" t="s">
        <v>339</v>
      </c>
      <c r="L499" s="641" t="b">
        <v>0</v>
      </c>
      <c r="M499" s="641" t="s">
        <v>321</v>
      </c>
      <c r="N499" s="641" t="s">
        <v>340</v>
      </c>
      <c r="O499" s="641" t="s">
        <v>341</v>
      </c>
      <c r="P499" s="186"/>
      <c r="Q499" s="186"/>
      <c r="R499" s="186"/>
      <c r="S499" s="186"/>
      <c r="T499" s="186"/>
      <c r="U499" s="186"/>
    </row>
    <row r="500" spans="1:21" x14ac:dyDescent="0.25">
      <c r="A500" s="641" t="s">
        <v>336</v>
      </c>
      <c r="B500" s="642">
        <v>2.2050000000000001</v>
      </c>
      <c r="C500" s="641"/>
      <c r="D500" s="641" t="s">
        <v>319</v>
      </c>
      <c r="E500" s="641" t="s">
        <v>319</v>
      </c>
      <c r="F500" s="641" t="s">
        <v>319</v>
      </c>
      <c r="G500" s="641" t="s">
        <v>324</v>
      </c>
      <c r="H500" s="575" t="s">
        <v>325</v>
      </c>
      <c r="I500" s="601" t="s">
        <v>390</v>
      </c>
      <c r="J500" s="641" t="s">
        <v>338</v>
      </c>
      <c r="K500" s="641" t="s">
        <v>339</v>
      </c>
      <c r="L500" s="641" t="b">
        <v>0</v>
      </c>
      <c r="M500" s="641" t="s">
        <v>321</v>
      </c>
      <c r="N500" s="641" t="s">
        <v>340</v>
      </c>
      <c r="O500" s="641" t="s">
        <v>341</v>
      </c>
      <c r="P500" s="186"/>
      <c r="Q500" s="186"/>
      <c r="R500" s="186"/>
      <c r="S500" s="186"/>
      <c r="T500" s="186"/>
      <c r="U500" s="186"/>
    </row>
    <row r="501" spans="1:21" x14ac:dyDescent="0.25">
      <c r="A501" s="641" t="s">
        <v>336</v>
      </c>
      <c r="B501" s="642">
        <v>2.2050000000000001</v>
      </c>
      <c r="C501" s="641"/>
      <c r="D501" s="641" t="s">
        <v>319</v>
      </c>
      <c r="E501" s="641" t="s">
        <v>319</v>
      </c>
      <c r="F501" s="641" t="s">
        <v>319</v>
      </c>
      <c r="G501" s="641" t="s">
        <v>324</v>
      </c>
      <c r="H501" s="575" t="s">
        <v>325</v>
      </c>
      <c r="I501" s="601" t="s">
        <v>391</v>
      </c>
      <c r="J501" s="641" t="s">
        <v>338</v>
      </c>
      <c r="K501" s="641" t="s">
        <v>339</v>
      </c>
      <c r="L501" s="641" t="b">
        <v>0</v>
      </c>
      <c r="M501" s="641" t="s">
        <v>321</v>
      </c>
      <c r="N501" s="641" t="s">
        <v>340</v>
      </c>
      <c r="O501" s="641" t="s">
        <v>341</v>
      </c>
      <c r="P501" s="186"/>
      <c r="Q501" s="186"/>
      <c r="R501" s="186"/>
      <c r="S501" s="186"/>
      <c r="T501" s="186"/>
      <c r="U501" s="186"/>
    </row>
    <row r="502" spans="1:21" x14ac:dyDescent="0.25">
      <c r="A502" s="641" t="s">
        <v>336</v>
      </c>
      <c r="B502" s="642">
        <v>2.16</v>
      </c>
      <c r="C502" s="641"/>
      <c r="D502" s="641" t="s">
        <v>319</v>
      </c>
      <c r="E502" s="641" t="s">
        <v>319</v>
      </c>
      <c r="F502" s="641" t="s">
        <v>319</v>
      </c>
      <c r="G502" s="641" t="s">
        <v>324</v>
      </c>
      <c r="H502" s="575" t="s">
        <v>325</v>
      </c>
      <c r="I502" s="601" t="s">
        <v>392</v>
      </c>
      <c r="J502" s="641" t="s">
        <v>338</v>
      </c>
      <c r="K502" s="641" t="s">
        <v>339</v>
      </c>
      <c r="L502" s="641" t="b">
        <v>0</v>
      </c>
      <c r="M502" s="641" t="s">
        <v>321</v>
      </c>
      <c r="N502" s="641" t="s">
        <v>340</v>
      </c>
      <c r="O502" s="641" t="s">
        <v>341</v>
      </c>
      <c r="P502" s="186"/>
      <c r="Q502" s="186"/>
      <c r="R502" s="186"/>
      <c r="S502" s="186"/>
      <c r="T502" s="186"/>
      <c r="U502" s="186"/>
    </row>
    <row r="503" spans="1:21" x14ac:dyDescent="0.25">
      <c r="A503" s="641" t="s">
        <v>336</v>
      </c>
      <c r="B503" s="642">
        <v>2.16</v>
      </c>
      <c r="C503" s="641"/>
      <c r="D503" s="641" t="s">
        <v>319</v>
      </c>
      <c r="E503" s="641" t="s">
        <v>319</v>
      </c>
      <c r="F503" s="641" t="s">
        <v>319</v>
      </c>
      <c r="G503" s="641" t="s">
        <v>324</v>
      </c>
      <c r="H503" s="575" t="s">
        <v>325</v>
      </c>
      <c r="I503" s="601" t="s">
        <v>393</v>
      </c>
      <c r="J503" s="641" t="s">
        <v>338</v>
      </c>
      <c r="K503" s="641" t="s">
        <v>339</v>
      </c>
      <c r="L503" s="641" t="b">
        <v>0</v>
      </c>
      <c r="M503" s="641" t="s">
        <v>321</v>
      </c>
      <c r="N503" s="641" t="s">
        <v>340</v>
      </c>
      <c r="O503" s="641" t="s">
        <v>341</v>
      </c>
      <c r="P503" s="186"/>
      <c r="Q503" s="186"/>
      <c r="R503" s="186"/>
      <c r="S503" s="186"/>
      <c r="T503" s="186"/>
      <c r="U503" s="186"/>
    </row>
    <row r="504" spans="1:21" x14ac:dyDescent="0.25">
      <c r="A504" s="641" t="s">
        <v>336</v>
      </c>
      <c r="B504" s="642">
        <v>2.16</v>
      </c>
      <c r="C504" s="641"/>
      <c r="D504" s="641" t="s">
        <v>319</v>
      </c>
      <c r="E504" s="641" t="s">
        <v>319</v>
      </c>
      <c r="F504" s="641" t="s">
        <v>319</v>
      </c>
      <c r="G504" s="641" t="s">
        <v>324</v>
      </c>
      <c r="H504" s="575" t="s">
        <v>325</v>
      </c>
      <c r="I504" s="601" t="s">
        <v>394</v>
      </c>
      <c r="J504" s="641" t="s">
        <v>338</v>
      </c>
      <c r="K504" s="641" t="s">
        <v>339</v>
      </c>
      <c r="L504" s="641" t="b">
        <v>0</v>
      </c>
      <c r="M504" s="641" t="s">
        <v>321</v>
      </c>
      <c r="N504" s="641" t="s">
        <v>340</v>
      </c>
      <c r="O504" s="641" t="s">
        <v>341</v>
      </c>
      <c r="P504" s="186"/>
      <c r="Q504" s="186"/>
      <c r="R504" s="186"/>
      <c r="S504" s="186"/>
      <c r="T504" s="186"/>
      <c r="U504" s="186"/>
    </row>
    <row r="505" spans="1:21" x14ac:dyDescent="0.25">
      <c r="A505" s="641" t="s">
        <v>336</v>
      </c>
      <c r="B505" s="642">
        <v>2.16</v>
      </c>
      <c r="C505" s="641"/>
      <c r="D505" s="641" t="s">
        <v>319</v>
      </c>
      <c r="E505" s="641" t="s">
        <v>319</v>
      </c>
      <c r="F505" s="641" t="s">
        <v>319</v>
      </c>
      <c r="G505" s="641" t="s">
        <v>324</v>
      </c>
      <c r="H505" s="575" t="s">
        <v>325</v>
      </c>
      <c r="I505" s="601" t="s">
        <v>395</v>
      </c>
      <c r="J505" s="641" t="s">
        <v>338</v>
      </c>
      <c r="K505" s="641" t="s">
        <v>339</v>
      </c>
      <c r="L505" s="641" t="b">
        <v>0</v>
      </c>
      <c r="M505" s="641" t="s">
        <v>321</v>
      </c>
      <c r="N505" s="641" t="s">
        <v>340</v>
      </c>
      <c r="O505" s="641" t="s">
        <v>341</v>
      </c>
      <c r="P505" s="186"/>
      <c r="Q505" s="186"/>
      <c r="R505" s="186"/>
      <c r="S505" s="186"/>
      <c r="T505" s="186"/>
      <c r="U505" s="186"/>
    </row>
    <row r="506" spans="1:21" x14ac:dyDescent="0.25">
      <c r="A506" s="641" t="s">
        <v>336</v>
      </c>
      <c r="B506" s="642">
        <v>2.16</v>
      </c>
      <c r="C506" s="641"/>
      <c r="D506" s="641" t="s">
        <v>319</v>
      </c>
      <c r="E506" s="641" t="s">
        <v>319</v>
      </c>
      <c r="F506" s="641" t="s">
        <v>319</v>
      </c>
      <c r="G506" s="641" t="s">
        <v>324</v>
      </c>
      <c r="H506" s="575" t="s">
        <v>325</v>
      </c>
      <c r="I506" s="601" t="s">
        <v>396</v>
      </c>
      <c r="J506" s="641" t="s">
        <v>338</v>
      </c>
      <c r="K506" s="641" t="s">
        <v>339</v>
      </c>
      <c r="L506" s="641" t="b">
        <v>0</v>
      </c>
      <c r="M506" s="641" t="s">
        <v>321</v>
      </c>
      <c r="N506" s="641" t="s">
        <v>340</v>
      </c>
      <c r="O506" s="641" t="s">
        <v>341</v>
      </c>
      <c r="P506" s="186"/>
      <c r="Q506" s="186"/>
      <c r="R506" s="186"/>
      <c r="S506" s="186"/>
      <c r="T506" s="186"/>
      <c r="U506" s="186"/>
    </row>
    <row r="507" spans="1:21" x14ac:dyDescent="0.25">
      <c r="A507" s="641" t="s">
        <v>336</v>
      </c>
      <c r="B507" s="642">
        <v>1.998</v>
      </c>
      <c r="C507" s="641"/>
      <c r="D507" s="641" t="s">
        <v>319</v>
      </c>
      <c r="E507" s="641" t="s">
        <v>319</v>
      </c>
      <c r="F507" s="641" t="s">
        <v>319</v>
      </c>
      <c r="G507" s="641" t="s">
        <v>324</v>
      </c>
      <c r="H507" s="575" t="s">
        <v>325</v>
      </c>
      <c r="I507" s="601" t="s">
        <v>397</v>
      </c>
      <c r="J507" s="641" t="s">
        <v>338</v>
      </c>
      <c r="K507" s="641" t="s">
        <v>339</v>
      </c>
      <c r="L507" s="641" t="b">
        <v>0</v>
      </c>
      <c r="M507" s="641" t="s">
        <v>321</v>
      </c>
      <c r="N507" s="641" t="s">
        <v>340</v>
      </c>
      <c r="O507" s="641" t="s">
        <v>341</v>
      </c>
      <c r="P507" s="186"/>
      <c r="Q507" s="186"/>
      <c r="R507" s="186"/>
      <c r="S507" s="186"/>
      <c r="T507" s="186"/>
      <c r="U507" s="186"/>
    </row>
    <row r="508" spans="1:21" x14ac:dyDescent="0.25">
      <c r="A508" s="641" t="s">
        <v>336</v>
      </c>
      <c r="B508" s="642">
        <v>1.998</v>
      </c>
      <c r="C508" s="641"/>
      <c r="D508" s="641" t="s">
        <v>319</v>
      </c>
      <c r="E508" s="641" t="s">
        <v>319</v>
      </c>
      <c r="F508" s="641" t="s">
        <v>319</v>
      </c>
      <c r="G508" s="641" t="s">
        <v>324</v>
      </c>
      <c r="H508" s="575" t="s">
        <v>325</v>
      </c>
      <c r="I508" s="601" t="s">
        <v>398</v>
      </c>
      <c r="J508" s="641" t="s">
        <v>338</v>
      </c>
      <c r="K508" s="641" t="s">
        <v>339</v>
      </c>
      <c r="L508" s="641" t="b">
        <v>0</v>
      </c>
      <c r="M508" s="641" t="s">
        <v>321</v>
      </c>
      <c r="N508" s="641" t="s">
        <v>340</v>
      </c>
      <c r="O508" s="641" t="s">
        <v>341</v>
      </c>
      <c r="P508" s="186"/>
      <c r="Q508" s="186"/>
      <c r="R508" s="186"/>
      <c r="S508" s="186"/>
      <c r="T508" s="186"/>
      <c r="U508" s="186"/>
    </row>
    <row r="509" spans="1:21" x14ac:dyDescent="0.25">
      <c r="A509" s="641" t="s">
        <v>336</v>
      </c>
      <c r="B509" s="642">
        <v>1.998</v>
      </c>
      <c r="C509" s="641"/>
      <c r="D509" s="641" t="s">
        <v>319</v>
      </c>
      <c r="E509" s="641" t="s">
        <v>319</v>
      </c>
      <c r="F509" s="641" t="s">
        <v>319</v>
      </c>
      <c r="G509" s="641" t="s">
        <v>324</v>
      </c>
      <c r="H509" s="575" t="s">
        <v>325</v>
      </c>
      <c r="I509" s="601" t="s">
        <v>399</v>
      </c>
      <c r="J509" s="641" t="s">
        <v>338</v>
      </c>
      <c r="K509" s="641" t="s">
        <v>339</v>
      </c>
      <c r="L509" s="641" t="b">
        <v>0</v>
      </c>
      <c r="M509" s="641" t="s">
        <v>321</v>
      </c>
      <c r="N509" s="641" t="s">
        <v>340</v>
      </c>
      <c r="O509" s="641" t="s">
        <v>341</v>
      </c>
      <c r="P509" s="186"/>
      <c r="Q509" s="186"/>
      <c r="R509" s="186"/>
      <c r="S509" s="186"/>
      <c r="T509" s="186"/>
      <c r="U509" s="186"/>
    </row>
    <row r="510" spans="1:21" x14ac:dyDescent="0.25">
      <c r="A510" s="641" t="s">
        <v>336</v>
      </c>
      <c r="B510" s="642">
        <v>1.998</v>
      </c>
      <c r="C510" s="641"/>
      <c r="D510" s="641" t="s">
        <v>319</v>
      </c>
      <c r="E510" s="641" t="s">
        <v>319</v>
      </c>
      <c r="F510" s="641" t="s">
        <v>319</v>
      </c>
      <c r="G510" s="641" t="s">
        <v>324</v>
      </c>
      <c r="H510" s="575" t="s">
        <v>325</v>
      </c>
      <c r="I510" s="601" t="s">
        <v>400</v>
      </c>
      <c r="J510" s="641" t="s">
        <v>338</v>
      </c>
      <c r="K510" s="641" t="s">
        <v>339</v>
      </c>
      <c r="L510" s="641" t="b">
        <v>0</v>
      </c>
      <c r="M510" s="641" t="s">
        <v>321</v>
      </c>
      <c r="N510" s="641" t="s">
        <v>340</v>
      </c>
      <c r="O510" s="641" t="s">
        <v>341</v>
      </c>
      <c r="P510" s="186"/>
      <c r="Q510" s="186"/>
      <c r="R510" s="186"/>
      <c r="S510" s="186"/>
      <c r="T510" s="186"/>
      <c r="U510" s="186"/>
    </row>
    <row r="511" spans="1:21" x14ac:dyDescent="0.25">
      <c r="A511" s="641" t="s">
        <v>336</v>
      </c>
      <c r="B511" s="642">
        <v>1.998</v>
      </c>
      <c r="C511" s="641"/>
      <c r="D511" s="641" t="s">
        <v>319</v>
      </c>
      <c r="E511" s="641" t="s">
        <v>319</v>
      </c>
      <c r="F511" s="641" t="s">
        <v>319</v>
      </c>
      <c r="G511" s="641" t="s">
        <v>324</v>
      </c>
      <c r="H511" s="575" t="s">
        <v>325</v>
      </c>
      <c r="I511" s="601" t="s">
        <v>401</v>
      </c>
      <c r="J511" s="641" t="s">
        <v>338</v>
      </c>
      <c r="K511" s="641" t="s">
        <v>339</v>
      </c>
      <c r="L511" s="641" t="b">
        <v>0</v>
      </c>
      <c r="M511" s="641" t="s">
        <v>321</v>
      </c>
      <c r="N511" s="641" t="s">
        <v>340</v>
      </c>
      <c r="O511" s="641" t="s">
        <v>341</v>
      </c>
      <c r="P511" s="186"/>
      <c r="Q511" s="186"/>
      <c r="R511" s="186"/>
      <c r="S511" s="186"/>
      <c r="T511" s="186"/>
      <c r="U511" s="186"/>
    </row>
    <row r="512" spans="1:21" x14ac:dyDescent="0.25">
      <c r="A512" s="641" t="s">
        <v>336</v>
      </c>
      <c r="B512" s="642">
        <v>1.8</v>
      </c>
      <c r="C512" s="641"/>
      <c r="D512" s="641" t="s">
        <v>319</v>
      </c>
      <c r="E512" s="641" t="s">
        <v>319</v>
      </c>
      <c r="F512" s="641" t="s">
        <v>319</v>
      </c>
      <c r="G512" s="641" t="s">
        <v>324</v>
      </c>
      <c r="H512" s="575" t="s">
        <v>325</v>
      </c>
      <c r="I512" s="601" t="s">
        <v>402</v>
      </c>
      <c r="J512" s="641" t="s">
        <v>338</v>
      </c>
      <c r="K512" s="641" t="s">
        <v>339</v>
      </c>
      <c r="L512" s="641" t="b">
        <v>0</v>
      </c>
      <c r="M512" s="641" t="s">
        <v>321</v>
      </c>
      <c r="N512" s="641" t="s">
        <v>340</v>
      </c>
      <c r="O512" s="641" t="s">
        <v>341</v>
      </c>
      <c r="P512" s="186"/>
      <c r="Q512" s="186"/>
      <c r="R512" s="186"/>
      <c r="S512" s="186"/>
      <c r="T512" s="186"/>
      <c r="U512" s="186"/>
    </row>
    <row r="513" spans="1:21" x14ac:dyDescent="0.25">
      <c r="A513" s="641" t="s">
        <v>336</v>
      </c>
      <c r="B513" s="642">
        <v>1.8</v>
      </c>
      <c r="C513" s="641"/>
      <c r="D513" s="641" t="s">
        <v>319</v>
      </c>
      <c r="E513" s="641" t="s">
        <v>319</v>
      </c>
      <c r="F513" s="641" t="s">
        <v>319</v>
      </c>
      <c r="G513" s="641" t="s">
        <v>324</v>
      </c>
      <c r="H513" s="575" t="s">
        <v>325</v>
      </c>
      <c r="I513" s="601" t="s">
        <v>403</v>
      </c>
      <c r="J513" s="641" t="s">
        <v>338</v>
      </c>
      <c r="K513" s="641" t="s">
        <v>339</v>
      </c>
      <c r="L513" s="641" t="b">
        <v>0</v>
      </c>
      <c r="M513" s="641" t="s">
        <v>321</v>
      </c>
      <c r="N513" s="641" t="s">
        <v>340</v>
      </c>
      <c r="O513" s="641" t="s">
        <v>341</v>
      </c>
      <c r="P513" s="186"/>
      <c r="Q513" s="186"/>
      <c r="R513" s="186"/>
      <c r="S513" s="186"/>
      <c r="T513" s="186"/>
      <c r="U513" s="186"/>
    </row>
    <row r="514" spans="1:21" x14ac:dyDescent="0.25">
      <c r="A514" s="641" t="s">
        <v>336</v>
      </c>
      <c r="B514" s="642">
        <v>1.8</v>
      </c>
      <c r="C514" s="641"/>
      <c r="D514" s="641" t="s">
        <v>319</v>
      </c>
      <c r="E514" s="641" t="s">
        <v>319</v>
      </c>
      <c r="F514" s="641" t="s">
        <v>319</v>
      </c>
      <c r="G514" s="641" t="s">
        <v>324</v>
      </c>
      <c r="H514" s="575" t="s">
        <v>325</v>
      </c>
      <c r="I514" s="601" t="s">
        <v>404</v>
      </c>
      <c r="J514" s="641" t="s">
        <v>338</v>
      </c>
      <c r="K514" s="641" t="s">
        <v>339</v>
      </c>
      <c r="L514" s="641" t="b">
        <v>0</v>
      </c>
      <c r="M514" s="641" t="s">
        <v>321</v>
      </c>
      <c r="N514" s="641" t="s">
        <v>340</v>
      </c>
      <c r="O514" s="641" t="s">
        <v>341</v>
      </c>
      <c r="P514" s="186"/>
      <c r="Q514" s="186"/>
      <c r="R514" s="186"/>
      <c r="S514" s="186"/>
      <c r="T514" s="186"/>
      <c r="U514" s="186"/>
    </row>
    <row r="515" spans="1:21" x14ac:dyDescent="0.25">
      <c r="A515" s="641" t="s">
        <v>336</v>
      </c>
      <c r="B515" s="642">
        <v>1.8</v>
      </c>
      <c r="C515" s="641"/>
      <c r="D515" s="641" t="s">
        <v>319</v>
      </c>
      <c r="E515" s="641" t="s">
        <v>319</v>
      </c>
      <c r="F515" s="641" t="s">
        <v>319</v>
      </c>
      <c r="G515" s="641" t="s">
        <v>324</v>
      </c>
      <c r="H515" s="575" t="s">
        <v>325</v>
      </c>
      <c r="I515" s="601" t="s">
        <v>405</v>
      </c>
      <c r="J515" s="641" t="s">
        <v>338</v>
      </c>
      <c r="K515" s="641" t="s">
        <v>339</v>
      </c>
      <c r="L515" s="641" t="b">
        <v>0</v>
      </c>
      <c r="M515" s="641" t="s">
        <v>321</v>
      </c>
      <c r="N515" s="641" t="s">
        <v>340</v>
      </c>
      <c r="O515" s="641" t="s">
        <v>341</v>
      </c>
      <c r="P515" s="186"/>
      <c r="Q515" s="186"/>
      <c r="R515" s="186"/>
      <c r="S515" s="186"/>
      <c r="T515" s="186"/>
      <c r="U515" s="186"/>
    </row>
    <row r="516" spans="1:21" x14ac:dyDescent="0.25">
      <c r="A516" s="641" t="s">
        <v>336</v>
      </c>
      <c r="B516" s="642">
        <v>1.8</v>
      </c>
      <c r="C516" s="641"/>
      <c r="D516" s="641" t="s">
        <v>319</v>
      </c>
      <c r="E516" s="641" t="s">
        <v>319</v>
      </c>
      <c r="F516" s="641" t="s">
        <v>319</v>
      </c>
      <c r="G516" s="641" t="s">
        <v>324</v>
      </c>
      <c r="H516" s="575" t="s">
        <v>325</v>
      </c>
      <c r="I516" s="601" t="s">
        <v>406</v>
      </c>
      <c r="J516" s="641" t="s">
        <v>338</v>
      </c>
      <c r="K516" s="641" t="s">
        <v>339</v>
      </c>
      <c r="L516" s="641" t="b">
        <v>0</v>
      </c>
      <c r="M516" s="641" t="s">
        <v>321</v>
      </c>
      <c r="N516" s="641" t="s">
        <v>340</v>
      </c>
      <c r="O516" s="641" t="s">
        <v>341</v>
      </c>
      <c r="P516" s="186"/>
      <c r="Q516" s="186"/>
      <c r="R516" s="186"/>
      <c r="S516" s="186"/>
      <c r="T516" s="186"/>
      <c r="U516" s="186"/>
    </row>
    <row r="517" spans="1:21" x14ac:dyDescent="0.25">
      <c r="A517" s="641" t="s">
        <v>336</v>
      </c>
      <c r="B517" s="642">
        <v>1.8</v>
      </c>
      <c r="C517" s="641"/>
      <c r="D517" s="641" t="s">
        <v>319</v>
      </c>
      <c r="E517" s="641" t="s">
        <v>319</v>
      </c>
      <c r="F517" s="641" t="s">
        <v>319</v>
      </c>
      <c r="G517" s="641" t="s">
        <v>324</v>
      </c>
      <c r="H517" s="575" t="s">
        <v>325</v>
      </c>
      <c r="I517" s="601" t="s">
        <v>407</v>
      </c>
      <c r="J517" s="641" t="s">
        <v>338</v>
      </c>
      <c r="K517" s="641" t="s">
        <v>339</v>
      </c>
      <c r="L517" s="641" t="b">
        <v>0</v>
      </c>
      <c r="M517" s="641" t="s">
        <v>321</v>
      </c>
      <c r="N517" s="641" t="s">
        <v>340</v>
      </c>
      <c r="O517" s="641" t="s">
        <v>341</v>
      </c>
      <c r="P517" s="186"/>
      <c r="Q517" s="186"/>
      <c r="R517" s="186"/>
      <c r="S517" s="186"/>
      <c r="T517" s="186"/>
      <c r="U517" s="186"/>
    </row>
    <row r="518" spans="1:21" x14ac:dyDescent="0.25">
      <c r="A518" s="641" t="s">
        <v>336</v>
      </c>
      <c r="B518" s="642">
        <v>1.8</v>
      </c>
      <c r="C518" s="641"/>
      <c r="D518" s="641" t="s">
        <v>319</v>
      </c>
      <c r="E518" s="641" t="s">
        <v>319</v>
      </c>
      <c r="F518" s="641" t="s">
        <v>319</v>
      </c>
      <c r="G518" s="641" t="s">
        <v>324</v>
      </c>
      <c r="H518" s="575" t="s">
        <v>325</v>
      </c>
      <c r="I518" s="601" t="s">
        <v>408</v>
      </c>
      <c r="J518" s="641" t="s">
        <v>338</v>
      </c>
      <c r="K518" s="641" t="s">
        <v>339</v>
      </c>
      <c r="L518" s="641" t="b">
        <v>0</v>
      </c>
      <c r="M518" s="641" t="s">
        <v>321</v>
      </c>
      <c r="N518" s="641" t="s">
        <v>340</v>
      </c>
      <c r="O518" s="641" t="s">
        <v>341</v>
      </c>
      <c r="P518" s="186"/>
      <c r="Q518" s="186"/>
      <c r="R518" s="186"/>
      <c r="S518" s="186"/>
      <c r="T518" s="186"/>
      <c r="U518" s="186"/>
    </row>
    <row r="519" spans="1:21" x14ac:dyDescent="0.25">
      <c r="A519" s="641" t="s">
        <v>336</v>
      </c>
      <c r="B519" s="642">
        <v>1.8</v>
      </c>
      <c r="C519" s="641"/>
      <c r="D519" s="641" t="s">
        <v>319</v>
      </c>
      <c r="E519" s="641" t="s">
        <v>319</v>
      </c>
      <c r="F519" s="641" t="s">
        <v>319</v>
      </c>
      <c r="G519" s="641" t="s">
        <v>324</v>
      </c>
      <c r="H519" s="575" t="s">
        <v>325</v>
      </c>
      <c r="I519" s="601" t="s">
        <v>409</v>
      </c>
      <c r="J519" s="641" t="s">
        <v>338</v>
      </c>
      <c r="K519" s="641" t="s">
        <v>339</v>
      </c>
      <c r="L519" s="641" t="b">
        <v>0</v>
      </c>
      <c r="M519" s="641" t="s">
        <v>321</v>
      </c>
      <c r="N519" s="641" t="s">
        <v>340</v>
      </c>
      <c r="O519" s="641" t="s">
        <v>341</v>
      </c>
      <c r="P519" s="186"/>
      <c r="Q519" s="186"/>
      <c r="R519" s="186"/>
      <c r="S519" s="186"/>
      <c r="T519" s="186"/>
      <c r="U519" s="186"/>
    </row>
    <row r="520" spans="1:21" x14ac:dyDescent="0.25">
      <c r="A520" s="641" t="s">
        <v>336</v>
      </c>
      <c r="B520" s="642">
        <v>1.8</v>
      </c>
      <c r="C520" s="641"/>
      <c r="D520" s="641" t="s">
        <v>319</v>
      </c>
      <c r="E520" s="641" t="s">
        <v>319</v>
      </c>
      <c r="F520" s="641" t="s">
        <v>319</v>
      </c>
      <c r="G520" s="641" t="s">
        <v>324</v>
      </c>
      <c r="H520" s="575" t="s">
        <v>325</v>
      </c>
      <c r="I520" s="601" t="s">
        <v>410</v>
      </c>
      <c r="J520" s="641" t="s">
        <v>338</v>
      </c>
      <c r="K520" s="641" t="s">
        <v>339</v>
      </c>
      <c r="L520" s="641" t="b">
        <v>0</v>
      </c>
      <c r="M520" s="641" t="s">
        <v>321</v>
      </c>
      <c r="N520" s="641" t="s">
        <v>340</v>
      </c>
      <c r="O520" s="641" t="s">
        <v>341</v>
      </c>
      <c r="P520" s="186"/>
      <c r="Q520" s="186"/>
      <c r="R520" s="186"/>
      <c r="S520" s="186"/>
      <c r="T520" s="186"/>
      <c r="U520" s="186"/>
    </row>
    <row r="521" spans="1:21" x14ac:dyDescent="0.25">
      <c r="A521" s="641" t="s">
        <v>336</v>
      </c>
      <c r="B521" s="642">
        <v>1.8</v>
      </c>
      <c r="C521" s="641"/>
      <c r="D521" s="641" t="s">
        <v>319</v>
      </c>
      <c r="E521" s="641" t="s">
        <v>319</v>
      </c>
      <c r="F521" s="641" t="s">
        <v>319</v>
      </c>
      <c r="G521" s="641" t="s">
        <v>324</v>
      </c>
      <c r="H521" s="575" t="s">
        <v>325</v>
      </c>
      <c r="I521" s="601" t="s">
        <v>411</v>
      </c>
      <c r="J521" s="641" t="s">
        <v>338</v>
      </c>
      <c r="K521" s="641" t="s">
        <v>339</v>
      </c>
      <c r="L521" s="641" t="b">
        <v>0</v>
      </c>
      <c r="M521" s="641" t="s">
        <v>321</v>
      </c>
      <c r="N521" s="641" t="s">
        <v>340</v>
      </c>
      <c r="O521" s="641" t="s">
        <v>341</v>
      </c>
      <c r="P521" s="186"/>
      <c r="Q521" s="186"/>
      <c r="R521" s="186"/>
      <c r="S521" s="186"/>
      <c r="T521" s="186"/>
      <c r="U521" s="186"/>
    </row>
    <row r="522" spans="1:21" x14ac:dyDescent="0.25">
      <c r="A522" s="641" t="s">
        <v>336</v>
      </c>
      <c r="B522" s="642">
        <v>1.8</v>
      </c>
      <c r="C522" s="641"/>
      <c r="D522" s="641" t="s">
        <v>319</v>
      </c>
      <c r="E522" s="641" t="s">
        <v>319</v>
      </c>
      <c r="F522" s="641" t="s">
        <v>319</v>
      </c>
      <c r="G522" s="641" t="s">
        <v>324</v>
      </c>
      <c r="H522" s="575" t="s">
        <v>325</v>
      </c>
      <c r="I522" s="601" t="s">
        <v>412</v>
      </c>
      <c r="J522" s="641" t="s">
        <v>338</v>
      </c>
      <c r="K522" s="641" t="s">
        <v>339</v>
      </c>
      <c r="L522" s="641" t="b">
        <v>0</v>
      </c>
      <c r="M522" s="641" t="s">
        <v>321</v>
      </c>
      <c r="N522" s="641" t="s">
        <v>340</v>
      </c>
      <c r="O522" s="641" t="s">
        <v>341</v>
      </c>
      <c r="P522" s="186"/>
      <c r="Q522" s="186"/>
      <c r="R522" s="186"/>
      <c r="S522" s="186"/>
      <c r="T522" s="186"/>
      <c r="U522" s="186"/>
    </row>
    <row r="523" spans="1:21" x14ac:dyDescent="0.25">
      <c r="A523" s="641" t="s">
        <v>336</v>
      </c>
      <c r="B523" s="642">
        <v>1.8</v>
      </c>
      <c r="C523" s="641"/>
      <c r="D523" s="641" t="s">
        <v>319</v>
      </c>
      <c r="E523" s="641" t="s">
        <v>319</v>
      </c>
      <c r="F523" s="641" t="s">
        <v>319</v>
      </c>
      <c r="G523" s="641" t="s">
        <v>324</v>
      </c>
      <c r="H523" s="575" t="s">
        <v>325</v>
      </c>
      <c r="I523" s="601" t="s">
        <v>413</v>
      </c>
      <c r="J523" s="641" t="s">
        <v>338</v>
      </c>
      <c r="K523" s="641" t="s">
        <v>339</v>
      </c>
      <c r="L523" s="641" t="b">
        <v>0</v>
      </c>
      <c r="M523" s="641" t="s">
        <v>321</v>
      </c>
      <c r="N523" s="641" t="s">
        <v>340</v>
      </c>
      <c r="O523" s="641" t="s">
        <v>341</v>
      </c>
      <c r="P523" s="186"/>
      <c r="Q523" s="186"/>
      <c r="R523" s="186"/>
      <c r="S523" s="186"/>
      <c r="T523" s="186"/>
      <c r="U523" s="186"/>
    </row>
    <row r="524" spans="1:21" x14ac:dyDescent="0.25">
      <c r="A524" s="641" t="s">
        <v>336</v>
      </c>
      <c r="B524" s="642">
        <v>1.8</v>
      </c>
      <c r="C524" s="641"/>
      <c r="D524" s="641" t="s">
        <v>319</v>
      </c>
      <c r="E524" s="641" t="s">
        <v>319</v>
      </c>
      <c r="F524" s="641" t="s">
        <v>319</v>
      </c>
      <c r="G524" s="641" t="s">
        <v>324</v>
      </c>
      <c r="H524" s="575" t="s">
        <v>325</v>
      </c>
      <c r="I524" s="601" t="s">
        <v>414</v>
      </c>
      <c r="J524" s="641" t="s">
        <v>338</v>
      </c>
      <c r="K524" s="641" t="s">
        <v>339</v>
      </c>
      <c r="L524" s="641" t="b">
        <v>0</v>
      </c>
      <c r="M524" s="641" t="s">
        <v>321</v>
      </c>
      <c r="N524" s="641" t="s">
        <v>340</v>
      </c>
      <c r="O524" s="641" t="s">
        <v>341</v>
      </c>
      <c r="P524" s="186"/>
      <c r="Q524" s="186"/>
      <c r="R524" s="186"/>
      <c r="S524" s="186"/>
      <c r="T524" s="186"/>
      <c r="U524" s="186"/>
    </row>
    <row r="525" spans="1:21" x14ac:dyDescent="0.25">
      <c r="A525" s="641" t="s">
        <v>336</v>
      </c>
      <c r="B525" s="642">
        <v>1.8</v>
      </c>
      <c r="C525" s="641"/>
      <c r="D525" s="641" t="s">
        <v>319</v>
      </c>
      <c r="E525" s="641" t="s">
        <v>319</v>
      </c>
      <c r="F525" s="641" t="s">
        <v>319</v>
      </c>
      <c r="G525" s="641" t="s">
        <v>324</v>
      </c>
      <c r="H525" s="575" t="s">
        <v>325</v>
      </c>
      <c r="I525" s="601" t="s">
        <v>415</v>
      </c>
      <c r="J525" s="641" t="s">
        <v>338</v>
      </c>
      <c r="K525" s="641" t="s">
        <v>339</v>
      </c>
      <c r="L525" s="641" t="b">
        <v>0</v>
      </c>
      <c r="M525" s="641" t="s">
        <v>321</v>
      </c>
      <c r="N525" s="641" t="s">
        <v>340</v>
      </c>
      <c r="O525" s="641" t="s">
        <v>341</v>
      </c>
      <c r="P525" s="186"/>
      <c r="Q525" s="186"/>
      <c r="R525" s="186"/>
      <c r="S525" s="186"/>
      <c r="T525" s="186"/>
      <c r="U525" s="186"/>
    </row>
    <row r="526" spans="1:21" x14ac:dyDescent="0.25">
      <c r="A526" s="641" t="s">
        <v>336</v>
      </c>
      <c r="B526" s="642">
        <v>1.8</v>
      </c>
      <c r="C526" s="641"/>
      <c r="D526" s="641" t="s">
        <v>319</v>
      </c>
      <c r="E526" s="641" t="s">
        <v>319</v>
      </c>
      <c r="F526" s="641" t="s">
        <v>319</v>
      </c>
      <c r="G526" s="641" t="s">
        <v>324</v>
      </c>
      <c r="H526" s="575" t="s">
        <v>325</v>
      </c>
      <c r="I526" s="601" t="s">
        <v>416</v>
      </c>
      <c r="J526" s="641" t="s">
        <v>338</v>
      </c>
      <c r="K526" s="641" t="s">
        <v>339</v>
      </c>
      <c r="L526" s="641" t="b">
        <v>0</v>
      </c>
      <c r="M526" s="641" t="s">
        <v>321</v>
      </c>
      <c r="N526" s="641" t="s">
        <v>340</v>
      </c>
      <c r="O526" s="641" t="s">
        <v>341</v>
      </c>
      <c r="P526" s="186"/>
      <c r="Q526" s="186"/>
      <c r="R526" s="186"/>
      <c r="S526" s="186"/>
      <c r="T526" s="186"/>
      <c r="U526" s="186"/>
    </row>
    <row r="527" spans="1:21" x14ac:dyDescent="0.25">
      <c r="A527" s="641" t="s">
        <v>417</v>
      </c>
      <c r="B527" s="629">
        <v>1</v>
      </c>
      <c r="C527" s="641"/>
      <c r="D527" s="641" t="s">
        <v>319</v>
      </c>
      <c r="E527" s="641" t="s">
        <v>319</v>
      </c>
      <c r="F527" s="641" t="s">
        <v>319</v>
      </c>
      <c r="G527" s="641" t="s">
        <v>418</v>
      </c>
      <c r="H527" s="575" t="s">
        <v>325</v>
      </c>
      <c r="I527" s="575" t="s">
        <v>419</v>
      </c>
      <c r="J527" s="641"/>
      <c r="K527" s="641"/>
      <c r="L527" s="641"/>
      <c r="M527" s="641"/>
      <c r="N527" s="641"/>
      <c r="O527" s="641"/>
      <c r="P527" s="186"/>
      <c r="Q527" s="186"/>
      <c r="R527" s="186"/>
      <c r="S527" s="186"/>
      <c r="T527" s="186"/>
      <c r="U527" s="186"/>
    </row>
    <row r="528" spans="1:21" x14ac:dyDescent="0.25">
      <c r="A528" s="641" t="s">
        <v>417</v>
      </c>
      <c r="B528" s="629">
        <v>0.9</v>
      </c>
      <c r="C528" s="641"/>
      <c r="D528" s="641" t="s">
        <v>319</v>
      </c>
      <c r="E528" s="641" t="s">
        <v>319</v>
      </c>
      <c r="F528" s="641" t="s">
        <v>319</v>
      </c>
      <c r="G528" s="641" t="s">
        <v>418</v>
      </c>
      <c r="H528" s="575" t="s">
        <v>325</v>
      </c>
      <c r="I528" s="575" t="s">
        <v>420</v>
      </c>
      <c r="J528" s="641"/>
      <c r="K528" s="641"/>
      <c r="L528" s="641"/>
      <c r="M528" s="641"/>
      <c r="N528" s="641"/>
      <c r="O528" s="641"/>
      <c r="P528" s="186"/>
      <c r="Q528" s="186"/>
      <c r="R528" s="186"/>
      <c r="S528" s="186"/>
      <c r="T528" s="186"/>
      <c r="U528" s="186"/>
    </row>
    <row r="529" spans="1:21" x14ac:dyDescent="0.25">
      <c r="A529" s="641" t="s">
        <v>417</v>
      </c>
      <c r="B529" s="629">
        <v>0.8</v>
      </c>
      <c r="C529" s="641"/>
      <c r="D529" s="641" t="s">
        <v>319</v>
      </c>
      <c r="E529" s="641" t="s">
        <v>319</v>
      </c>
      <c r="F529" s="641" t="s">
        <v>319</v>
      </c>
      <c r="G529" s="641" t="s">
        <v>418</v>
      </c>
      <c r="H529" s="575" t="s">
        <v>325</v>
      </c>
      <c r="I529" s="575" t="s">
        <v>421</v>
      </c>
      <c r="J529" s="641"/>
      <c r="K529" s="641"/>
      <c r="L529" s="641"/>
      <c r="M529" s="641"/>
      <c r="N529" s="641"/>
      <c r="O529" s="641"/>
      <c r="P529" s="186"/>
      <c r="Q529" s="186"/>
      <c r="R529" s="186"/>
      <c r="S529" s="186"/>
      <c r="T529" s="186"/>
      <c r="U529" s="186"/>
    </row>
    <row r="530" spans="1:21" x14ac:dyDescent="0.25">
      <c r="A530" s="641" t="s">
        <v>417</v>
      </c>
      <c r="B530" s="629">
        <v>0.8</v>
      </c>
      <c r="C530" s="641"/>
      <c r="D530" s="641" t="s">
        <v>319</v>
      </c>
      <c r="E530" s="641" t="s">
        <v>319</v>
      </c>
      <c r="F530" s="641" t="s">
        <v>319</v>
      </c>
      <c r="G530" s="641" t="s">
        <v>418</v>
      </c>
      <c r="H530" s="575" t="s">
        <v>325</v>
      </c>
      <c r="I530" s="575" t="s">
        <v>422</v>
      </c>
      <c r="J530" s="641"/>
      <c r="K530" s="641"/>
      <c r="L530" s="641"/>
      <c r="M530" s="641"/>
      <c r="N530" s="641"/>
      <c r="O530" s="641"/>
      <c r="P530" s="186"/>
      <c r="Q530" s="186"/>
      <c r="R530" s="186"/>
      <c r="S530" s="186"/>
      <c r="T530" s="186"/>
      <c r="U530" s="186"/>
    </row>
    <row r="531" spans="1:21" x14ac:dyDescent="0.25">
      <c r="A531" s="641" t="s">
        <v>417</v>
      </c>
      <c r="B531" s="629">
        <v>0.8</v>
      </c>
      <c r="C531" s="641"/>
      <c r="D531" s="641" t="s">
        <v>319</v>
      </c>
      <c r="E531" s="641" t="s">
        <v>319</v>
      </c>
      <c r="F531" s="641" t="s">
        <v>319</v>
      </c>
      <c r="G531" s="641" t="s">
        <v>418</v>
      </c>
      <c r="H531" s="575" t="s">
        <v>325</v>
      </c>
      <c r="I531" s="575" t="s">
        <v>423</v>
      </c>
      <c r="J531" s="641"/>
      <c r="K531" s="641"/>
      <c r="L531" s="641"/>
      <c r="M531" s="641"/>
      <c r="N531" s="641"/>
      <c r="O531" s="641"/>
      <c r="P531" s="186"/>
      <c r="Q531" s="186"/>
      <c r="R531" s="186"/>
      <c r="S531" s="186"/>
      <c r="T531" s="186"/>
      <c r="U531" s="186"/>
    </row>
    <row r="532" spans="1:21" x14ac:dyDescent="0.25">
      <c r="A532" s="641" t="s">
        <v>417</v>
      </c>
      <c r="B532" s="629">
        <v>0.8</v>
      </c>
      <c r="C532" s="641"/>
      <c r="D532" s="641" t="s">
        <v>319</v>
      </c>
      <c r="E532" s="641" t="s">
        <v>319</v>
      </c>
      <c r="F532" s="641" t="s">
        <v>319</v>
      </c>
      <c r="G532" s="641" t="s">
        <v>418</v>
      </c>
      <c r="H532" s="575" t="s">
        <v>325</v>
      </c>
      <c r="I532" s="575" t="s">
        <v>424</v>
      </c>
      <c r="J532" s="641"/>
      <c r="K532" s="641"/>
      <c r="L532" s="641"/>
      <c r="M532" s="641"/>
      <c r="N532" s="641"/>
      <c r="O532" s="641"/>
      <c r="P532" s="186"/>
      <c r="Q532" s="186"/>
      <c r="R532" s="186"/>
      <c r="S532" s="186"/>
      <c r="T532" s="186"/>
      <c r="U532" s="186"/>
    </row>
    <row r="533" spans="1:21" x14ac:dyDescent="0.25">
      <c r="A533" s="641" t="s">
        <v>417</v>
      </c>
      <c r="B533" s="629">
        <v>0.8</v>
      </c>
      <c r="C533" s="641"/>
      <c r="D533" s="641" t="s">
        <v>319</v>
      </c>
      <c r="E533" s="641" t="s">
        <v>319</v>
      </c>
      <c r="F533" s="641" t="s">
        <v>319</v>
      </c>
      <c r="G533" s="641" t="s">
        <v>418</v>
      </c>
      <c r="H533" s="575" t="s">
        <v>325</v>
      </c>
      <c r="I533" s="575" t="s">
        <v>425</v>
      </c>
      <c r="J533" s="641"/>
      <c r="K533" s="641"/>
      <c r="L533" s="641"/>
      <c r="M533" s="641"/>
      <c r="N533" s="641"/>
      <c r="O533" s="641"/>
      <c r="P533" s="186"/>
      <c r="Q533" s="186"/>
      <c r="R533" s="186"/>
      <c r="S533" s="186"/>
      <c r="T533" s="186"/>
      <c r="U533" s="186"/>
    </row>
    <row r="534" spans="1:21" x14ac:dyDescent="0.25">
      <c r="A534" s="641" t="s">
        <v>417</v>
      </c>
      <c r="B534" s="629">
        <v>0.8</v>
      </c>
      <c r="C534" s="641"/>
      <c r="D534" s="641" t="s">
        <v>319</v>
      </c>
      <c r="E534" s="641" t="s">
        <v>319</v>
      </c>
      <c r="F534" s="641" t="s">
        <v>319</v>
      </c>
      <c r="G534" s="641" t="s">
        <v>418</v>
      </c>
      <c r="H534" s="575" t="s">
        <v>325</v>
      </c>
      <c r="I534" s="575" t="s">
        <v>426</v>
      </c>
      <c r="J534" s="641"/>
      <c r="K534" s="641"/>
      <c r="L534" s="641"/>
      <c r="M534" s="641"/>
      <c r="N534" s="641"/>
      <c r="O534" s="641"/>
      <c r="P534" s="186"/>
      <c r="Q534" s="186"/>
      <c r="R534" s="186"/>
      <c r="S534" s="186"/>
      <c r="T534" s="186"/>
      <c r="U534" s="186"/>
    </row>
    <row r="535" spans="1:21" x14ac:dyDescent="0.25">
      <c r="A535" s="641" t="s">
        <v>417</v>
      </c>
      <c r="B535" s="629">
        <v>0.8</v>
      </c>
      <c r="C535" s="641"/>
      <c r="D535" s="641" t="s">
        <v>319</v>
      </c>
      <c r="E535" s="641" t="s">
        <v>319</v>
      </c>
      <c r="F535" s="641" t="s">
        <v>319</v>
      </c>
      <c r="G535" s="641" t="s">
        <v>418</v>
      </c>
      <c r="H535" s="575" t="s">
        <v>325</v>
      </c>
      <c r="I535" s="575" t="s">
        <v>427</v>
      </c>
      <c r="J535" s="641"/>
      <c r="K535" s="641"/>
      <c r="L535" s="641"/>
      <c r="M535" s="641"/>
      <c r="N535" s="641"/>
      <c r="O535" s="641"/>
      <c r="P535" s="186"/>
      <c r="Q535" s="186"/>
      <c r="R535" s="186"/>
      <c r="S535" s="186"/>
      <c r="T535" s="186"/>
      <c r="U535" s="186"/>
    </row>
    <row r="536" spans="1:21" x14ac:dyDescent="0.25">
      <c r="A536" s="641" t="s">
        <v>417</v>
      </c>
      <c r="B536" s="629">
        <v>0.8</v>
      </c>
      <c r="C536" s="641"/>
      <c r="D536" s="641" t="s">
        <v>319</v>
      </c>
      <c r="E536" s="641" t="s">
        <v>319</v>
      </c>
      <c r="F536" s="641" t="s">
        <v>319</v>
      </c>
      <c r="G536" s="641" t="s">
        <v>418</v>
      </c>
      <c r="H536" s="575" t="s">
        <v>325</v>
      </c>
      <c r="I536" s="575" t="s">
        <v>428</v>
      </c>
      <c r="J536" s="641"/>
      <c r="K536" s="641"/>
      <c r="L536" s="641"/>
      <c r="M536" s="641"/>
      <c r="N536" s="641"/>
      <c r="O536" s="641"/>
      <c r="P536" s="186"/>
      <c r="Q536" s="186"/>
      <c r="R536" s="186"/>
      <c r="S536" s="186"/>
      <c r="T536" s="186"/>
      <c r="U536" s="186"/>
    </row>
    <row r="537" spans="1:21" x14ac:dyDescent="0.25">
      <c r="A537" s="641" t="s">
        <v>417</v>
      </c>
      <c r="B537" s="629">
        <v>0.7</v>
      </c>
      <c r="C537" s="641"/>
      <c r="D537" s="641" t="s">
        <v>319</v>
      </c>
      <c r="E537" s="641" t="s">
        <v>319</v>
      </c>
      <c r="F537" s="641" t="s">
        <v>319</v>
      </c>
      <c r="G537" s="641" t="s">
        <v>418</v>
      </c>
      <c r="H537" s="575" t="s">
        <v>325</v>
      </c>
      <c r="I537" s="575" t="s">
        <v>429</v>
      </c>
      <c r="J537" s="641"/>
      <c r="K537" s="641"/>
      <c r="L537" s="641"/>
      <c r="M537" s="641"/>
      <c r="N537" s="641"/>
      <c r="O537" s="641"/>
      <c r="P537" s="186"/>
      <c r="Q537" s="186"/>
      <c r="R537" s="186"/>
      <c r="S537" s="186"/>
      <c r="T537" s="186"/>
      <c r="U537" s="186"/>
    </row>
    <row r="538" spans="1:21" x14ac:dyDescent="0.25">
      <c r="A538" s="641" t="s">
        <v>417</v>
      </c>
      <c r="B538" s="629">
        <v>0.7</v>
      </c>
      <c r="C538" s="641"/>
      <c r="D538" s="641" t="s">
        <v>319</v>
      </c>
      <c r="E538" s="641" t="s">
        <v>319</v>
      </c>
      <c r="F538" s="641" t="s">
        <v>319</v>
      </c>
      <c r="G538" s="641" t="s">
        <v>418</v>
      </c>
      <c r="H538" s="575" t="s">
        <v>325</v>
      </c>
      <c r="I538" s="575" t="s">
        <v>430</v>
      </c>
      <c r="J538" s="641"/>
      <c r="K538" s="641"/>
      <c r="L538" s="641"/>
      <c r="M538" s="641"/>
      <c r="N538" s="641"/>
      <c r="O538" s="641"/>
      <c r="P538" s="186"/>
      <c r="Q538" s="186"/>
      <c r="R538" s="186"/>
      <c r="S538" s="186"/>
      <c r="T538" s="186"/>
      <c r="U538" s="186"/>
    </row>
    <row r="539" spans="1:21" x14ac:dyDescent="0.25">
      <c r="A539" s="641" t="s">
        <v>417</v>
      </c>
      <c r="B539" s="629">
        <v>0.7</v>
      </c>
      <c r="C539" s="641"/>
      <c r="D539" s="641" t="s">
        <v>319</v>
      </c>
      <c r="E539" s="641" t="s">
        <v>319</v>
      </c>
      <c r="F539" s="641" t="s">
        <v>319</v>
      </c>
      <c r="G539" s="641" t="s">
        <v>418</v>
      </c>
      <c r="H539" s="575" t="s">
        <v>325</v>
      </c>
      <c r="I539" s="575" t="s">
        <v>431</v>
      </c>
      <c r="J539" s="641"/>
      <c r="K539" s="641"/>
      <c r="L539" s="641"/>
      <c r="M539" s="641"/>
      <c r="N539" s="641"/>
      <c r="O539" s="641"/>
      <c r="P539" s="186"/>
      <c r="Q539" s="186"/>
      <c r="R539" s="186"/>
      <c r="S539" s="186"/>
      <c r="T539" s="186"/>
      <c r="U539" s="186"/>
    </row>
    <row r="540" spans="1:21" x14ac:dyDescent="0.25">
      <c r="A540" s="641" t="s">
        <v>417</v>
      </c>
      <c r="B540" s="629">
        <v>0.7</v>
      </c>
      <c r="C540" s="641"/>
      <c r="D540" s="641" t="s">
        <v>319</v>
      </c>
      <c r="E540" s="641" t="s">
        <v>319</v>
      </c>
      <c r="F540" s="641" t="s">
        <v>319</v>
      </c>
      <c r="G540" s="641" t="s">
        <v>418</v>
      </c>
      <c r="H540" s="575" t="s">
        <v>325</v>
      </c>
      <c r="I540" s="575" t="s">
        <v>432</v>
      </c>
      <c r="J540" s="641"/>
      <c r="K540" s="641"/>
      <c r="L540" s="641"/>
      <c r="M540" s="641"/>
      <c r="N540" s="641"/>
      <c r="O540" s="641"/>
      <c r="P540" s="186"/>
      <c r="Q540" s="186"/>
      <c r="R540" s="186"/>
      <c r="S540" s="186"/>
      <c r="T540" s="186"/>
      <c r="U540" s="186"/>
    </row>
    <row r="541" spans="1:21" x14ac:dyDescent="0.25">
      <c r="A541" s="641" t="s">
        <v>417</v>
      </c>
      <c r="B541" s="629">
        <v>0.7</v>
      </c>
      <c r="C541" s="641"/>
      <c r="D541" s="641" t="s">
        <v>319</v>
      </c>
      <c r="E541" s="641" t="s">
        <v>319</v>
      </c>
      <c r="F541" s="641" t="s">
        <v>319</v>
      </c>
      <c r="G541" s="641" t="s">
        <v>418</v>
      </c>
      <c r="H541" s="575" t="s">
        <v>325</v>
      </c>
      <c r="I541" s="575" t="s">
        <v>433</v>
      </c>
      <c r="J541" s="641"/>
      <c r="K541" s="641"/>
      <c r="L541" s="641"/>
      <c r="M541" s="641"/>
      <c r="N541" s="641"/>
      <c r="O541" s="641"/>
      <c r="P541" s="186"/>
      <c r="Q541" s="186"/>
      <c r="R541" s="186"/>
      <c r="S541" s="186"/>
      <c r="T541" s="186"/>
      <c r="U541" s="186"/>
    </row>
    <row r="542" spans="1:21" x14ac:dyDescent="0.25">
      <c r="A542" s="641" t="s">
        <v>417</v>
      </c>
      <c r="B542" s="629">
        <v>0.7</v>
      </c>
      <c r="C542" s="641"/>
      <c r="D542" s="641" t="s">
        <v>319</v>
      </c>
      <c r="E542" s="641" t="s">
        <v>319</v>
      </c>
      <c r="F542" s="641" t="s">
        <v>319</v>
      </c>
      <c r="G542" s="641" t="s">
        <v>418</v>
      </c>
      <c r="H542" s="575" t="s">
        <v>325</v>
      </c>
      <c r="I542" s="575" t="s">
        <v>434</v>
      </c>
      <c r="J542" s="641"/>
      <c r="K542" s="641"/>
      <c r="L542" s="641"/>
      <c r="M542" s="641"/>
      <c r="N542" s="641"/>
      <c r="O542" s="641"/>
      <c r="P542" s="186"/>
      <c r="Q542" s="186"/>
      <c r="R542" s="186"/>
      <c r="S542" s="186"/>
      <c r="T542" s="186"/>
      <c r="U542" s="186"/>
    </row>
    <row r="543" spans="1:21" x14ac:dyDescent="0.25">
      <c r="A543" s="641" t="s">
        <v>417</v>
      </c>
      <c r="B543" s="629">
        <v>0.7</v>
      </c>
      <c r="C543" s="641"/>
      <c r="D543" s="641" t="s">
        <v>319</v>
      </c>
      <c r="E543" s="641" t="s">
        <v>319</v>
      </c>
      <c r="F543" s="641" t="s">
        <v>319</v>
      </c>
      <c r="G543" s="641" t="s">
        <v>418</v>
      </c>
      <c r="H543" s="575" t="s">
        <v>325</v>
      </c>
      <c r="I543" s="575" t="s">
        <v>435</v>
      </c>
      <c r="J543" s="641"/>
      <c r="K543" s="641"/>
      <c r="L543" s="641"/>
      <c r="M543" s="641"/>
      <c r="N543" s="641"/>
      <c r="O543" s="641"/>
      <c r="P543" s="186"/>
      <c r="Q543" s="186"/>
      <c r="R543" s="186"/>
      <c r="S543" s="186"/>
      <c r="T543" s="186"/>
      <c r="U543" s="186"/>
    </row>
    <row r="544" spans="1:21" x14ac:dyDescent="0.25">
      <c r="A544" s="641" t="s">
        <v>417</v>
      </c>
      <c r="B544" s="629">
        <v>0.7</v>
      </c>
      <c r="C544" s="641"/>
      <c r="D544" s="641" t="s">
        <v>319</v>
      </c>
      <c r="E544" s="641" t="s">
        <v>319</v>
      </c>
      <c r="F544" s="641" t="s">
        <v>319</v>
      </c>
      <c r="G544" s="641" t="s">
        <v>418</v>
      </c>
      <c r="H544" s="575" t="s">
        <v>325</v>
      </c>
      <c r="I544" s="575" t="s">
        <v>436</v>
      </c>
      <c r="J544" s="641"/>
      <c r="K544" s="641"/>
      <c r="L544" s="641"/>
      <c r="M544" s="641"/>
      <c r="N544" s="641"/>
      <c r="O544" s="641"/>
      <c r="P544" s="186"/>
      <c r="Q544" s="186"/>
      <c r="R544" s="186"/>
      <c r="S544" s="186"/>
      <c r="T544" s="186"/>
      <c r="U544" s="186"/>
    </row>
    <row r="545" spans="1:21" x14ac:dyDescent="0.25">
      <c r="A545" s="641" t="s">
        <v>417</v>
      </c>
      <c r="B545" s="629">
        <v>0.65</v>
      </c>
      <c r="C545" s="641"/>
      <c r="D545" s="641" t="s">
        <v>319</v>
      </c>
      <c r="E545" s="641" t="s">
        <v>319</v>
      </c>
      <c r="F545" s="641" t="s">
        <v>319</v>
      </c>
      <c r="G545" s="641" t="s">
        <v>418</v>
      </c>
      <c r="H545" s="575" t="s">
        <v>325</v>
      </c>
      <c r="I545" s="575" t="s">
        <v>437</v>
      </c>
      <c r="J545" s="641"/>
      <c r="K545" s="641"/>
      <c r="L545" s="641"/>
      <c r="M545" s="641"/>
      <c r="N545" s="641"/>
      <c r="O545" s="641"/>
      <c r="P545" s="186"/>
      <c r="Q545" s="186"/>
      <c r="R545" s="186"/>
      <c r="S545" s="186"/>
      <c r="T545" s="186"/>
      <c r="U545" s="186"/>
    </row>
    <row r="546" spans="1:21" x14ac:dyDescent="0.25">
      <c r="A546" s="641" t="s">
        <v>417</v>
      </c>
      <c r="B546" s="629">
        <v>0.65</v>
      </c>
      <c r="C546" s="641"/>
      <c r="D546" s="641" t="s">
        <v>319</v>
      </c>
      <c r="E546" s="641" t="s">
        <v>319</v>
      </c>
      <c r="F546" s="641" t="s">
        <v>319</v>
      </c>
      <c r="G546" s="641" t="s">
        <v>418</v>
      </c>
      <c r="H546" s="575" t="s">
        <v>325</v>
      </c>
      <c r="I546" s="575" t="s">
        <v>438</v>
      </c>
      <c r="J546" s="641"/>
      <c r="K546" s="641"/>
      <c r="L546" s="641"/>
      <c r="M546" s="641"/>
      <c r="N546" s="641"/>
      <c r="O546" s="641"/>
      <c r="P546" s="186"/>
      <c r="Q546" s="186"/>
      <c r="R546" s="186"/>
      <c r="S546" s="186"/>
      <c r="T546" s="186"/>
      <c r="U546" s="186"/>
    </row>
    <row r="547" spans="1:21" x14ac:dyDescent="0.25">
      <c r="A547" s="641" t="s">
        <v>417</v>
      </c>
      <c r="B547" s="629">
        <v>0.65</v>
      </c>
      <c r="C547" s="641"/>
      <c r="D547" s="641" t="s">
        <v>319</v>
      </c>
      <c r="E547" s="641" t="s">
        <v>319</v>
      </c>
      <c r="F547" s="641" t="s">
        <v>319</v>
      </c>
      <c r="G547" s="641" t="s">
        <v>418</v>
      </c>
      <c r="H547" s="575" t="s">
        <v>325</v>
      </c>
      <c r="I547" s="575" t="s">
        <v>439</v>
      </c>
      <c r="J547" s="641"/>
      <c r="K547" s="641"/>
      <c r="L547" s="641"/>
      <c r="M547" s="641"/>
      <c r="N547" s="641"/>
      <c r="O547" s="641"/>
      <c r="P547" s="186"/>
      <c r="Q547" s="186"/>
      <c r="R547" s="186"/>
      <c r="S547" s="186"/>
      <c r="T547" s="186"/>
      <c r="U547" s="186"/>
    </row>
    <row r="548" spans="1:21" x14ac:dyDescent="0.25">
      <c r="A548" s="641" t="s">
        <v>417</v>
      </c>
      <c r="B548" s="629">
        <v>0.65</v>
      </c>
      <c r="C548" s="641"/>
      <c r="D548" s="641" t="s">
        <v>319</v>
      </c>
      <c r="E548" s="641" t="s">
        <v>319</v>
      </c>
      <c r="F548" s="641" t="s">
        <v>319</v>
      </c>
      <c r="G548" s="641" t="s">
        <v>418</v>
      </c>
      <c r="H548" s="575" t="s">
        <v>325</v>
      </c>
      <c r="I548" s="575" t="s">
        <v>440</v>
      </c>
      <c r="J548" s="641"/>
      <c r="K548" s="641"/>
      <c r="L548" s="641"/>
      <c r="M548" s="641"/>
      <c r="N548" s="641"/>
      <c r="O548" s="641"/>
      <c r="P548" s="186"/>
      <c r="Q548" s="186"/>
      <c r="R548" s="186"/>
      <c r="S548" s="186"/>
      <c r="T548" s="186"/>
      <c r="U548" s="186"/>
    </row>
    <row r="549" spans="1:21" x14ac:dyDescent="0.25">
      <c r="A549" s="641" t="s">
        <v>417</v>
      </c>
      <c r="B549" s="629">
        <v>0.65</v>
      </c>
      <c r="C549" s="641"/>
      <c r="D549" s="641" t="s">
        <v>319</v>
      </c>
      <c r="E549" s="641" t="s">
        <v>319</v>
      </c>
      <c r="F549" s="641" t="s">
        <v>319</v>
      </c>
      <c r="G549" s="641" t="s">
        <v>418</v>
      </c>
      <c r="H549" s="575" t="s">
        <v>325</v>
      </c>
      <c r="I549" s="575" t="s">
        <v>441</v>
      </c>
      <c r="J549" s="641"/>
      <c r="K549" s="641"/>
      <c r="L549" s="641"/>
      <c r="M549" s="641"/>
      <c r="N549" s="641"/>
      <c r="O549" s="641"/>
      <c r="P549" s="186"/>
      <c r="Q549" s="186"/>
      <c r="R549" s="186"/>
      <c r="S549" s="186"/>
      <c r="T549" s="186"/>
      <c r="U549" s="186"/>
    </row>
    <row r="550" spans="1:21" x14ac:dyDescent="0.25">
      <c r="A550" s="641" t="s">
        <v>417</v>
      </c>
      <c r="B550" s="629">
        <v>0.65</v>
      </c>
      <c r="C550" s="641"/>
      <c r="D550" s="641" t="s">
        <v>319</v>
      </c>
      <c r="E550" s="641" t="s">
        <v>319</v>
      </c>
      <c r="F550" s="641" t="s">
        <v>319</v>
      </c>
      <c r="G550" s="641" t="s">
        <v>418</v>
      </c>
      <c r="H550" s="575" t="s">
        <v>325</v>
      </c>
      <c r="I550" s="575" t="s">
        <v>442</v>
      </c>
      <c r="J550" s="641"/>
      <c r="K550" s="641"/>
      <c r="L550" s="641"/>
      <c r="M550" s="641"/>
      <c r="N550" s="641"/>
      <c r="O550" s="641"/>
      <c r="P550" s="186"/>
      <c r="Q550" s="186"/>
      <c r="R550" s="186"/>
      <c r="S550" s="186"/>
      <c r="T550" s="186"/>
      <c r="U550" s="186"/>
    </row>
    <row r="551" spans="1:21" x14ac:dyDescent="0.25">
      <c r="A551" s="641" t="s">
        <v>417</v>
      </c>
      <c r="B551" s="629">
        <v>0.65</v>
      </c>
      <c r="C551" s="641"/>
      <c r="D551" s="641" t="s">
        <v>319</v>
      </c>
      <c r="E551" s="641" t="s">
        <v>319</v>
      </c>
      <c r="F551" s="641" t="s">
        <v>319</v>
      </c>
      <c r="G551" s="641" t="s">
        <v>418</v>
      </c>
      <c r="H551" s="575" t="s">
        <v>325</v>
      </c>
      <c r="I551" s="575" t="s">
        <v>443</v>
      </c>
      <c r="J551" s="641"/>
      <c r="K551" s="641"/>
      <c r="L551" s="641"/>
      <c r="M551" s="641"/>
      <c r="N551" s="641"/>
      <c r="O551" s="641"/>
      <c r="P551" s="186"/>
      <c r="Q551" s="186"/>
      <c r="R551" s="186"/>
      <c r="S551" s="186"/>
      <c r="T551" s="186"/>
      <c r="U551" s="186"/>
    </row>
    <row r="552" spans="1:21" x14ac:dyDescent="0.25">
      <c r="A552" s="641" t="s">
        <v>417</v>
      </c>
      <c r="B552" s="629">
        <v>0.65</v>
      </c>
      <c r="C552" s="641"/>
      <c r="D552" s="641" t="s">
        <v>319</v>
      </c>
      <c r="E552" s="641" t="s">
        <v>319</v>
      </c>
      <c r="F552" s="641" t="s">
        <v>319</v>
      </c>
      <c r="G552" s="641" t="s">
        <v>418</v>
      </c>
      <c r="H552" s="575" t="s">
        <v>325</v>
      </c>
      <c r="I552" s="575" t="s">
        <v>444</v>
      </c>
      <c r="J552" s="641"/>
      <c r="K552" s="641"/>
      <c r="L552" s="641"/>
      <c r="M552" s="641"/>
      <c r="N552" s="641"/>
      <c r="O552" s="641"/>
      <c r="P552" s="186"/>
      <c r="Q552" s="186"/>
      <c r="R552" s="186"/>
      <c r="S552" s="186"/>
      <c r="T552" s="186"/>
      <c r="U552" s="186"/>
    </row>
    <row r="553" spans="1:21" x14ac:dyDescent="0.25">
      <c r="A553" s="641" t="s">
        <v>417</v>
      </c>
      <c r="B553" s="629">
        <v>0.65</v>
      </c>
      <c r="C553" s="641"/>
      <c r="D553" s="641" t="s">
        <v>319</v>
      </c>
      <c r="E553" s="641" t="s">
        <v>319</v>
      </c>
      <c r="F553" s="641" t="s">
        <v>319</v>
      </c>
      <c r="G553" s="641" t="s">
        <v>418</v>
      </c>
      <c r="H553" s="575" t="s">
        <v>325</v>
      </c>
      <c r="I553" s="575" t="s">
        <v>445</v>
      </c>
      <c r="J553" s="641"/>
      <c r="K553" s="641"/>
      <c r="L553" s="641"/>
      <c r="M553" s="641"/>
      <c r="N553" s="641"/>
      <c r="O553" s="641"/>
      <c r="P553" s="186"/>
      <c r="Q553" s="186"/>
      <c r="R553" s="186"/>
      <c r="S553" s="186"/>
      <c r="T553" s="186"/>
      <c r="U553" s="186"/>
    </row>
    <row r="554" spans="1:21" x14ac:dyDescent="0.25">
      <c r="A554" s="641" t="s">
        <v>417</v>
      </c>
      <c r="B554" s="629">
        <v>0.65</v>
      </c>
      <c r="C554" s="641"/>
      <c r="D554" s="641" t="s">
        <v>319</v>
      </c>
      <c r="E554" s="641" t="s">
        <v>319</v>
      </c>
      <c r="F554" s="641" t="s">
        <v>319</v>
      </c>
      <c r="G554" s="641" t="s">
        <v>418</v>
      </c>
      <c r="H554" s="575" t="s">
        <v>325</v>
      </c>
      <c r="I554" s="575" t="s">
        <v>446</v>
      </c>
      <c r="J554" s="641"/>
      <c r="K554" s="641"/>
      <c r="L554" s="641"/>
      <c r="M554" s="641"/>
      <c r="N554" s="641"/>
      <c r="O554" s="641"/>
      <c r="P554" s="186"/>
      <c r="Q554" s="186"/>
      <c r="R554" s="186"/>
      <c r="S554" s="186"/>
      <c r="T554" s="186"/>
      <c r="U554" s="186"/>
    </row>
    <row r="555" spans="1:21" x14ac:dyDescent="0.25">
      <c r="A555" s="641" t="s">
        <v>417</v>
      </c>
      <c r="B555" s="629">
        <v>0.65</v>
      </c>
      <c r="C555" s="641"/>
      <c r="D555" s="641" t="s">
        <v>319</v>
      </c>
      <c r="E555" s="641" t="s">
        <v>319</v>
      </c>
      <c r="F555" s="641" t="s">
        <v>319</v>
      </c>
      <c r="G555" s="641" t="s">
        <v>418</v>
      </c>
      <c r="H555" s="575" t="s">
        <v>325</v>
      </c>
      <c r="I555" s="575" t="s">
        <v>447</v>
      </c>
      <c r="J555" s="641"/>
      <c r="K555" s="641"/>
      <c r="L555" s="641"/>
      <c r="M555" s="641"/>
      <c r="N555" s="641"/>
      <c r="O555" s="641"/>
      <c r="P555" s="186"/>
      <c r="Q555" s="186"/>
      <c r="R555" s="186"/>
      <c r="S555" s="186"/>
      <c r="T555" s="186"/>
      <c r="U555" s="186"/>
    </row>
    <row r="556" spans="1:21" x14ac:dyDescent="0.25">
      <c r="A556" s="575" t="s">
        <v>448</v>
      </c>
      <c r="B556" s="643">
        <v>3.4460000000000002</v>
      </c>
      <c r="C556" s="575"/>
      <c r="D556" s="575" t="s">
        <v>319</v>
      </c>
      <c r="E556" s="575" t="s">
        <v>319</v>
      </c>
      <c r="F556" s="575" t="s">
        <v>319</v>
      </c>
      <c r="G556" s="575" t="s">
        <v>449</v>
      </c>
      <c r="H556" s="575" t="s">
        <v>325</v>
      </c>
      <c r="I556" s="601" t="s">
        <v>450</v>
      </c>
      <c r="J556" s="186"/>
      <c r="K556" s="186"/>
      <c r="L556" s="186"/>
      <c r="M556" s="186"/>
      <c r="N556" s="186"/>
      <c r="O556" s="186"/>
      <c r="P556" s="186"/>
      <c r="Q556" s="186"/>
      <c r="R556" s="186"/>
      <c r="S556" s="186"/>
      <c r="T556" s="186"/>
      <c r="U556" s="186"/>
    </row>
    <row r="557" spans="1:21" x14ac:dyDescent="0.25">
      <c r="A557" s="575" t="s">
        <v>448</v>
      </c>
      <c r="B557" s="643">
        <v>3.2149999999999999</v>
      </c>
      <c r="C557" s="575"/>
      <c r="D557" s="575" t="s">
        <v>319</v>
      </c>
      <c r="E557" s="575" t="s">
        <v>319</v>
      </c>
      <c r="F557" s="575" t="s">
        <v>319</v>
      </c>
      <c r="G557" s="575" t="s">
        <v>449</v>
      </c>
      <c r="H557" s="575" t="s">
        <v>325</v>
      </c>
      <c r="I557" s="601" t="s">
        <v>451</v>
      </c>
      <c r="J557" s="186"/>
      <c r="K557" s="186"/>
      <c r="L557" s="186"/>
      <c r="M557" s="186"/>
      <c r="N557" s="186"/>
      <c r="O557" s="186"/>
      <c r="P557" s="186"/>
      <c r="Q557" s="186"/>
      <c r="R557" s="186"/>
      <c r="S557" s="186"/>
      <c r="T557" s="186"/>
      <c r="U557" s="186"/>
    </row>
    <row r="558" spans="1:21" x14ac:dyDescent="0.25">
      <c r="A558" s="575" t="s">
        <v>448</v>
      </c>
      <c r="B558" s="643">
        <v>3.02</v>
      </c>
      <c r="C558" s="575"/>
      <c r="D558" s="575" t="s">
        <v>319</v>
      </c>
      <c r="E558" s="575" t="s">
        <v>319</v>
      </c>
      <c r="F558" s="575" t="s">
        <v>319</v>
      </c>
      <c r="G558" s="575" t="s">
        <v>449</v>
      </c>
      <c r="H558" s="575" t="s">
        <v>325</v>
      </c>
      <c r="I558" s="601" t="s">
        <v>452</v>
      </c>
      <c r="J558" s="186"/>
      <c r="K558" s="186"/>
      <c r="L558" s="186"/>
      <c r="M558" s="186"/>
      <c r="N558" s="186"/>
      <c r="O558" s="186"/>
      <c r="P558" s="186"/>
      <c r="Q558" s="186"/>
      <c r="R558" s="186"/>
      <c r="S558" s="186"/>
      <c r="T558" s="186"/>
      <c r="U558" s="186"/>
    </row>
    <row r="559" spans="1:21" x14ac:dyDescent="0.25">
      <c r="A559" s="575" t="s">
        <v>448</v>
      </c>
      <c r="B559" s="643">
        <v>2.8679999999999999</v>
      </c>
      <c r="C559" s="575"/>
      <c r="D559" s="575" t="s">
        <v>319</v>
      </c>
      <c r="E559" s="575" t="s">
        <v>319</v>
      </c>
      <c r="F559" s="575" t="s">
        <v>319</v>
      </c>
      <c r="G559" s="575" t="s">
        <v>449</v>
      </c>
      <c r="H559" s="575" t="s">
        <v>325</v>
      </c>
      <c r="I559" s="601" t="s">
        <v>453</v>
      </c>
      <c r="J559" s="186"/>
      <c r="K559" s="186"/>
      <c r="L559" s="186"/>
      <c r="M559" s="186"/>
      <c r="N559" s="186"/>
      <c r="O559" s="186"/>
      <c r="P559" s="186"/>
      <c r="Q559" s="186"/>
      <c r="R559" s="186"/>
      <c r="S559" s="186"/>
      <c r="T559" s="186"/>
      <c r="U559" s="186"/>
    </row>
    <row r="560" spans="1:21" x14ac:dyDescent="0.25">
      <c r="A560" s="575" t="s">
        <v>448</v>
      </c>
      <c r="B560" s="643">
        <v>2.7229999999999999</v>
      </c>
      <c r="C560" s="575"/>
      <c r="D560" s="575" t="s">
        <v>319</v>
      </c>
      <c r="E560" s="575" t="s">
        <v>319</v>
      </c>
      <c r="F560" s="575" t="s">
        <v>319</v>
      </c>
      <c r="G560" s="575" t="s">
        <v>449</v>
      </c>
      <c r="H560" s="575" t="s">
        <v>325</v>
      </c>
      <c r="I560" s="601" t="s">
        <v>454</v>
      </c>
      <c r="J560" s="186"/>
      <c r="K560" s="186"/>
      <c r="L560" s="186"/>
      <c r="M560" s="186"/>
      <c r="N560" s="186"/>
      <c r="O560" s="186"/>
      <c r="P560" s="186"/>
      <c r="Q560" s="186"/>
      <c r="R560" s="186"/>
      <c r="S560" s="186"/>
      <c r="T560" s="186"/>
      <c r="U560" s="186"/>
    </row>
    <row r="561" spans="1:21" x14ac:dyDescent="0.25">
      <c r="A561" s="575" t="s">
        <v>448</v>
      </c>
      <c r="B561" s="643">
        <v>2.5830000000000002</v>
      </c>
      <c r="C561" s="575"/>
      <c r="D561" s="575" t="s">
        <v>319</v>
      </c>
      <c r="E561" s="575" t="s">
        <v>319</v>
      </c>
      <c r="F561" s="575" t="s">
        <v>319</v>
      </c>
      <c r="G561" s="575" t="s">
        <v>449</v>
      </c>
      <c r="H561" s="575" t="s">
        <v>325</v>
      </c>
      <c r="I561" s="601" t="s">
        <v>455</v>
      </c>
      <c r="J561" s="186"/>
      <c r="K561" s="186"/>
      <c r="L561" s="186"/>
      <c r="M561" s="186"/>
      <c r="N561" s="186"/>
      <c r="O561" s="186"/>
      <c r="P561" s="186"/>
      <c r="Q561" s="186"/>
      <c r="R561" s="186"/>
      <c r="S561" s="186"/>
      <c r="T561" s="186"/>
      <c r="U561" s="186"/>
    </row>
    <row r="562" spans="1:21" x14ac:dyDescent="0.25">
      <c r="A562" s="575" t="s">
        <v>448</v>
      </c>
      <c r="B562" s="643">
        <v>2.448</v>
      </c>
      <c r="C562" s="575"/>
      <c r="D562" s="575" t="s">
        <v>319</v>
      </c>
      <c r="E562" s="575" t="s">
        <v>319</v>
      </c>
      <c r="F562" s="575" t="s">
        <v>319</v>
      </c>
      <c r="G562" s="575" t="s">
        <v>449</v>
      </c>
      <c r="H562" s="575" t="s">
        <v>325</v>
      </c>
      <c r="I562" s="601" t="s">
        <v>456</v>
      </c>
      <c r="J562" s="186"/>
      <c r="K562" s="186"/>
      <c r="L562" s="186"/>
      <c r="M562" s="186"/>
      <c r="N562" s="186"/>
      <c r="O562" s="186"/>
      <c r="P562" s="186"/>
      <c r="Q562" s="186"/>
      <c r="R562" s="186"/>
      <c r="S562" s="186"/>
      <c r="T562" s="186"/>
      <c r="U562" s="186"/>
    </row>
    <row r="563" spans="1:21" x14ac:dyDescent="0.25">
      <c r="A563" s="575" t="s">
        <v>448</v>
      </c>
      <c r="B563" s="643">
        <v>2.3159999999999998</v>
      </c>
      <c r="C563" s="575"/>
      <c r="D563" s="575" t="s">
        <v>319</v>
      </c>
      <c r="E563" s="575" t="s">
        <v>319</v>
      </c>
      <c r="F563" s="575" t="s">
        <v>319</v>
      </c>
      <c r="G563" s="575" t="s">
        <v>449</v>
      </c>
      <c r="H563" s="575" t="s">
        <v>325</v>
      </c>
      <c r="I563" s="601" t="s">
        <v>457</v>
      </c>
      <c r="J563" s="186"/>
      <c r="K563" s="186"/>
      <c r="L563" s="186"/>
      <c r="M563" s="186"/>
      <c r="N563" s="186"/>
      <c r="O563" s="186"/>
      <c r="P563" s="186"/>
      <c r="Q563" s="186"/>
      <c r="R563" s="186"/>
      <c r="S563" s="186"/>
      <c r="T563" s="186"/>
      <c r="U563" s="186"/>
    </row>
    <row r="564" spans="1:21" x14ac:dyDescent="0.25">
      <c r="A564" s="575" t="s">
        <v>448</v>
      </c>
      <c r="B564" s="643">
        <v>2.1880000000000002</v>
      </c>
      <c r="C564" s="575"/>
      <c r="D564" s="575" t="s">
        <v>319</v>
      </c>
      <c r="E564" s="575" t="s">
        <v>319</v>
      </c>
      <c r="F564" s="575" t="s">
        <v>319</v>
      </c>
      <c r="G564" s="575" t="s">
        <v>449</v>
      </c>
      <c r="H564" s="575" t="s">
        <v>325</v>
      </c>
      <c r="I564" s="601" t="s">
        <v>458</v>
      </c>
      <c r="J564" s="186"/>
      <c r="K564" s="186"/>
      <c r="L564" s="186"/>
      <c r="M564" s="186"/>
      <c r="N564" s="186"/>
      <c r="O564" s="186"/>
      <c r="P564" s="186"/>
      <c r="Q564" s="186"/>
      <c r="R564" s="186"/>
      <c r="S564" s="186"/>
      <c r="T564" s="186"/>
      <c r="U564" s="186"/>
    </row>
    <row r="565" spans="1:21" x14ac:dyDescent="0.25">
      <c r="A565" s="575" t="s">
        <v>448</v>
      </c>
      <c r="B565" s="643">
        <v>2.0409999999999999</v>
      </c>
      <c r="C565" s="575"/>
      <c r="D565" s="575" t="s">
        <v>319</v>
      </c>
      <c r="E565" s="575" t="s">
        <v>319</v>
      </c>
      <c r="F565" s="575" t="s">
        <v>319</v>
      </c>
      <c r="G565" s="575" t="s">
        <v>449</v>
      </c>
      <c r="H565" s="575" t="s">
        <v>325</v>
      </c>
      <c r="I565" s="601" t="s">
        <v>459</v>
      </c>
      <c r="J565" s="186"/>
      <c r="K565" s="186"/>
      <c r="L565" s="186"/>
      <c r="M565" s="186"/>
      <c r="N565" s="186"/>
      <c r="O565" s="186"/>
      <c r="P565" s="186"/>
      <c r="Q565" s="186"/>
      <c r="R565" s="186"/>
      <c r="S565" s="186"/>
      <c r="T565" s="186"/>
      <c r="U565" s="186"/>
    </row>
    <row r="566" spans="1:21" x14ac:dyDescent="0.25">
      <c r="A566" s="575" t="s">
        <v>448</v>
      </c>
      <c r="B566" s="643">
        <v>1.87</v>
      </c>
      <c r="C566" s="575"/>
      <c r="D566" s="575" t="s">
        <v>319</v>
      </c>
      <c r="E566" s="575" t="s">
        <v>319</v>
      </c>
      <c r="F566" s="575" t="s">
        <v>319</v>
      </c>
      <c r="G566" s="575" t="s">
        <v>449</v>
      </c>
      <c r="H566" s="575" t="s">
        <v>325</v>
      </c>
      <c r="I566" s="601" t="s">
        <v>460</v>
      </c>
      <c r="J566" s="186"/>
      <c r="K566" s="186"/>
      <c r="L566" s="186"/>
      <c r="M566" s="186"/>
      <c r="N566" s="186"/>
      <c r="O566" s="186"/>
      <c r="P566" s="186"/>
      <c r="Q566" s="186"/>
      <c r="R566" s="186"/>
      <c r="S566" s="186"/>
      <c r="T566" s="186"/>
      <c r="U566" s="186"/>
    </row>
    <row r="567" spans="1:21" x14ac:dyDescent="0.25">
      <c r="A567" s="575" t="s">
        <v>448</v>
      </c>
      <c r="B567" s="643">
        <v>1.673</v>
      </c>
      <c r="C567" s="575"/>
      <c r="D567" s="575" t="s">
        <v>319</v>
      </c>
      <c r="E567" s="575" t="s">
        <v>319</v>
      </c>
      <c r="F567" s="575" t="s">
        <v>319</v>
      </c>
      <c r="G567" s="575" t="s">
        <v>449</v>
      </c>
      <c r="H567" s="575" t="s">
        <v>325</v>
      </c>
      <c r="I567" s="601" t="s">
        <v>461</v>
      </c>
      <c r="J567" s="186"/>
      <c r="K567" s="186"/>
      <c r="L567" s="186"/>
      <c r="M567" s="186"/>
      <c r="N567" s="186"/>
      <c r="O567" s="186"/>
      <c r="P567" s="186"/>
      <c r="Q567" s="186"/>
      <c r="R567" s="186"/>
      <c r="S567" s="186"/>
      <c r="T567" s="186"/>
      <c r="U567" s="186"/>
    </row>
    <row r="568" spans="1:21" x14ac:dyDescent="0.25">
      <c r="A568" s="575" t="s">
        <v>448</v>
      </c>
      <c r="B568" s="643">
        <v>1.45</v>
      </c>
      <c r="C568" s="575"/>
      <c r="D568" s="575" t="s">
        <v>319</v>
      </c>
      <c r="E568" s="575" t="s">
        <v>319</v>
      </c>
      <c r="F568" s="575" t="s">
        <v>319</v>
      </c>
      <c r="G568" s="575" t="s">
        <v>449</v>
      </c>
      <c r="H568" s="575" t="s">
        <v>325</v>
      </c>
      <c r="I568" s="601" t="s">
        <v>462</v>
      </c>
      <c r="J568" s="186"/>
      <c r="K568" s="186"/>
      <c r="L568" s="186"/>
      <c r="M568" s="186"/>
      <c r="N568" s="186"/>
      <c r="O568" s="186"/>
      <c r="P568" s="186"/>
      <c r="Q568" s="186"/>
      <c r="R568" s="186"/>
      <c r="S568" s="186"/>
      <c r="T568" s="186"/>
      <c r="U568" s="186"/>
    </row>
    <row r="569" spans="1:21" x14ac:dyDescent="0.25">
      <c r="A569" s="575" t="s">
        <v>448</v>
      </c>
      <c r="B569" s="643">
        <v>1.45</v>
      </c>
      <c r="C569" s="575"/>
      <c r="D569" s="575" t="s">
        <v>319</v>
      </c>
      <c r="E569" s="575" t="s">
        <v>319</v>
      </c>
      <c r="F569" s="575" t="s">
        <v>319</v>
      </c>
      <c r="G569" s="575" t="s">
        <v>449</v>
      </c>
      <c r="H569" s="575" t="s">
        <v>325</v>
      </c>
      <c r="I569" s="601" t="s">
        <v>463</v>
      </c>
      <c r="J569" s="186"/>
      <c r="K569" s="186"/>
      <c r="L569" s="186"/>
      <c r="M569" s="186"/>
      <c r="N569" s="186"/>
      <c r="O569" s="186"/>
      <c r="P569" s="186"/>
      <c r="Q569" s="186"/>
      <c r="R569" s="186"/>
      <c r="S569" s="186"/>
      <c r="T569" s="186"/>
      <c r="U569" s="186"/>
    </row>
    <row r="570" spans="1:21" x14ac:dyDescent="0.25">
      <c r="A570" s="575" t="s">
        <v>448</v>
      </c>
      <c r="B570" s="643">
        <v>1.45</v>
      </c>
      <c r="C570" s="575"/>
      <c r="D570" s="575" t="s">
        <v>319</v>
      </c>
      <c r="E570" s="575" t="s">
        <v>319</v>
      </c>
      <c r="F570" s="575" t="s">
        <v>319</v>
      </c>
      <c r="G570" s="575" t="s">
        <v>449</v>
      </c>
      <c r="H570" s="575" t="s">
        <v>325</v>
      </c>
      <c r="I570" s="601" t="s">
        <v>464</v>
      </c>
      <c r="J570" s="186"/>
      <c r="K570" s="186"/>
      <c r="L570" s="186"/>
      <c r="M570" s="186"/>
      <c r="N570" s="186"/>
      <c r="O570" s="186"/>
      <c r="P570" s="186"/>
      <c r="Q570" s="186"/>
      <c r="R570" s="186"/>
      <c r="S570" s="186"/>
      <c r="T570" s="186"/>
      <c r="U570" s="186"/>
    </row>
    <row r="571" spans="1:21" x14ac:dyDescent="0.25">
      <c r="A571" s="575" t="s">
        <v>448</v>
      </c>
      <c r="B571" s="643">
        <v>1.45</v>
      </c>
      <c r="C571" s="575"/>
      <c r="D571" s="575" t="s">
        <v>319</v>
      </c>
      <c r="E571" s="575" t="s">
        <v>319</v>
      </c>
      <c r="F571" s="575" t="s">
        <v>319</v>
      </c>
      <c r="G571" s="575" t="s">
        <v>449</v>
      </c>
      <c r="H571" s="575" t="s">
        <v>325</v>
      </c>
      <c r="I571" s="601" t="s">
        <v>465</v>
      </c>
      <c r="J571" s="186"/>
      <c r="K571" s="186"/>
      <c r="L571" s="186"/>
      <c r="M571" s="186"/>
      <c r="N571" s="186"/>
      <c r="O571" s="186"/>
      <c r="P571" s="186"/>
      <c r="Q571" s="186"/>
      <c r="R571" s="186"/>
      <c r="S571" s="186"/>
      <c r="T571" s="186"/>
      <c r="U571" s="186"/>
    </row>
    <row r="572" spans="1:21" x14ac:dyDescent="0.25">
      <c r="A572" s="575" t="s">
        <v>448</v>
      </c>
      <c r="B572" s="643">
        <v>1.45</v>
      </c>
      <c r="C572" s="575"/>
      <c r="D572" s="575" t="s">
        <v>319</v>
      </c>
      <c r="E572" s="575" t="s">
        <v>319</v>
      </c>
      <c r="F572" s="575" t="s">
        <v>319</v>
      </c>
      <c r="G572" s="575" t="s">
        <v>449</v>
      </c>
      <c r="H572" s="575" t="s">
        <v>325</v>
      </c>
      <c r="I572" s="601" t="s">
        <v>466</v>
      </c>
      <c r="J572" s="186"/>
      <c r="K572" s="186"/>
      <c r="L572" s="186"/>
      <c r="M572" s="186"/>
      <c r="N572" s="186"/>
      <c r="O572" s="186"/>
      <c r="P572" s="186"/>
      <c r="Q572" s="186"/>
      <c r="R572" s="186"/>
      <c r="S572" s="186"/>
      <c r="T572" s="186"/>
      <c r="U572" s="186"/>
    </row>
    <row r="573" spans="1:21" x14ac:dyDescent="0.25">
      <c r="A573" s="575" t="s">
        <v>448</v>
      </c>
      <c r="B573" s="643">
        <v>1.25</v>
      </c>
      <c r="C573" s="575"/>
      <c r="D573" s="575" t="s">
        <v>319</v>
      </c>
      <c r="E573" s="575" t="s">
        <v>319</v>
      </c>
      <c r="F573" s="575" t="s">
        <v>319</v>
      </c>
      <c r="G573" s="575" t="s">
        <v>449</v>
      </c>
      <c r="H573" s="575" t="s">
        <v>325</v>
      </c>
      <c r="I573" s="601" t="s">
        <v>467</v>
      </c>
      <c r="J573" s="186"/>
      <c r="K573" s="186"/>
      <c r="L573" s="186"/>
      <c r="M573" s="186"/>
      <c r="N573" s="186"/>
      <c r="O573" s="186"/>
      <c r="P573" s="186"/>
      <c r="Q573" s="186"/>
      <c r="R573" s="186"/>
      <c r="S573" s="186"/>
      <c r="T573" s="186"/>
      <c r="U573" s="186"/>
    </row>
    <row r="574" spans="1:21" x14ac:dyDescent="0.25">
      <c r="A574" s="575" t="s">
        <v>448</v>
      </c>
      <c r="B574" s="643">
        <v>1.25</v>
      </c>
      <c r="C574" s="575"/>
      <c r="D574" s="575" t="s">
        <v>319</v>
      </c>
      <c r="E574" s="575" t="s">
        <v>319</v>
      </c>
      <c r="F574" s="575" t="s">
        <v>319</v>
      </c>
      <c r="G574" s="575" t="s">
        <v>449</v>
      </c>
      <c r="H574" s="575" t="s">
        <v>325</v>
      </c>
      <c r="I574" s="601" t="s">
        <v>468</v>
      </c>
      <c r="J574" s="186"/>
      <c r="K574" s="186"/>
      <c r="L574" s="186"/>
      <c r="M574" s="186"/>
      <c r="N574" s="186"/>
      <c r="O574" s="186"/>
      <c r="P574" s="186"/>
      <c r="Q574" s="186"/>
      <c r="R574" s="186"/>
      <c r="S574" s="186"/>
      <c r="T574" s="186"/>
      <c r="U574" s="186"/>
    </row>
    <row r="575" spans="1:21" x14ac:dyDescent="0.25">
      <c r="A575" s="575" t="s">
        <v>448</v>
      </c>
      <c r="B575" s="643">
        <v>1.25</v>
      </c>
      <c r="C575" s="575"/>
      <c r="D575" s="575" t="s">
        <v>319</v>
      </c>
      <c r="E575" s="575" t="s">
        <v>319</v>
      </c>
      <c r="F575" s="575" t="s">
        <v>319</v>
      </c>
      <c r="G575" s="575" t="s">
        <v>449</v>
      </c>
      <c r="H575" s="575" t="s">
        <v>325</v>
      </c>
      <c r="I575" s="601" t="s">
        <v>469</v>
      </c>
      <c r="J575" s="186"/>
      <c r="K575" s="186"/>
      <c r="L575" s="186"/>
      <c r="M575" s="186"/>
      <c r="N575" s="186"/>
      <c r="O575" s="186"/>
      <c r="P575" s="186"/>
      <c r="Q575" s="186"/>
      <c r="R575" s="186"/>
      <c r="S575" s="186"/>
      <c r="T575" s="186"/>
      <c r="U575" s="186"/>
    </row>
    <row r="576" spans="1:21" x14ac:dyDescent="0.25">
      <c r="A576" s="575" t="s">
        <v>448</v>
      </c>
      <c r="B576" s="643">
        <v>1.25</v>
      </c>
      <c r="C576" s="575"/>
      <c r="D576" s="575" t="s">
        <v>319</v>
      </c>
      <c r="E576" s="575" t="s">
        <v>319</v>
      </c>
      <c r="F576" s="575" t="s">
        <v>319</v>
      </c>
      <c r="G576" s="575" t="s">
        <v>449</v>
      </c>
      <c r="H576" s="575" t="s">
        <v>325</v>
      </c>
      <c r="I576" s="601" t="s">
        <v>470</v>
      </c>
      <c r="J576" s="186"/>
      <c r="K576" s="186"/>
      <c r="L576" s="186"/>
      <c r="M576" s="186"/>
      <c r="N576" s="186"/>
      <c r="O576" s="186"/>
      <c r="P576" s="186"/>
      <c r="Q576" s="186"/>
      <c r="R576" s="186"/>
      <c r="S576" s="186"/>
      <c r="T576" s="186"/>
      <c r="U576" s="186"/>
    </row>
    <row r="577" spans="1:21" x14ac:dyDescent="0.25">
      <c r="A577" s="575" t="s">
        <v>448</v>
      </c>
      <c r="B577" s="643">
        <v>1.25</v>
      </c>
      <c r="C577" s="575"/>
      <c r="D577" s="575" t="s">
        <v>319</v>
      </c>
      <c r="E577" s="575" t="s">
        <v>319</v>
      </c>
      <c r="F577" s="575" t="s">
        <v>319</v>
      </c>
      <c r="G577" s="575" t="s">
        <v>449</v>
      </c>
      <c r="H577" s="575" t="s">
        <v>325</v>
      </c>
      <c r="I577" s="601" t="s">
        <v>471</v>
      </c>
      <c r="J577" s="186"/>
      <c r="K577" s="186"/>
      <c r="L577" s="186"/>
      <c r="M577" s="186"/>
      <c r="N577" s="186"/>
      <c r="O577" s="186"/>
      <c r="P577" s="186"/>
      <c r="Q577" s="186"/>
      <c r="R577" s="186"/>
      <c r="S577" s="186"/>
      <c r="T577" s="186"/>
      <c r="U577" s="186"/>
    </row>
    <row r="578" spans="1:21" x14ac:dyDescent="0.25">
      <c r="A578" s="575" t="s">
        <v>448</v>
      </c>
      <c r="B578" s="643">
        <v>1.125</v>
      </c>
      <c r="C578" s="575"/>
      <c r="D578" s="575" t="s">
        <v>319</v>
      </c>
      <c r="E578" s="575" t="s">
        <v>319</v>
      </c>
      <c r="F578" s="575" t="s">
        <v>319</v>
      </c>
      <c r="G578" s="575" t="s">
        <v>449</v>
      </c>
      <c r="H578" s="575" t="s">
        <v>325</v>
      </c>
      <c r="I578" s="601" t="s">
        <v>472</v>
      </c>
      <c r="J578" s="186"/>
      <c r="K578" s="186"/>
      <c r="L578" s="186"/>
      <c r="M578" s="186"/>
      <c r="N578" s="186"/>
      <c r="O578" s="186"/>
      <c r="P578" s="186"/>
      <c r="Q578" s="186"/>
      <c r="R578" s="186"/>
      <c r="S578" s="186"/>
      <c r="T578" s="186"/>
      <c r="U578" s="186"/>
    </row>
    <row r="579" spans="1:21" x14ac:dyDescent="0.25">
      <c r="A579" s="575" t="s">
        <v>448</v>
      </c>
      <c r="B579" s="643">
        <v>1.125</v>
      </c>
      <c r="C579" s="575"/>
      <c r="D579" s="575" t="s">
        <v>319</v>
      </c>
      <c r="E579" s="575" t="s">
        <v>319</v>
      </c>
      <c r="F579" s="575" t="s">
        <v>319</v>
      </c>
      <c r="G579" s="575" t="s">
        <v>449</v>
      </c>
      <c r="H579" s="575" t="s">
        <v>325</v>
      </c>
      <c r="I579" s="601" t="s">
        <v>473</v>
      </c>
      <c r="J579" s="186"/>
      <c r="K579" s="186"/>
      <c r="L579" s="186"/>
      <c r="M579" s="186"/>
      <c r="N579" s="186"/>
      <c r="O579" s="186"/>
      <c r="P579" s="186"/>
      <c r="Q579" s="186"/>
      <c r="R579" s="186"/>
      <c r="S579" s="186"/>
      <c r="T579" s="186"/>
      <c r="U579" s="186"/>
    </row>
    <row r="580" spans="1:21" x14ac:dyDescent="0.25">
      <c r="A580" s="575" t="s">
        <v>448</v>
      </c>
      <c r="B580" s="643">
        <v>1.125</v>
      </c>
      <c r="C580" s="575"/>
      <c r="D580" s="575" t="s">
        <v>319</v>
      </c>
      <c r="E580" s="575" t="s">
        <v>319</v>
      </c>
      <c r="F580" s="575" t="s">
        <v>319</v>
      </c>
      <c r="G580" s="575" t="s">
        <v>449</v>
      </c>
      <c r="H580" s="575" t="s">
        <v>325</v>
      </c>
      <c r="I580" s="601" t="s">
        <v>474</v>
      </c>
      <c r="J580" s="186"/>
      <c r="K580" s="186"/>
      <c r="L580" s="186"/>
      <c r="M580" s="186"/>
      <c r="N580" s="186"/>
      <c r="O580" s="186"/>
      <c r="P580" s="186"/>
      <c r="Q580" s="186"/>
      <c r="R580" s="186"/>
      <c r="S580" s="186"/>
      <c r="T580" s="186"/>
      <c r="U580" s="186"/>
    </row>
    <row r="581" spans="1:21" x14ac:dyDescent="0.25">
      <c r="A581" s="575" t="s">
        <v>448</v>
      </c>
      <c r="B581" s="643">
        <v>1.125</v>
      </c>
      <c r="C581" s="575"/>
      <c r="D581" s="575" t="s">
        <v>319</v>
      </c>
      <c r="E581" s="575" t="s">
        <v>319</v>
      </c>
      <c r="F581" s="575" t="s">
        <v>319</v>
      </c>
      <c r="G581" s="575" t="s">
        <v>449</v>
      </c>
      <c r="H581" s="575" t="s">
        <v>325</v>
      </c>
      <c r="I581" s="601" t="s">
        <v>475</v>
      </c>
      <c r="J581" s="186"/>
      <c r="K581" s="186"/>
      <c r="L581" s="186"/>
      <c r="M581" s="186"/>
      <c r="N581" s="186"/>
      <c r="O581" s="186"/>
      <c r="P581" s="186"/>
      <c r="Q581" s="186"/>
      <c r="R581" s="186"/>
      <c r="S581" s="186"/>
      <c r="T581" s="186"/>
      <c r="U581" s="186"/>
    </row>
    <row r="582" spans="1:21" x14ac:dyDescent="0.25">
      <c r="A582" s="575" t="s">
        <v>448</v>
      </c>
      <c r="B582" s="643">
        <v>1.125</v>
      </c>
      <c r="C582" s="575"/>
      <c r="D582" s="575" t="s">
        <v>319</v>
      </c>
      <c r="E582" s="575" t="s">
        <v>319</v>
      </c>
      <c r="F582" s="575" t="s">
        <v>319</v>
      </c>
      <c r="G582" s="575" t="s">
        <v>449</v>
      </c>
      <c r="H582" s="575" t="s">
        <v>325</v>
      </c>
      <c r="I582" s="601" t="s">
        <v>476</v>
      </c>
      <c r="J582" s="186"/>
      <c r="K582" s="186"/>
      <c r="L582" s="186"/>
      <c r="M582" s="186"/>
      <c r="N582" s="186"/>
      <c r="O582" s="186"/>
      <c r="P582" s="186"/>
      <c r="Q582" s="186"/>
      <c r="R582" s="186"/>
      <c r="S582" s="186"/>
      <c r="T582" s="186"/>
      <c r="U582" s="186"/>
    </row>
    <row r="583" spans="1:21" x14ac:dyDescent="0.25">
      <c r="A583" s="575" t="s">
        <v>448</v>
      </c>
      <c r="B583" s="643">
        <v>1.05</v>
      </c>
      <c r="C583" s="575"/>
      <c r="D583" s="575" t="s">
        <v>319</v>
      </c>
      <c r="E583" s="575" t="s">
        <v>319</v>
      </c>
      <c r="F583" s="575" t="s">
        <v>319</v>
      </c>
      <c r="G583" s="575" t="s">
        <v>449</v>
      </c>
      <c r="H583" s="575" t="s">
        <v>325</v>
      </c>
      <c r="I583" s="601" t="s">
        <v>477</v>
      </c>
      <c r="J583" s="186"/>
      <c r="K583" s="186"/>
      <c r="L583" s="186"/>
      <c r="M583" s="186"/>
      <c r="N583" s="186"/>
      <c r="O583" s="186"/>
      <c r="P583" s="186"/>
      <c r="Q583" s="186"/>
      <c r="R583" s="186"/>
      <c r="S583" s="186"/>
      <c r="T583" s="186"/>
      <c r="U583" s="186"/>
    </row>
    <row r="584" spans="1:21" x14ac:dyDescent="0.25">
      <c r="A584" s="575" t="s">
        <v>448</v>
      </c>
      <c r="B584" s="643">
        <v>1.05</v>
      </c>
      <c r="C584" s="575"/>
      <c r="D584" s="575" t="s">
        <v>319</v>
      </c>
      <c r="E584" s="575" t="s">
        <v>319</v>
      </c>
      <c r="F584" s="575" t="s">
        <v>319</v>
      </c>
      <c r="G584" s="575" t="s">
        <v>449</v>
      </c>
      <c r="H584" s="575" t="s">
        <v>325</v>
      </c>
      <c r="I584" s="601" t="s">
        <v>478</v>
      </c>
      <c r="J584" s="186"/>
      <c r="K584" s="186"/>
      <c r="L584" s="186"/>
      <c r="M584" s="186"/>
      <c r="N584" s="186"/>
      <c r="O584" s="186"/>
      <c r="P584" s="186"/>
      <c r="Q584" s="186"/>
      <c r="R584" s="186"/>
      <c r="S584" s="186"/>
      <c r="T584" s="186"/>
      <c r="U584" s="186"/>
    </row>
    <row r="585" spans="1:21" x14ac:dyDescent="0.25">
      <c r="A585" s="575" t="s">
        <v>448</v>
      </c>
      <c r="B585" s="643">
        <v>1.05</v>
      </c>
      <c r="C585" s="575"/>
      <c r="D585" s="575" t="s">
        <v>319</v>
      </c>
      <c r="E585" s="575" t="s">
        <v>319</v>
      </c>
      <c r="F585" s="575" t="s">
        <v>319</v>
      </c>
      <c r="G585" s="575" t="s">
        <v>449</v>
      </c>
      <c r="H585" s="575" t="s">
        <v>325</v>
      </c>
      <c r="I585" s="601" t="s">
        <v>479</v>
      </c>
      <c r="J585" s="186"/>
      <c r="K585" s="186"/>
      <c r="L585" s="186"/>
      <c r="M585" s="186"/>
      <c r="N585" s="186"/>
      <c r="O585" s="186"/>
      <c r="P585" s="186"/>
      <c r="Q585" s="186"/>
      <c r="R585" s="186"/>
      <c r="S585" s="186"/>
      <c r="T585" s="186"/>
      <c r="U585" s="186"/>
    </row>
    <row r="586" spans="1:21" x14ac:dyDescent="0.25">
      <c r="A586" s="575" t="s">
        <v>448</v>
      </c>
      <c r="B586" s="643">
        <v>1.05</v>
      </c>
      <c r="C586" s="575"/>
      <c r="D586" s="575" t="s">
        <v>319</v>
      </c>
      <c r="E586" s="575" t="s">
        <v>319</v>
      </c>
      <c r="F586" s="575" t="s">
        <v>319</v>
      </c>
      <c r="G586" s="575" t="s">
        <v>449</v>
      </c>
      <c r="H586" s="575" t="s">
        <v>325</v>
      </c>
      <c r="I586" s="601" t="s">
        <v>480</v>
      </c>
      <c r="J586" s="186"/>
      <c r="K586" s="186"/>
      <c r="L586" s="186"/>
      <c r="M586" s="186"/>
      <c r="N586" s="186"/>
      <c r="O586" s="186"/>
      <c r="P586" s="186"/>
      <c r="Q586" s="186"/>
      <c r="R586" s="186"/>
      <c r="S586" s="186"/>
      <c r="T586" s="186"/>
      <c r="U586" s="186"/>
    </row>
    <row r="587" spans="1:21" x14ac:dyDescent="0.25">
      <c r="A587" s="575" t="s">
        <v>448</v>
      </c>
      <c r="B587" s="643">
        <v>1.05</v>
      </c>
      <c r="C587" s="575"/>
      <c r="D587" s="575" t="s">
        <v>319</v>
      </c>
      <c r="E587" s="575" t="s">
        <v>319</v>
      </c>
      <c r="F587" s="575" t="s">
        <v>319</v>
      </c>
      <c r="G587" s="575" t="s">
        <v>449</v>
      </c>
      <c r="H587" s="575" t="s">
        <v>325</v>
      </c>
      <c r="I587" s="601" t="s">
        <v>481</v>
      </c>
      <c r="J587" s="186"/>
      <c r="K587" s="186"/>
      <c r="L587" s="186"/>
      <c r="M587" s="186"/>
      <c r="N587" s="186"/>
      <c r="O587" s="186"/>
      <c r="P587" s="186"/>
      <c r="Q587" s="186"/>
      <c r="R587" s="186"/>
      <c r="S587" s="186"/>
      <c r="T587" s="186"/>
      <c r="U587" s="186"/>
    </row>
    <row r="588" spans="1:21" x14ac:dyDescent="0.25">
      <c r="A588" s="575" t="s">
        <v>448</v>
      </c>
      <c r="B588" s="643">
        <v>1</v>
      </c>
      <c r="C588" s="575"/>
      <c r="D588" s="575" t="s">
        <v>319</v>
      </c>
      <c r="E588" s="575" t="s">
        <v>319</v>
      </c>
      <c r="F588" s="575" t="s">
        <v>319</v>
      </c>
      <c r="G588" s="575" t="s">
        <v>449</v>
      </c>
      <c r="H588" s="575" t="s">
        <v>325</v>
      </c>
      <c r="I588" s="601" t="s">
        <v>482</v>
      </c>
      <c r="J588" s="186"/>
      <c r="K588" s="186"/>
      <c r="L588" s="186"/>
      <c r="M588" s="186"/>
      <c r="N588" s="186"/>
      <c r="O588" s="186"/>
      <c r="P588" s="186"/>
      <c r="Q588" s="186"/>
      <c r="R588" s="186"/>
      <c r="S588" s="186"/>
      <c r="T588" s="186"/>
      <c r="U588" s="186"/>
    </row>
    <row r="589" spans="1:21" x14ac:dyDescent="0.25">
      <c r="A589" s="575" t="s">
        <v>448</v>
      </c>
      <c r="B589" s="643">
        <v>1</v>
      </c>
      <c r="C589" s="575"/>
      <c r="D589" s="575" t="s">
        <v>319</v>
      </c>
      <c r="E589" s="575" t="s">
        <v>319</v>
      </c>
      <c r="F589" s="575" t="s">
        <v>319</v>
      </c>
      <c r="G589" s="575" t="s">
        <v>449</v>
      </c>
      <c r="H589" s="575" t="s">
        <v>325</v>
      </c>
      <c r="I589" s="601" t="s">
        <v>483</v>
      </c>
      <c r="J589" s="186"/>
      <c r="K589" s="186"/>
      <c r="L589" s="186"/>
      <c r="M589" s="186"/>
      <c r="N589" s="186"/>
      <c r="O589" s="186"/>
      <c r="P589" s="186"/>
      <c r="Q589" s="186"/>
      <c r="R589" s="186"/>
      <c r="S589" s="186"/>
      <c r="T589" s="186"/>
      <c r="U589" s="186"/>
    </row>
    <row r="590" spans="1:21" x14ac:dyDescent="0.25">
      <c r="A590" s="575" t="s">
        <v>448</v>
      </c>
      <c r="B590" s="643">
        <v>1</v>
      </c>
      <c r="C590" s="575"/>
      <c r="D590" s="575" t="s">
        <v>319</v>
      </c>
      <c r="E590" s="575" t="s">
        <v>319</v>
      </c>
      <c r="F590" s="575" t="s">
        <v>319</v>
      </c>
      <c r="G590" s="575" t="s">
        <v>449</v>
      </c>
      <c r="H590" s="575" t="s">
        <v>325</v>
      </c>
      <c r="I590" s="601" t="s">
        <v>484</v>
      </c>
      <c r="J590" s="186"/>
      <c r="K590" s="186"/>
      <c r="L590" s="186"/>
      <c r="M590" s="186"/>
      <c r="N590" s="186"/>
      <c r="O590" s="186"/>
      <c r="P590" s="186"/>
      <c r="Q590" s="186"/>
      <c r="R590" s="186"/>
      <c r="S590" s="186"/>
      <c r="T590" s="186"/>
      <c r="U590" s="186"/>
    </row>
    <row r="591" spans="1:21" x14ac:dyDescent="0.25">
      <c r="A591" s="575" t="s">
        <v>448</v>
      </c>
      <c r="B591" s="643">
        <v>1</v>
      </c>
      <c r="C591" s="575"/>
      <c r="D591" s="575" t="s">
        <v>319</v>
      </c>
      <c r="E591" s="575" t="s">
        <v>319</v>
      </c>
      <c r="F591" s="575" t="s">
        <v>319</v>
      </c>
      <c r="G591" s="575" t="s">
        <v>449</v>
      </c>
      <c r="H591" s="575" t="s">
        <v>325</v>
      </c>
      <c r="I591" s="601" t="s">
        <v>485</v>
      </c>
      <c r="J591" s="186"/>
      <c r="K591" s="186"/>
      <c r="L591" s="186"/>
      <c r="M591" s="186"/>
      <c r="N591" s="186"/>
      <c r="O591" s="186"/>
      <c r="P591" s="186"/>
      <c r="Q591" s="186"/>
      <c r="R591" s="186"/>
      <c r="S591" s="186"/>
      <c r="T591" s="186"/>
      <c r="U591" s="186"/>
    </row>
    <row r="592" spans="1:21" x14ac:dyDescent="0.25">
      <c r="A592" s="575" t="s">
        <v>448</v>
      </c>
      <c r="B592" s="643">
        <v>1</v>
      </c>
      <c r="C592" s="575"/>
      <c r="D592" s="575" t="s">
        <v>319</v>
      </c>
      <c r="E592" s="575" t="s">
        <v>319</v>
      </c>
      <c r="F592" s="575" t="s">
        <v>319</v>
      </c>
      <c r="G592" s="575" t="s">
        <v>449</v>
      </c>
      <c r="H592" s="575" t="s">
        <v>325</v>
      </c>
      <c r="I592" s="601" t="s">
        <v>486</v>
      </c>
      <c r="J592" s="186"/>
      <c r="K592" s="186"/>
      <c r="L592" s="186"/>
      <c r="M592" s="186"/>
      <c r="N592" s="186"/>
      <c r="O592" s="186"/>
      <c r="P592" s="186"/>
      <c r="Q592" s="186"/>
      <c r="R592" s="186"/>
      <c r="S592" s="186"/>
      <c r="T592" s="186"/>
      <c r="U592" s="186"/>
    </row>
    <row r="593" spans="1:21" x14ac:dyDescent="0.25">
      <c r="A593" s="575" t="s">
        <v>448</v>
      </c>
      <c r="B593" s="643">
        <v>1</v>
      </c>
      <c r="C593" s="575"/>
      <c r="D593" s="575" t="s">
        <v>319</v>
      </c>
      <c r="E593" s="575" t="s">
        <v>319</v>
      </c>
      <c r="F593" s="575" t="s">
        <v>319</v>
      </c>
      <c r="G593" s="575" t="s">
        <v>449</v>
      </c>
      <c r="H593" s="575" t="s">
        <v>325</v>
      </c>
      <c r="I593" s="601" t="s">
        <v>487</v>
      </c>
      <c r="J593" s="186"/>
      <c r="K593" s="186"/>
      <c r="L593" s="186"/>
      <c r="M593" s="186"/>
      <c r="N593" s="186"/>
      <c r="O593" s="186"/>
      <c r="P593" s="186"/>
      <c r="Q593" s="186"/>
      <c r="R593" s="186"/>
      <c r="S593" s="186"/>
      <c r="T593" s="186"/>
      <c r="U593" s="186"/>
    </row>
    <row r="594" spans="1:21" x14ac:dyDescent="0.25">
      <c r="A594" s="575" t="s">
        <v>448</v>
      </c>
      <c r="B594" s="643">
        <v>1</v>
      </c>
      <c r="C594" s="575"/>
      <c r="D594" s="575" t="s">
        <v>319</v>
      </c>
      <c r="E594" s="575" t="s">
        <v>319</v>
      </c>
      <c r="F594" s="575" t="s">
        <v>319</v>
      </c>
      <c r="G594" s="575" t="s">
        <v>449</v>
      </c>
      <c r="H594" s="575" t="s">
        <v>325</v>
      </c>
      <c r="I594" s="601" t="s">
        <v>488</v>
      </c>
      <c r="J594" s="186"/>
      <c r="K594" s="186"/>
      <c r="L594" s="186"/>
      <c r="M594" s="186"/>
      <c r="N594" s="186"/>
      <c r="O594" s="186"/>
      <c r="P594" s="186"/>
      <c r="Q594" s="186"/>
      <c r="R594" s="186"/>
      <c r="S594" s="186"/>
      <c r="T594" s="186"/>
      <c r="U594" s="186"/>
    </row>
    <row r="595" spans="1:21" x14ac:dyDescent="0.25">
      <c r="A595" s="575" t="s">
        <v>448</v>
      </c>
      <c r="B595" s="643">
        <v>1</v>
      </c>
      <c r="C595" s="575"/>
      <c r="D595" s="575" t="s">
        <v>319</v>
      </c>
      <c r="E595" s="575" t="s">
        <v>319</v>
      </c>
      <c r="F595" s="575" t="s">
        <v>319</v>
      </c>
      <c r="G595" s="575" t="s">
        <v>449</v>
      </c>
      <c r="H595" s="575" t="s">
        <v>325</v>
      </c>
      <c r="I595" s="601" t="s">
        <v>489</v>
      </c>
      <c r="J595" s="186"/>
      <c r="K595" s="186"/>
      <c r="L595" s="186"/>
      <c r="M595" s="186"/>
      <c r="N595" s="186"/>
      <c r="O595" s="186"/>
      <c r="P595" s="186"/>
      <c r="Q595" s="186"/>
      <c r="R595" s="186"/>
      <c r="S595" s="186"/>
      <c r="T595" s="186"/>
      <c r="U595" s="186"/>
    </row>
    <row r="596" spans="1:21" x14ac:dyDescent="0.25">
      <c r="A596" s="575" t="s">
        <v>448</v>
      </c>
      <c r="B596" s="643">
        <v>1</v>
      </c>
      <c r="C596" s="575"/>
      <c r="D596" s="575" t="s">
        <v>319</v>
      </c>
      <c r="E596" s="575" t="s">
        <v>319</v>
      </c>
      <c r="F596" s="575" t="s">
        <v>319</v>
      </c>
      <c r="G596" s="575" t="s">
        <v>449</v>
      </c>
      <c r="H596" s="575" t="s">
        <v>325</v>
      </c>
      <c r="I596" s="601" t="s">
        <v>490</v>
      </c>
      <c r="J596" s="186"/>
      <c r="K596" s="186"/>
      <c r="L596" s="186"/>
      <c r="M596" s="186"/>
      <c r="N596" s="186"/>
      <c r="O596" s="186"/>
      <c r="P596" s="186"/>
      <c r="Q596" s="186"/>
      <c r="R596" s="186"/>
      <c r="S596" s="186"/>
      <c r="T596" s="186"/>
      <c r="U596" s="186"/>
    </row>
    <row r="597" spans="1:21" x14ac:dyDescent="0.25">
      <c r="A597" s="575" t="s">
        <v>448</v>
      </c>
      <c r="B597" s="643">
        <v>1</v>
      </c>
      <c r="C597" s="575"/>
      <c r="D597" s="575" t="s">
        <v>319</v>
      </c>
      <c r="E597" s="575" t="s">
        <v>319</v>
      </c>
      <c r="F597" s="575" t="s">
        <v>319</v>
      </c>
      <c r="G597" s="575" t="s">
        <v>449</v>
      </c>
      <c r="H597" s="575" t="s">
        <v>325</v>
      </c>
      <c r="I597" s="601" t="s">
        <v>491</v>
      </c>
      <c r="J597" s="186"/>
      <c r="K597" s="186"/>
      <c r="L597" s="186"/>
      <c r="M597" s="186"/>
      <c r="N597" s="186"/>
      <c r="O597" s="186"/>
      <c r="P597" s="186"/>
      <c r="Q597" s="186"/>
      <c r="R597" s="186"/>
      <c r="S597" s="186"/>
      <c r="T597" s="186"/>
      <c r="U597" s="186"/>
    </row>
    <row r="598" spans="1:21" x14ac:dyDescent="0.25">
      <c r="A598" s="575" t="s">
        <v>448</v>
      </c>
      <c r="B598" s="643">
        <v>1</v>
      </c>
      <c r="C598" s="575"/>
      <c r="D598" s="575" t="s">
        <v>319</v>
      </c>
      <c r="E598" s="575" t="s">
        <v>319</v>
      </c>
      <c r="F598" s="575" t="s">
        <v>319</v>
      </c>
      <c r="G598" s="575" t="s">
        <v>449</v>
      </c>
      <c r="H598" s="575" t="s">
        <v>325</v>
      </c>
      <c r="I598" s="601" t="s">
        <v>492</v>
      </c>
      <c r="J598" s="186"/>
      <c r="K598" s="186"/>
      <c r="L598" s="186"/>
      <c r="M598" s="186"/>
      <c r="N598" s="186"/>
      <c r="O598" s="186"/>
      <c r="P598" s="186"/>
      <c r="Q598" s="186"/>
      <c r="R598" s="186"/>
      <c r="S598" s="186"/>
      <c r="T598" s="186"/>
      <c r="U598" s="186"/>
    </row>
    <row r="599" spans="1:21" x14ac:dyDescent="0.25">
      <c r="A599" s="575" t="s">
        <v>448</v>
      </c>
      <c r="B599" s="643">
        <v>1</v>
      </c>
      <c r="C599" s="575"/>
      <c r="D599" s="575" t="s">
        <v>319</v>
      </c>
      <c r="E599" s="575" t="s">
        <v>319</v>
      </c>
      <c r="F599" s="575" t="s">
        <v>319</v>
      </c>
      <c r="G599" s="575" t="s">
        <v>449</v>
      </c>
      <c r="H599" s="575" t="s">
        <v>325</v>
      </c>
      <c r="I599" s="601" t="s">
        <v>493</v>
      </c>
      <c r="J599" s="186"/>
      <c r="K599" s="186"/>
      <c r="L599" s="186"/>
      <c r="M599" s="186"/>
      <c r="N599" s="186"/>
      <c r="O599" s="186"/>
      <c r="P599" s="186"/>
      <c r="Q599" s="186"/>
      <c r="R599" s="186"/>
      <c r="S599" s="186"/>
      <c r="T599" s="186"/>
      <c r="U599" s="186"/>
    </row>
    <row r="600" spans="1:21" x14ac:dyDescent="0.25">
      <c r="A600" s="575" t="s">
        <v>448</v>
      </c>
      <c r="B600" s="643">
        <v>1</v>
      </c>
      <c r="C600" s="575"/>
      <c r="D600" s="575" t="s">
        <v>319</v>
      </c>
      <c r="E600" s="575" t="s">
        <v>319</v>
      </c>
      <c r="F600" s="575" t="s">
        <v>319</v>
      </c>
      <c r="G600" s="575" t="s">
        <v>449</v>
      </c>
      <c r="H600" s="575" t="s">
        <v>325</v>
      </c>
      <c r="I600" s="601" t="s">
        <v>494</v>
      </c>
      <c r="J600" s="186"/>
      <c r="K600" s="186"/>
      <c r="L600" s="186"/>
      <c r="M600" s="186"/>
      <c r="N600" s="186"/>
      <c r="O600" s="186"/>
      <c r="P600" s="186"/>
      <c r="Q600" s="186"/>
      <c r="R600" s="186"/>
      <c r="S600" s="186"/>
      <c r="T600" s="186"/>
      <c r="U600" s="186"/>
    </row>
    <row r="601" spans="1:21" x14ac:dyDescent="0.25">
      <c r="A601" s="575" t="s">
        <v>448</v>
      </c>
      <c r="B601" s="643">
        <v>1</v>
      </c>
      <c r="C601" s="575"/>
      <c r="D601" s="575" t="s">
        <v>319</v>
      </c>
      <c r="E601" s="575" t="s">
        <v>319</v>
      </c>
      <c r="F601" s="575" t="s">
        <v>319</v>
      </c>
      <c r="G601" s="575" t="s">
        <v>449</v>
      </c>
      <c r="H601" s="575" t="s">
        <v>325</v>
      </c>
      <c r="I601" s="601" t="s">
        <v>495</v>
      </c>
      <c r="J601" s="186"/>
      <c r="K601" s="186"/>
      <c r="L601" s="186"/>
      <c r="M601" s="186"/>
      <c r="N601" s="186"/>
      <c r="O601" s="186"/>
      <c r="P601" s="186"/>
      <c r="Q601" s="186"/>
      <c r="R601" s="186"/>
      <c r="S601" s="186"/>
      <c r="T601" s="186"/>
      <c r="U601" s="186"/>
    </row>
    <row r="602" spans="1:21" x14ac:dyDescent="0.25">
      <c r="A602" s="575" t="s">
        <v>448</v>
      </c>
      <c r="B602" s="643">
        <v>1</v>
      </c>
      <c r="C602" s="575"/>
      <c r="D602" s="575" t="s">
        <v>319</v>
      </c>
      <c r="E602" s="575" t="s">
        <v>319</v>
      </c>
      <c r="F602" s="575" t="s">
        <v>319</v>
      </c>
      <c r="G602" s="575" t="s">
        <v>449</v>
      </c>
      <c r="H602" s="575" t="s">
        <v>325</v>
      </c>
      <c r="I602" s="601" t="s">
        <v>496</v>
      </c>
      <c r="J602" s="186"/>
      <c r="K602" s="186"/>
      <c r="L602" s="186"/>
      <c r="M602" s="186"/>
      <c r="N602" s="186"/>
      <c r="O602" s="186"/>
      <c r="P602" s="186"/>
      <c r="Q602" s="186"/>
      <c r="R602" s="186"/>
      <c r="S602" s="186"/>
      <c r="T602" s="186"/>
      <c r="U602" s="186"/>
    </row>
    <row r="603" spans="1:21" x14ac:dyDescent="0.25">
      <c r="A603" s="575" t="s">
        <v>448</v>
      </c>
      <c r="B603" s="643">
        <v>1</v>
      </c>
      <c r="C603" s="575"/>
      <c r="D603" s="575" t="s">
        <v>319</v>
      </c>
      <c r="E603" s="575" t="s">
        <v>319</v>
      </c>
      <c r="F603" s="575" t="s">
        <v>319</v>
      </c>
      <c r="G603" s="575" t="s">
        <v>449</v>
      </c>
      <c r="H603" s="575" t="s">
        <v>325</v>
      </c>
      <c r="I603" s="601" t="s">
        <v>497</v>
      </c>
      <c r="J603" s="186"/>
      <c r="K603" s="186"/>
      <c r="L603" s="186"/>
      <c r="M603" s="186"/>
      <c r="N603" s="186"/>
      <c r="O603" s="186"/>
      <c r="P603" s="186"/>
      <c r="Q603" s="186"/>
      <c r="R603" s="186"/>
      <c r="S603" s="186"/>
      <c r="T603" s="186"/>
      <c r="U603" s="186"/>
    </row>
    <row r="604" spans="1:21" x14ac:dyDescent="0.25">
      <c r="A604" s="575" t="s">
        <v>448</v>
      </c>
      <c r="B604" s="643">
        <v>1</v>
      </c>
      <c r="C604" s="575"/>
      <c r="D604" s="575" t="s">
        <v>319</v>
      </c>
      <c r="E604" s="575" t="s">
        <v>319</v>
      </c>
      <c r="F604" s="575" t="s">
        <v>319</v>
      </c>
      <c r="G604" s="575" t="s">
        <v>449</v>
      </c>
      <c r="H604" s="575" t="s">
        <v>325</v>
      </c>
      <c r="I604" s="601" t="s">
        <v>498</v>
      </c>
      <c r="J604" s="186"/>
      <c r="K604" s="186"/>
      <c r="L604" s="186"/>
      <c r="M604" s="186"/>
      <c r="N604" s="186"/>
      <c r="O604" s="186"/>
      <c r="P604" s="186"/>
      <c r="Q604" s="186"/>
      <c r="R604" s="186"/>
      <c r="S604" s="186"/>
      <c r="T604" s="186"/>
      <c r="U604" s="186"/>
    </row>
    <row r="605" spans="1:21" x14ac:dyDescent="0.25">
      <c r="A605" s="575" t="s">
        <v>448</v>
      </c>
      <c r="B605" s="643">
        <v>1</v>
      </c>
      <c r="C605" s="575"/>
      <c r="D605" s="575" t="s">
        <v>319</v>
      </c>
      <c r="E605" s="575" t="s">
        <v>319</v>
      </c>
      <c r="F605" s="575" t="s">
        <v>319</v>
      </c>
      <c r="G605" s="575" t="s">
        <v>449</v>
      </c>
      <c r="H605" s="575" t="s">
        <v>325</v>
      </c>
      <c r="I605" s="601" t="s">
        <v>499</v>
      </c>
      <c r="J605" s="186"/>
      <c r="K605" s="186"/>
      <c r="L605" s="186"/>
      <c r="M605" s="186"/>
      <c r="N605" s="186"/>
      <c r="O605" s="186"/>
      <c r="P605" s="186"/>
      <c r="Q605" s="186"/>
      <c r="R605" s="186"/>
      <c r="S605" s="186"/>
      <c r="T605" s="186"/>
      <c r="U605" s="186"/>
    </row>
    <row r="606" spans="1:21" x14ac:dyDescent="0.25">
      <c r="A606" s="575" t="s">
        <v>448</v>
      </c>
      <c r="B606" s="643">
        <v>1</v>
      </c>
      <c r="C606" s="575"/>
      <c r="D606" s="575" t="s">
        <v>319</v>
      </c>
      <c r="E606" s="575" t="s">
        <v>319</v>
      </c>
      <c r="F606" s="575" t="s">
        <v>319</v>
      </c>
      <c r="G606" s="575" t="s">
        <v>449</v>
      </c>
      <c r="H606" s="575" t="s">
        <v>325</v>
      </c>
      <c r="I606" s="601" t="s">
        <v>500</v>
      </c>
      <c r="J606" s="186"/>
      <c r="K606" s="186"/>
      <c r="L606" s="186"/>
      <c r="M606" s="186"/>
      <c r="N606" s="186"/>
      <c r="O606" s="186"/>
      <c r="P606" s="186"/>
      <c r="Q606" s="186"/>
      <c r="R606" s="186"/>
      <c r="S606" s="186"/>
      <c r="T606" s="186"/>
      <c r="U606" s="186"/>
    </row>
    <row r="607" spans="1:21" x14ac:dyDescent="0.25">
      <c r="A607" s="575" t="s">
        <v>448</v>
      </c>
      <c r="B607" s="643">
        <v>1</v>
      </c>
      <c r="C607" s="575"/>
      <c r="D607" s="575" t="s">
        <v>319</v>
      </c>
      <c r="E607" s="575" t="s">
        <v>319</v>
      </c>
      <c r="F607" s="575" t="s">
        <v>319</v>
      </c>
      <c r="G607" s="575" t="s">
        <v>449</v>
      </c>
      <c r="H607" s="575" t="s">
        <v>325</v>
      </c>
      <c r="I607" s="601" t="s">
        <v>501</v>
      </c>
      <c r="J607" s="186"/>
      <c r="K607" s="186"/>
      <c r="L607" s="186"/>
      <c r="M607" s="186"/>
      <c r="N607" s="186"/>
      <c r="O607" s="186"/>
      <c r="P607" s="186"/>
      <c r="Q607" s="186"/>
      <c r="R607" s="186"/>
      <c r="S607" s="186"/>
      <c r="T607" s="186"/>
      <c r="U607" s="186"/>
    </row>
    <row r="608" spans="1:21" x14ac:dyDescent="0.25">
      <c r="A608" s="575" t="s">
        <v>448</v>
      </c>
      <c r="B608" s="643">
        <v>1</v>
      </c>
      <c r="C608" s="575"/>
      <c r="D608" s="575" t="s">
        <v>319</v>
      </c>
      <c r="E608" s="575" t="s">
        <v>319</v>
      </c>
      <c r="F608" s="575" t="s">
        <v>319</v>
      </c>
      <c r="G608" s="575" t="s">
        <v>449</v>
      </c>
      <c r="H608" s="575" t="s">
        <v>325</v>
      </c>
      <c r="I608" s="601" t="s">
        <v>502</v>
      </c>
      <c r="J608" s="186"/>
      <c r="K608" s="186"/>
      <c r="L608" s="186"/>
      <c r="M608" s="186"/>
      <c r="N608" s="186"/>
      <c r="O608" s="186"/>
      <c r="P608" s="186"/>
      <c r="Q608" s="186"/>
      <c r="R608" s="186"/>
      <c r="S608" s="186"/>
      <c r="T608" s="186"/>
      <c r="U608" s="186"/>
    </row>
    <row r="609" spans="1:21" x14ac:dyDescent="0.25">
      <c r="A609" s="575" t="s">
        <v>448</v>
      </c>
      <c r="B609" s="643">
        <v>1</v>
      </c>
      <c r="C609" s="575"/>
      <c r="D609" s="575" t="s">
        <v>319</v>
      </c>
      <c r="E609" s="575" t="s">
        <v>319</v>
      </c>
      <c r="F609" s="575" t="s">
        <v>319</v>
      </c>
      <c r="G609" s="575" t="s">
        <v>449</v>
      </c>
      <c r="H609" s="575" t="s">
        <v>325</v>
      </c>
      <c r="I609" s="601" t="s">
        <v>503</v>
      </c>
      <c r="J609" s="186"/>
      <c r="K609" s="186"/>
      <c r="L609" s="186"/>
      <c r="M609" s="186"/>
      <c r="N609" s="186"/>
      <c r="O609" s="186"/>
      <c r="P609" s="186"/>
      <c r="Q609" s="186"/>
      <c r="R609" s="186"/>
      <c r="S609" s="186"/>
      <c r="T609" s="186"/>
      <c r="U609" s="186"/>
    </row>
    <row r="610" spans="1:21" x14ac:dyDescent="0.25">
      <c r="A610" s="575" t="s">
        <v>448</v>
      </c>
      <c r="B610" s="643">
        <v>1</v>
      </c>
      <c r="C610" s="575"/>
      <c r="D610" s="575" t="s">
        <v>319</v>
      </c>
      <c r="E610" s="575" t="s">
        <v>319</v>
      </c>
      <c r="F610" s="575" t="s">
        <v>319</v>
      </c>
      <c r="G610" s="575" t="s">
        <v>449</v>
      </c>
      <c r="H610" s="575" t="s">
        <v>325</v>
      </c>
      <c r="I610" s="601" t="s">
        <v>504</v>
      </c>
      <c r="J610" s="186"/>
      <c r="K610" s="186"/>
      <c r="L610" s="186"/>
      <c r="M610" s="186"/>
      <c r="N610" s="186"/>
      <c r="O610" s="186"/>
      <c r="P610" s="186"/>
      <c r="Q610" s="186"/>
      <c r="R610" s="186"/>
      <c r="S610" s="186"/>
      <c r="T610" s="186"/>
      <c r="U610" s="186"/>
    </row>
    <row r="611" spans="1:21" x14ac:dyDescent="0.25">
      <c r="A611" s="186" t="s">
        <v>505</v>
      </c>
      <c r="B611" s="637">
        <v>2</v>
      </c>
      <c r="C611" s="186"/>
      <c r="D611" s="186" t="s">
        <v>319</v>
      </c>
      <c r="E611" s="186" t="s">
        <v>319</v>
      </c>
      <c r="F611" s="186" t="s">
        <v>319</v>
      </c>
      <c r="G611" s="186" t="s">
        <v>505</v>
      </c>
      <c r="H611" s="186" t="s">
        <v>322</v>
      </c>
      <c r="I611" s="186" t="s">
        <v>868</v>
      </c>
      <c r="J611" s="186"/>
      <c r="K611" s="186"/>
      <c r="L611" s="186"/>
      <c r="M611" s="186"/>
      <c r="N611" s="186"/>
      <c r="O611" s="186"/>
      <c r="P611" s="186"/>
      <c r="Q611" s="186"/>
      <c r="R611" s="186"/>
      <c r="S611" s="186"/>
      <c r="T611" s="186"/>
      <c r="U611" s="186"/>
    </row>
    <row r="612" spans="1:21" x14ac:dyDescent="0.25">
      <c r="A612" s="186" t="s">
        <v>505</v>
      </c>
      <c r="B612" s="637">
        <v>2</v>
      </c>
      <c r="C612" s="186"/>
      <c r="D612" s="186" t="s">
        <v>319</v>
      </c>
      <c r="E612" s="186" t="s">
        <v>319</v>
      </c>
      <c r="F612" s="186" t="s">
        <v>319</v>
      </c>
      <c r="G612" s="186" t="s">
        <v>505</v>
      </c>
      <c r="H612" s="186" t="s">
        <v>322</v>
      </c>
      <c r="I612" s="186" t="s">
        <v>507</v>
      </c>
      <c r="J612" s="186"/>
      <c r="K612" s="186"/>
      <c r="L612" s="186"/>
      <c r="M612" s="186"/>
      <c r="N612" s="186"/>
      <c r="O612" s="186"/>
      <c r="P612" s="186"/>
      <c r="Q612" s="186"/>
      <c r="R612" s="186"/>
      <c r="S612" s="186"/>
      <c r="T612" s="186"/>
      <c r="U612" s="186"/>
    </row>
    <row r="613" spans="1:21" x14ac:dyDescent="0.25">
      <c r="A613" s="638" t="s">
        <v>505</v>
      </c>
      <c r="B613" s="637">
        <v>1</v>
      </c>
      <c r="C613" s="638"/>
      <c r="D613" s="638" t="s">
        <v>319</v>
      </c>
      <c r="E613" s="638" t="s">
        <v>319</v>
      </c>
      <c r="F613" s="638" t="s">
        <v>319</v>
      </c>
      <c r="G613" s="638" t="s">
        <v>505</v>
      </c>
      <c r="H613" s="638" t="s">
        <v>322</v>
      </c>
      <c r="I613" s="601" t="s">
        <v>509</v>
      </c>
      <c r="J613" s="186"/>
      <c r="K613" s="186"/>
      <c r="L613" s="186"/>
      <c r="M613" s="186"/>
      <c r="N613" s="186"/>
      <c r="O613" s="186"/>
      <c r="P613" s="186"/>
      <c r="Q613" s="186"/>
      <c r="R613" s="186"/>
      <c r="S613" s="186"/>
      <c r="T613" s="186"/>
      <c r="U613" s="186"/>
    </row>
    <row r="614" spans="1:21" x14ac:dyDescent="0.25">
      <c r="A614" s="186" t="s">
        <v>505</v>
      </c>
      <c r="B614" s="637">
        <v>2</v>
      </c>
      <c r="C614" s="186"/>
      <c r="D614" s="186" t="s">
        <v>319</v>
      </c>
      <c r="E614" s="186" t="s">
        <v>319</v>
      </c>
      <c r="F614" s="186" t="s">
        <v>319</v>
      </c>
      <c r="G614" s="186" t="s">
        <v>505</v>
      </c>
      <c r="H614" s="186" t="s">
        <v>322</v>
      </c>
      <c r="I614" s="186" t="s">
        <v>508</v>
      </c>
      <c r="J614" s="186"/>
      <c r="K614" s="186"/>
      <c r="L614" s="186"/>
      <c r="M614" s="186"/>
      <c r="N614" s="186"/>
      <c r="O614" s="186"/>
      <c r="P614" s="186"/>
      <c r="Q614" s="186"/>
      <c r="R614" s="186"/>
      <c r="S614" s="186"/>
      <c r="T614" s="186"/>
      <c r="U614" s="186"/>
    </row>
    <row r="615" spans="1:21" x14ac:dyDescent="0.25">
      <c r="A615" s="186" t="s">
        <v>886</v>
      </c>
      <c r="B615" s="400">
        <v>1</v>
      </c>
      <c r="C615" s="186"/>
      <c r="D615" s="186" t="s">
        <v>319</v>
      </c>
      <c r="E615" s="186" t="s">
        <v>319</v>
      </c>
      <c r="F615" s="186" t="s">
        <v>319</v>
      </c>
      <c r="G615" s="186" t="s">
        <v>321</v>
      </c>
      <c r="H615" s="186" t="s">
        <v>340</v>
      </c>
      <c r="I615" s="186" t="s">
        <v>341</v>
      </c>
      <c r="J615" s="186" t="s">
        <v>872</v>
      </c>
      <c r="K615" s="186" t="s">
        <v>322</v>
      </c>
      <c r="L615" s="186" t="s">
        <v>873</v>
      </c>
      <c r="M615" s="186"/>
      <c r="N615" s="186"/>
      <c r="O615" s="186"/>
      <c r="P615" s="186"/>
      <c r="Q615" s="186"/>
      <c r="R615" s="186"/>
      <c r="S615" s="186"/>
      <c r="T615" s="186"/>
      <c r="U615" s="186"/>
    </row>
    <row r="616" spans="1:21" x14ac:dyDescent="0.25">
      <c r="A616" s="186" t="s">
        <v>886</v>
      </c>
      <c r="B616" s="400">
        <v>1.9</v>
      </c>
      <c r="C616" s="186"/>
      <c r="D616" s="186" t="s">
        <v>319</v>
      </c>
      <c r="E616" s="186" t="s">
        <v>319</v>
      </c>
      <c r="F616" s="186" t="s">
        <v>319</v>
      </c>
      <c r="G616" s="186" t="s">
        <v>321</v>
      </c>
      <c r="H616" s="186" t="s">
        <v>340</v>
      </c>
      <c r="I616" s="186" t="s">
        <v>341</v>
      </c>
      <c r="J616" s="186" t="s">
        <v>872</v>
      </c>
      <c r="K616" s="186" t="s">
        <v>322</v>
      </c>
      <c r="L616" s="186" t="s">
        <v>874</v>
      </c>
      <c r="M616" s="186"/>
      <c r="N616" s="186"/>
      <c r="O616" s="186"/>
      <c r="P616" s="186"/>
      <c r="Q616" s="186"/>
      <c r="R616" s="186"/>
      <c r="S616" s="186"/>
      <c r="T616" s="186"/>
      <c r="U616" s="186"/>
    </row>
    <row r="617" spans="1:21" x14ac:dyDescent="0.25">
      <c r="A617" s="186" t="s">
        <v>886</v>
      </c>
      <c r="B617" s="400">
        <v>1.9</v>
      </c>
      <c r="C617" s="186"/>
      <c r="D617" s="186" t="s">
        <v>319</v>
      </c>
      <c r="E617" s="186" t="s">
        <v>319</v>
      </c>
      <c r="F617" s="186" t="s">
        <v>319</v>
      </c>
      <c r="G617" s="186" t="s">
        <v>321</v>
      </c>
      <c r="H617" s="186" t="s">
        <v>340</v>
      </c>
      <c r="I617" s="186" t="s">
        <v>341</v>
      </c>
      <c r="J617" s="186" t="s">
        <v>872</v>
      </c>
      <c r="K617" s="186" t="s">
        <v>322</v>
      </c>
      <c r="L617" s="186" t="s">
        <v>875</v>
      </c>
      <c r="M617" s="186"/>
      <c r="N617" s="186"/>
      <c r="O617" s="186"/>
      <c r="P617" s="186"/>
      <c r="Q617" s="186"/>
      <c r="R617" s="186"/>
      <c r="S617" s="186"/>
      <c r="T617" s="186"/>
      <c r="U617" s="186"/>
    </row>
    <row r="618" spans="1:21" x14ac:dyDescent="0.25">
      <c r="A618" s="186" t="s">
        <v>886</v>
      </c>
      <c r="B618" s="400">
        <v>2</v>
      </c>
      <c r="C618" s="186"/>
      <c r="D618" s="186" t="s">
        <v>319</v>
      </c>
      <c r="E618" s="186" t="s">
        <v>319</v>
      </c>
      <c r="F618" s="186" t="s">
        <v>319</v>
      </c>
      <c r="G618" s="186" t="s">
        <v>321</v>
      </c>
      <c r="H618" s="186" t="s">
        <v>340</v>
      </c>
      <c r="I618" s="186" t="s">
        <v>341</v>
      </c>
      <c r="J618" s="186" t="s">
        <v>872</v>
      </c>
      <c r="K618" s="186" t="s">
        <v>322</v>
      </c>
      <c r="L618" s="186" t="s">
        <v>876</v>
      </c>
      <c r="M618" s="186"/>
      <c r="N618" s="186"/>
      <c r="O618" s="186"/>
      <c r="P618" s="186"/>
      <c r="Q618" s="186"/>
      <c r="R618" s="186"/>
      <c r="S618" s="186"/>
      <c r="T618" s="186"/>
      <c r="U618" s="186"/>
    </row>
    <row r="619" spans="1:21" x14ac:dyDescent="0.25">
      <c r="A619" s="186" t="s">
        <v>886</v>
      </c>
      <c r="B619" s="400">
        <v>1.4</v>
      </c>
      <c r="C619" s="186"/>
      <c r="D619" s="186" t="s">
        <v>319</v>
      </c>
      <c r="E619" s="186" t="s">
        <v>319</v>
      </c>
      <c r="F619" s="186" t="s">
        <v>319</v>
      </c>
      <c r="G619" s="186" t="s">
        <v>321</v>
      </c>
      <c r="H619" s="186" t="s">
        <v>340</v>
      </c>
      <c r="I619" s="186" t="s">
        <v>341</v>
      </c>
      <c r="J619" s="186" t="s">
        <v>872</v>
      </c>
      <c r="K619" s="186" t="s">
        <v>322</v>
      </c>
      <c r="L619" s="186" t="s">
        <v>877</v>
      </c>
      <c r="M619" s="186"/>
      <c r="N619" s="186"/>
      <c r="O619" s="186"/>
      <c r="P619" s="186"/>
      <c r="Q619" s="186"/>
      <c r="R619" s="186"/>
      <c r="S619" s="186"/>
      <c r="T619" s="186"/>
      <c r="U619" s="186"/>
    </row>
    <row r="620" spans="1:21" x14ac:dyDescent="0.25">
      <c r="A620" s="186" t="s">
        <v>886</v>
      </c>
      <c r="B620" s="400">
        <v>2</v>
      </c>
      <c r="C620" s="186"/>
      <c r="D620" s="186" t="s">
        <v>319</v>
      </c>
      <c r="E620" s="186" t="s">
        <v>319</v>
      </c>
      <c r="F620" s="186" t="s">
        <v>319</v>
      </c>
      <c r="G620" s="186" t="s">
        <v>321</v>
      </c>
      <c r="H620" s="186" t="s">
        <v>340</v>
      </c>
      <c r="I620" s="186" t="s">
        <v>341</v>
      </c>
      <c r="J620" s="186" t="s">
        <v>872</v>
      </c>
      <c r="K620" s="186" t="s">
        <v>322</v>
      </c>
      <c r="L620" s="186" t="s">
        <v>878</v>
      </c>
      <c r="M620" s="186"/>
      <c r="N620" s="186"/>
      <c r="O620" s="186"/>
      <c r="P620" s="186"/>
      <c r="Q620" s="186"/>
      <c r="R620" s="186"/>
      <c r="S620" s="186"/>
      <c r="T620" s="186"/>
      <c r="U620" s="186"/>
    </row>
    <row r="621" spans="1:21" x14ac:dyDescent="0.25">
      <c r="A621" s="186" t="s">
        <v>886</v>
      </c>
      <c r="B621" s="400">
        <v>2</v>
      </c>
      <c r="C621" s="186"/>
      <c r="D621" s="186" t="s">
        <v>319</v>
      </c>
      <c r="E621" s="186" t="s">
        <v>319</v>
      </c>
      <c r="F621" s="186" t="s">
        <v>319</v>
      </c>
      <c r="G621" s="186" t="s">
        <v>321</v>
      </c>
      <c r="H621" s="186" t="s">
        <v>340</v>
      </c>
      <c r="I621" s="186" t="s">
        <v>341</v>
      </c>
      <c r="J621" s="186" t="s">
        <v>872</v>
      </c>
      <c r="K621" s="186" t="s">
        <v>322</v>
      </c>
      <c r="L621" s="186" t="s">
        <v>879</v>
      </c>
      <c r="M621" s="186"/>
      <c r="N621" s="186"/>
      <c r="O621" s="186"/>
      <c r="P621" s="186"/>
      <c r="Q621" s="186"/>
      <c r="R621" s="186"/>
      <c r="S621" s="186"/>
      <c r="T621" s="186"/>
      <c r="U621" s="186"/>
    </row>
    <row r="622" spans="1:21" x14ac:dyDescent="0.25">
      <c r="A622" s="186" t="s">
        <v>886</v>
      </c>
      <c r="B622" s="400">
        <v>1</v>
      </c>
      <c r="C622" s="186"/>
      <c r="D622" s="186" t="s">
        <v>319</v>
      </c>
      <c r="E622" s="186" t="s">
        <v>319</v>
      </c>
      <c r="F622" s="186" t="s">
        <v>319</v>
      </c>
      <c r="G622" s="186" t="s">
        <v>321</v>
      </c>
      <c r="H622" s="186" t="s">
        <v>340</v>
      </c>
      <c r="I622" s="186" t="s">
        <v>341</v>
      </c>
      <c r="J622" s="186" t="s">
        <v>872</v>
      </c>
      <c r="K622" s="186" t="s">
        <v>322</v>
      </c>
      <c r="L622" s="186" t="s">
        <v>880</v>
      </c>
      <c r="M622" s="186"/>
      <c r="N622" s="186"/>
      <c r="O622" s="186"/>
      <c r="P622" s="186"/>
      <c r="Q622" s="186"/>
      <c r="R622" s="186"/>
      <c r="S622" s="186"/>
      <c r="T622" s="186"/>
      <c r="U622" s="186"/>
    </row>
    <row r="623" spans="1:21" x14ac:dyDescent="0.25">
      <c r="A623" s="186" t="s">
        <v>886</v>
      </c>
      <c r="B623" s="400">
        <v>1.8</v>
      </c>
      <c r="C623" s="186"/>
      <c r="D623" s="186" t="s">
        <v>319</v>
      </c>
      <c r="E623" s="186" t="s">
        <v>319</v>
      </c>
      <c r="F623" s="186" t="s">
        <v>319</v>
      </c>
      <c r="G623" s="186" t="s">
        <v>321</v>
      </c>
      <c r="H623" s="186" t="s">
        <v>340</v>
      </c>
      <c r="I623" s="186" t="s">
        <v>341</v>
      </c>
      <c r="J623" s="186" t="s">
        <v>872</v>
      </c>
      <c r="K623" s="186" t="s">
        <v>322</v>
      </c>
      <c r="L623" s="186" t="s">
        <v>881</v>
      </c>
      <c r="M623" s="186"/>
      <c r="N623" s="186"/>
      <c r="O623" s="186"/>
      <c r="P623" s="186"/>
      <c r="Q623" s="186"/>
      <c r="R623" s="186"/>
      <c r="S623" s="186"/>
      <c r="T623" s="186"/>
      <c r="U623" s="186"/>
    </row>
    <row r="624" spans="1:21" x14ac:dyDescent="0.25">
      <c r="A624" s="186" t="s">
        <v>886</v>
      </c>
      <c r="B624" s="400">
        <v>1.4</v>
      </c>
      <c r="C624" s="186"/>
      <c r="D624" s="186" t="s">
        <v>319</v>
      </c>
      <c r="E624" s="186" t="s">
        <v>319</v>
      </c>
      <c r="F624" s="186" t="s">
        <v>319</v>
      </c>
      <c r="G624" s="186" t="s">
        <v>321</v>
      </c>
      <c r="H624" s="186" t="s">
        <v>340</v>
      </c>
      <c r="I624" s="186" t="s">
        <v>341</v>
      </c>
      <c r="J624" s="186" t="s">
        <v>872</v>
      </c>
      <c r="K624" s="186" t="s">
        <v>322</v>
      </c>
      <c r="L624" s="186" t="s">
        <v>882</v>
      </c>
      <c r="M624" s="186"/>
      <c r="N624" s="186"/>
      <c r="O624" s="186"/>
      <c r="P624" s="186"/>
      <c r="Q624" s="186"/>
      <c r="R624" s="186"/>
      <c r="S624" s="186"/>
      <c r="T624" s="186"/>
      <c r="U624" s="186"/>
    </row>
    <row r="625" spans="1:21" x14ac:dyDescent="0.25">
      <c r="A625" s="186" t="s">
        <v>510</v>
      </c>
      <c r="B625" s="637">
        <v>0.8</v>
      </c>
      <c r="C625" s="186"/>
      <c r="D625" s="186" t="s">
        <v>319</v>
      </c>
      <c r="E625" s="186" t="s">
        <v>319</v>
      </c>
      <c r="F625" s="186" t="s">
        <v>319</v>
      </c>
      <c r="G625" s="186" t="s">
        <v>511</v>
      </c>
      <c r="H625" s="186" t="s">
        <v>322</v>
      </c>
      <c r="I625" s="186" t="s">
        <v>512</v>
      </c>
      <c r="J625" s="186"/>
      <c r="K625" s="186"/>
      <c r="L625" s="186"/>
      <c r="M625" s="186"/>
      <c r="N625" s="186"/>
      <c r="O625" s="186"/>
      <c r="P625" s="186"/>
      <c r="Q625" s="186"/>
      <c r="R625" s="186"/>
      <c r="S625" s="186"/>
      <c r="T625" s="186"/>
      <c r="U625" s="186"/>
    </row>
    <row r="626" spans="1:21" x14ac:dyDescent="0.25">
      <c r="A626" s="186" t="s">
        <v>510</v>
      </c>
      <c r="B626" s="637">
        <v>1</v>
      </c>
      <c r="C626" s="186"/>
      <c r="D626" s="186" t="s">
        <v>319</v>
      </c>
      <c r="E626" s="186" t="s">
        <v>319</v>
      </c>
      <c r="F626" s="186" t="s">
        <v>319</v>
      </c>
      <c r="G626" s="186" t="s">
        <v>511</v>
      </c>
      <c r="H626" s="186" t="s">
        <v>322</v>
      </c>
      <c r="I626" s="186" t="s">
        <v>513</v>
      </c>
      <c r="J626" s="186"/>
      <c r="K626" s="186"/>
      <c r="L626" s="186"/>
      <c r="M626" s="186"/>
      <c r="N626" s="186"/>
      <c r="O626" s="186"/>
      <c r="P626" s="186"/>
      <c r="Q626" s="186"/>
      <c r="R626" s="186"/>
      <c r="S626" s="186"/>
      <c r="T626" s="186"/>
      <c r="U626" s="186"/>
    </row>
    <row r="627" spans="1:21" x14ac:dyDescent="0.25">
      <c r="A627" s="186" t="s">
        <v>510</v>
      </c>
      <c r="B627" s="637">
        <v>1</v>
      </c>
      <c r="C627" s="186"/>
      <c r="D627" s="186" t="s">
        <v>319</v>
      </c>
      <c r="E627" s="186" t="s">
        <v>319</v>
      </c>
      <c r="F627" s="186" t="s">
        <v>319</v>
      </c>
      <c r="G627" s="186" t="s">
        <v>511</v>
      </c>
      <c r="H627" s="186" t="s">
        <v>322</v>
      </c>
      <c r="I627" s="186" t="s">
        <v>514</v>
      </c>
      <c r="J627" s="186"/>
      <c r="K627" s="186"/>
      <c r="L627" s="186"/>
      <c r="M627" s="186"/>
      <c r="N627" s="186"/>
      <c r="O627" s="186"/>
      <c r="P627" s="186"/>
      <c r="Q627" s="186"/>
      <c r="R627" s="186"/>
      <c r="S627" s="186"/>
      <c r="T627" s="186"/>
      <c r="U627" s="186"/>
    </row>
    <row r="628" spans="1:21" x14ac:dyDescent="0.25">
      <c r="A628" s="186" t="s">
        <v>510</v>
      </c>
      <c r="B628" s="637">
        <v>1.2</v>
      </c>
      <c r="C628" s="186"/>
      <c r="D628" s="186" t="s">
        <v>319</v>
      </c>
      <c r="E628" s="186" t="s">
        <v>319</v>
      </c>
      <c r="F628" s="186" t="s">
        <v>319</v>
      </c>
      <c r="G628" s="186" t="s">
        <v>511</v>
      </c>
      <c r="H628" s="186" t="s">
        <v>322</v>
      </c>
      <c r="I628" s="186" t="s">
        <v>515</v>
      </c>
      <c r="J628" s="186"/>
      <c r="K628" s="186"/>
      <c r="L628" s="186"/>
      <c r="M628" s="186"/>
      <c r="N628" s="186"/>
      <c r="O628" s="186"/>
      <c r="P628" s="186"/>
      <c r="Q628" s="186"/>
      <c r="R628" s="186"/>
      <c r="S628" s="186"/>
      <c r="T628" s="186"/>
      <c r="U628" s="186"/>
    </row>
    <row r="629" spans="1:21" x14ac:dyDescent="0.25">
      <c r="A629" s="186" t="s">
        <v>510</v>
      </c>
      <c r="B629" s="637">
        <v>1.4</v>
      </c>
      <c r="C629" s="186"/>
      <c r="D629" s="186" t="s">
        <v>319</v>
      </c>
      <c r="E629" s="186" t="s">
        <v>319</v>
      </c>
      <c r="F629" s="186" t="s">
        <v>319</v>
      </c>
      <c r="G629" s="186" t="s">
        <v>511</v>
      </c>
      <c r="H629" s="186" t="s">
        <v>322</v>
      </c>
      <c r="I629" s="186" t="s">
        <v>516</v>
      </c>
      <c r="J629" s="186"/>
      <c r="K629" s="186"/>
      <c r="L629" s="186"/>
      <c r="M629" s="186"/>
      <c r="N629" s="186"/>
      <c r="O629" s="186"/>
      <c r="P629" s="186"/>
      <c r="Q629" s="186"/>
      <c r="R629" s="186"/>
      <c r="S629" s="186"/>
      <c r="T629" s="186"/>
      <c r="U629" s="186"/>
    </row>
    <row r="630" spans="1:21" x14ac:dyDescent="0.25">
      <c r="A630" s="186" t="s">
        <v>510</v>
      </c>
      <c r="B630" s="637">
        <v>1</v>
      </c>
      <c r="C630" s="186"/>
      <c r="D630" s="186" t="s">
        <v>319</v>
      </c>
      <c r="E630" s="186" t="s">
        <v>319</v>
      </c>
      <c r="F630" s="186" t="s">
        <v>319</v>
      </c>
      <c r="G630" s="186" t="s">
        <v>511</v>
      </c>
      <c r="H630" s="186" t="s">
        <v>322</v>
      </c>
      <c r="I630" s="186" t="s">
        <v>517</v>
      </c>
      <c r="J630" s="186"/>
      <c r="K630" s="186"/>
      <c r="L630" s="186"/>
      <c r="M630" s="186"/>
      <c r="N630" s="186"/>
      <c r="O630" s="186"/>
      <c r="P630" s="186"/>
      <c r="Q630" s="186"/>
      <c r="R630" s="186"/>
      <c r="S630" s="186"/>
      <c r="T630" s="186"/>
      <c r="U630" s="186"/>
    </row>
    <row r="631" spans="1:21" x14ac:dyDescent="0.25">
      <c r="A631" s="186" t="s">
        <v>191</v>
      </c>
      <c r="B631" s="400">
        <v>1</v>
      </c>
      <c r="C631" s="186"/>
      <c r="D631" s="186" t="s">
        <v>319</v>
      </c>
      <c r="E631" s="186" t="s">
        <v>319</v>
      </c>
      <c r="F631" s="186" t="s">
        <v>319</v>
      </c>
      <c r="G631" s="186" t="s">
        <v>321</v>
      </c>
      <c r="H631" s="186" t="s">
        <v>322</v>
      </c>
      <c r="I631" s="186" t="s">
        <v>518</v>
      </c>
      <c r="J631" s="186"/>
      <c r="K631" s="186"/>
      <c r="L631" s="186"/>
      <c r="M631" s="186"/>
      <c r="N631" s="186"/>
      <c r="O631" s="186"/>
      <c r="P631" s="186"/>
      <c r="Q631" s="186"/>
      <c r="R631" s="186"/>
      <c r="S631" s="186"/>
      <c r="T631" s="186"/>
      <c r="U631" s="186"/>
    </row>
    <row r="632" spans="1:21" x14ac:dyDescent="0.25">
      <c r="A632" s="638" t="s">
        <v>191</v>
      </c>
      <c r="B632" s="637">
        <v>3.24</v>
      </c>
      <c r="C632" s="638"/>
      <c r="D632" s="638" t="s">
        <v>319</v>
      </c>
      <c r="E632" s="638" t="s">
        <v>319</v>
      </c>
      <c r="F632" s="638" t="s">
        <v>319</v>
      </c>
      <c r="G632" s="638" t="s">
        <v>321</v>
      </c>
      <c r="H632" s="638" t="s">
        <v>322</v>
      </c>
      <c r="I632" s="638" t="s">
        <v>341</v>
      </c>
      <c r="J632" s="186"/>
      <c r="K632" s="186"/>
      <c r="L632" s="186"/>
      <c r="M632" s="186"/>
      <c r="N632" s="186"/>
      <c r="O632" s="186"/>
      <c r="P632" s="186"/>
      <c r="Q632" s="186"/>
      <c r="R632" s="186"/>
      <c r="S632" s="186"/>
      <c r="T632" s="186"/>
      <c r="U632" s="186"/>
    </row>
    <row r="633" spans="1:21" x14ac:dyDescent="0.25">
      <c r="A633" s="186" t="s">
        <v>191</v>
      </c>
      <c r="B633" s="400">
        <v>0.85</v>
      </c>
      <c r="C633" s="186"/>
      <c r="D633" s="186" t="s">
        <v>319</v>
      </c>
      <c r="E633" s="186" t="s">
        <v>319</v>
      </c>
      <c r="F633" s="186" t="s">
        <v>319</v>
      </c>
      <c r="G633" s="186" t="s">
        <v>321</v>
      </c>
      <c r="H633" s="186" t="s">
        <v>322</v>
      </c>
      <c r="I633" s="186" t="s">
        <v>519</v>
      </c>
      <c r="J633" s="186"/>
      <c r="K633" s="186"/>
      <c r="L633" s="186"/>
      <c r="M633" s="186"/>
      <c r="N633" s="186"/>
      <c r="O633" s="186"/>
      <c r="P633" s="186"/>
      <c r="Q633" s="186"/>
      <c r="R633" s="186"/>
      <c r="S633" s="186"/>
      <c r="T633" s="186"/>
      <c r="U633" s="186"/>
    </row>
    <row r="634" spans="1:21" x14ac:dyDescent="0.25">
      <c r="A634" s="638" t="s">
        <v>191</v>
      </c>
      <c r="B634" s="637">
        <v>0.85</v>
      </c>
      <c r="C634" s="638"/>
      <c r="D634" s="638" t="s">
        <v>319</v>
      </c>
      <c r="E634" s="638" t="s">
        <v>319</v>
      </c>
      <c r="F634" s="638" t="s">
        <v>319</v>
      </c>
      <c r="G634" s="638" t="s">
        <v>321</v>
      </c>
      <c r="H634" s="638" t="s">
        <v>322</v>
      </c>
      <c r="I634" s="638" t="s">
        <v>521</v>
      </c>
      <c r="J634" s="186"/>
      <c r="K634" s="186"/>
      <c r="L634" s="186"/>
      <c r="M634" s="186"/>
      <c r="N634" s="186"/>
      <c r="O634" s="186"/>
      <c r="P634" s="186"/>
      <c r="Q634" s="186"/>
      <c r="R634" s="186"/>
      <c r="S634" s="186"/>
      <c r="T634" s="186"/>
      <c r="U634" s="186"/>
    </row>
    <row r="635" spans="1:21" x14ac:dyDescent="0.25">
      <c r="A635" s="186" t="s">
        <v>191</v>
      </c>
      <c r="B635" s="400">
        <v>1.5</v>
      </c>
      <c r="C635" s="186"/>
      <c r="D635" s="186" t="s">
        <v>319</v>
      </c>
      <c r="E635" s="186" t="s">
        <v>319</v>
      </c>
      <c r="F635" s="186" t="s">
        <v>319</v>
      </c>
      <c r="G635" s="186" t="s">
        <v>321</v>
      </c>
      <c r="H635" s="186" t="s">
        <v>322</v>
      </c>
      <c r="I635" s="186" t="s">
        <v>520</v>
      </c>
      <c r="J635" s="186"/>
      <c r="K635" s="186"/>
      <c r="L635" s="186"/>
      <c r="M635" s="186"/>
      <c r="N635" s="186"/>
      <c r="O635" s="186"/>
      <c r="P635" s="186"/>
      <c r="Q635" s="186"/>
      <c r="R635" s="186"/>
      <c r="S635" s="186"/>
      <c r="T635" s="186"/>
      <c r="U635" s="186"/>
    </row>
    <row r="636" spans="1:21" x14ac:dyDescent="0.25">
      <c r="A636" s="186" t="s">
        <v>191</v>
      </c>
      <c r="B636" s="400">
        <v>1.1499999999999999</v>
      </c>
      <c r="C636" s="186"/>
      <c r="D636" s="186" t="s">
        <v>319</v>
      </c>
      <c r="E636" s="186" t="s">
        <v>319</v>
      </c>
      <c r="F636" s="186" t="s">
        <v>319</v>
      </c>
      <c r="G636" s="186" t="s">
        <v>321</v>
      </c>
      <c r="H636" s="186" t="s">
        <v>322</v>
      </c>
      <c r="I636" s="186" t="s">
        <v>522</v>
      </c>
      <c r="J636" s="186"/>
      <c r="K636" s="186"/>
      <c r="L636" s="186"/>
      <c r="M636" s="186"/>
      <c r="N636" s="186"/>
      <c r="O636" s="186"/>
      <c r="P636" s="186"/>
      <c r="Q636" s="186"/>
      <c r="R636" s="186"/>
      <c r="S636" s="186"/>
      <c r="T636" s="186"/>
      <c r="U636" s="186"/>
    </row>
  </sheetData>
  <autoFilter ref="A1:U636" xr:uid="{00000000-0001-0000-0800-000000000000}"/>
  <customSheetViews>
    <customSheetView guid="{0351F9C7-7403-460E-BE2C-296F078AE5FB}" fitToPage="1" showRuler="0">
      <selection activeCell="B16" sqref="B16"/>
      <pageMargins left="0" right="0" top="0" bottom="0" header="0" footer="0"/>
      <pageSetup scale="93" fitToHeight="5" orientation="portrait" r:id="rId1"/>
      <headerFooter alignWithMargins="0"/>
    </customSheetView>
  </customSheetViews>
  <phoneticPr fontId="13" type="noConversion"/>
  <printOptions gridLines="1"/>
  <pageMargins left="0.75" right="0.75" top="1" bottom="1" header="0.5" footer="0.5"/>
  <pageSetup scale="57" fitToHeight="100" orientation="portrait" r:id="rId2"/>
  <headerFooter alignWithMargins="0">
    <oddHeader>&amp;A</oddHeader>
    <oddFooter>&amp;F&amp;RPage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FFFF00"/>
  </sheetPr>
  <dimension ref="A1:K178"/>
  <sheetViews>
    <sheetView topLeftCell="A103" zoomScaleNormal="100" zoomScaleSheetLayoutView="100" workbookViewId="0">
      <selection activeCell="A20" sqref="A20"/>
    </sheetView>
  </sheetViews>
  <sheetFormatPr defaultColWidth="9.26953125" defaultRowHeight="12.5" x14ac:dyDescent="0.25"/>
  <cols>
    <col min="1" max="1" width="14.26953125" customWidth="1"/>
    <col min="2" max="2" width="8.1796875" customWidth="1"/>
    <col min="3" max="3" width="8" customWidth="1"/>
    <col min="4" max="4" width="8.7265625" customWidth="1"/>
    <col min="5" max="5" width="8.54296875" customWidth="1"/>
    <col min="6" max="6" width="8.81640625" customWidth="1"/>
    <col min="7" max="7" width="8.7265625" customWidth="1"/>
  </cols>
  <sheetData>
    <row r="1" spans="1:11" ht="18" x14ac:dyDescent="0.25">
      <c r="A1" s="1093" t="s">
        <v>887</v>
      </c>
      <c r="B1" s="1093"/>
      <c r="C1" s="1093"/>
      <c r="D1" s="1093"/>
      <c r="E1" s="1093"/>
      <c r="F1" s="1093"/>
      <c r="G1" s="1093"/>
      <c r="H1" s="1093"/>
      <c r="I1" s="1093"/>
      <c r="J1" s="1093"/>
      <c r="K1" s="67"/>
    </row>
    <row r="2" spans="1:11" ht="13" x14ac:dyDescent="0.3">
      <c r="A2" s="9" t="s">
        <v>888</v>
      </c>
      <c r="B2" s="67"/>
      <c r="C2" s="67"/>
      <c r="D2" s="67"/>
      <c r="E2" s="67"/>
      <c r="F2" s="67"/>
      <c r="G2" s="67"/>
      <c r="H2" s="67"/>
      <c r="I2" s="67"/>
      <c r="J2" s="67"/>
      <c r="K2" s="67"/>
    </row>
    <row r="3" spans="1:11" x14ac:dyDescent="0.25">
      <c r="A3" s="1094" t="s">
        <v>889</v>
      </c>
      <c r="B3" s="1094"/>
      <c r="C3" s="1094"/>
      <c r="D3" s="1094"/>
      <c r="E3" s="1094"/>
      <c r="F3" s="1094"/>
      <c r="G3" s="1094"/>
      <c r="H3" s="1094"/>
      <c r="I3" s="1094"/>
      <c r="J3" s="1094"/>
      <c r="K3" s="67"/>
    </row>
    <row r="4" spans="1:11" x14ac:dyDescent="0.25">
      <c r="A4" s="155" t="s">
        <v>890</v>
      </c>
      <c r="B4" s="67"/>
      <c r="C4" s="67"/>
      <c r="D4" s="67"/>
      <c r="E4" s="67"/>
      <c r="F4" s="67"/>
      <c r="G4" s="67"/>
      <c r="H4" s="67"/>
      <c r="I4" s="67"/>
      <c r="J4" s="67"/>
      <c r="K4" s="67"/>
    </row>
    <row r="5" spans="1:11" x14ac:dyDescent="0.25">
      <c r="A5" s="155" t="s">
        <v>891</v>
      </c>
      <c r="B5" s="67"/>
      <c r="C5" s="67"/>
      <c r="D5" s="67"/>
      <c r="E5" s="67"/>
      <c r="F5" s="67"/>
      <c r="G5" s="67"/>
      <c r="H5" s="67"/>
      <c r="I5" s="67"/>
      <c r="J5" s="67"/>
      <c r="K5" s="67"/>
    </row>
    <row r="6" spans="1:11" x14ac:dyDescent="0.25">
      <c r="A6" s="67"/>
      <c r="B6" s="67"/>
      <c r="C6" s="67"/>
      <c r="D6" s="67"/>
      <c r="E6" s="67"/>
      <c r="F6" s="67"/>
      <c r="G6" s="67"/>
      <c r="H6" s="67"/>
      <c r="I6" s="67"/>
      <c r="J6" s="67"/>
      <c r="K6" s="67"/>
    </row>
    <row r="7" spans="1:11" ht="13" x14ac:dyDescent="0.3">
      <c r="A7" s="9" t="s">
        <v>892</v>
      </c>
      <c r="B7" s="67"/>
      <c r="C7" s="67"/>
      <c r="D7" s="67"/>
      <c r="E7" s="67"/>
      <c r="F7" s="67"/>
      <c r="G7" s="67"/>
      <c r="H7" s="67"/>
      <c r="I7" s="67"/>
      <c r="J7" s="67"/>
      <c r="K7" s="67"/>
    </row>
    <row r="8" spans="1:11" x14ac:dyDescent="0.25">
      <c r="A8" s="623" t="s">
        <v>893</v>
      </c>
      <c r="B8" s="623"/>
      <c r="C8" s="623"/>
      <c r="D8" s="623"/>
      <c r="E8" s="623"/>
      <c r="F8" s="623"/>
      <c r="G8" s="623"/>
      <c r="H8" s="623"/>
      <c r="I8" s="623"/>
      <c r="J8" s="67"/>
      <c r="K8" s="67"/>
    </row>
    <row r="9" spans="1:11" x14ac:dyDescent="0.25">
      <c r="A9" s="621" t="s">
        <v>894</v>
      </c>
      <c r="B9" s="622"/>
      <c r="C9" s="622"/>
      <c r="D9" s="622"/>
      <c r="E9" s="622"/>
      <c r="F9" s="622"/>
      <c r="G9" s="622"/>
      <c r="H9" s="67"/>
      <c r="I9" s="67"/>
      <c r="J9" s="67"/>
      <c r="K9" s="67"/>
    </row>
    <row r="10" spans="1:11" x14ac:dyDescent="0.25">
      <c r="A10" s="67"/>
      <c r="B10" s="67"/>
      <c r="C10" s="67"/>
      <c r="D10" s="67"/>
      <c r="E10" s="67"/>
      <c r="F10" s="67"/>
      <c r="G10" s="67"/>
      <c r="H10" s="67"/>
      <c r="I10" s="67"/>
      <c r="J10" s="67"/>
      <c r="K10" s="67"/>
    </row>
    <row r="11" spans="1:11" ht="13.5" thickBot="1" x14ac:dyDescent="0.35">
      <c r="A11" s="9" t="s">
        <v>895</v>
      </c>
      <c r="B11" s="67"/>
      <c r="C11" s="67"/>
      <c r="D11" s="67"/>
      <c r="E11" s="67"/>
      <c r="F11" s="67"/>
      <c r="G11" s="67"/>
      <c r="H11" s="67"/>
      <c r="I11" s="67"/>
      <c r="J11" s="67"/>
      <c r="K11" s="67"/>
    </row>
    <row r="12" spans="1:11" x14ac:dyDescent="0.25">
      <c r="A12" s="1095" t="s">
        <v>614</v>
      </c>
      <c r="B12" s="1097" t="s">
        <v>896</v>
      </c>
      <c r="C12" s="1099" t="s">
        <v>897</v>
      </c>
      <c r="D12" s="1099" t="s">
        <v>898</v>
      </c>
      <c r="E12" s="1099" t="s">
        <v>899</v>
      </c>
      <c r="F12" s="1099" t="s">
        <v>900</v>
      </c>
      <c r="G12" s="1099" t="s">
        <v>901</v>
      </c>
      <c r="H12" s="1099" t="s">
        <v>902</v>
      </c>
      <c r="I12" s="1099" t="s">
        <v>903</v>
      </c>
      <c r="J12" s="1102" t="s">
        <v>904</v>
      </c>
      <c r="K12" s="67"/>
    </row>
    <row r="13" spans="1:11" x14ac:dyDescent="0.25">
      <c r="A13" s="1096"/>
      <c r="B13" s="1098"/>
      <c r="C13" s="1100"/>
      <c r="D13" s="1100"/>
      <c r="E13" s="1100"/>
      <c r="F13" s="1100"/>
      <c r="G13" s="1100"/>
      <c r="H13" s="1100"/>
      <c r="I13" s="1100"/>
      <c r="J13" s="1103"/>
      <c r="K13" s="67"/>
    </row>
    <row r="14" spans="1:11" x14ac:dyDescent="0.25">
      <c r="A14" s="1096"/>
      <c r="B14" s="1098"/>
      <c r="C14" s="1100"/>
      <c r="D14" s="1100"/>
      <c r="E14" s="1100"/>
      <c r="F14" s="1100"/>
      <c r="G14" s="1100"/>
      <c r="H14" s="1100"/>
      <c r="I14" s="1100"/>
      <c r="J14" s="1103"/>
      <c r="K14" s="67"/>
    </row>
    <row r="15" spans="1:11" x14ac:dyDescent="0.25">
      <c r="A15" s="1096"/>
      <c r="B15" s="1098"/>
      <c r="C15" s="1101"/>
      <c r="D15" s="1101"/>
      <c r="E15" s="1101"/>
      <c r="F15" s="1101"/>
      <c r="G15" s="1101"/>
      <c r="H15" s="1101"/>
      <c r="I15" s="1101"/>
      <c r="J15" s="1104"/>
      <c r="K15" s="67"/>
    </row>
    <row r="16" spans="1:11" x14ac:dyDescent="0.25">
      <c r="A16" s="604">
        <v>0</v>
      </c>
      <c r="B16" s="605">
        <v>1</v>
      </c>
      <c r="C16" s="605">
        <v>1</v>
      </c>
      <c r="D16" s="605">
        <v>1</v>
      </c>
      <c r="E16" s="605">
        <v>1</v>
      </c>
      <c r="F16" s="605">
        <v>1</v>
      </c>
      <c r="G16" s="605">
        <v>1</v>
      </c>
      <c r="H16" s="605">
        <v>1</v>
      </c>
      <c r="I16" s="605">
        <v>1</v>
      </c>
      <c r="J16" s="606">
        <v>1</v>
      </c>
      <c r="K16" s="158"/>
    </row>
    <row r="17" spans="1:11" x14ac:dyDescent="0.25">
      <c r="A17" s="604">
        <v>100</v>
      </c>
      <c r="B17" s="605">
        <v>0.95240000000000002</v>
      </c>
      <c r="C17" s="605">
        <v>0.97070000000000001</v>
      </c>
      <c r="D17" s="605">
        <v>0.98040000000000005</v>
      </c>
      <c r="E17" s="605">
        <v>0.98540000000000005</v>
      </c>
      <c r="F17" s="605">
        <v>0.98740000000000006</v>
      </c>
      <c r="G17" s="605">
        <v>0.99119999999999997</v>
      </c>
      <c r="H17" s="605">
        <v>0.99309999999999998</v>
      </c>
      <c r="I17" s="605">
        <v>0.99670000000000003</v>
      </c>
      <c r="J17" s="606">
        <v>0.99809999999999999</v>
      </c>
      <c r="K17" s="158"/>
    </row>
    <row r="18" spans="1:11" x14ac:dyDescent="0.25">
      <c r="A18" s="604">
        <v>250</v>
      </c>
      <c r="B18" s="605">
        <v>0.88570000000000004</v>
      </c>
      <c r="C18" s="605">
        <v>0.92920000000000003</v>
      </c>
      <c r="D18" s="605">
        <v>0.95279999999999998</v>
      </c>
      <c r="E18" s="605">
        <v>0.96450000000000002</v>
      </c>
      <c r="F18" s="605">
        <v>0.96960000000000002</v>
      </c>
      <c r="G18" s="605">
        <v>0.97840000000000005</v>
      </c>
      <c r="H18" s="605">
        <v>0.98329999999999995</v>
      </c>
      <c r="I18" s="605">
        <v>0.99219999999999997</v>
      </c>
      <c r="J18" s="606">
        <v>0.99539999999999995</v>
      </c>
      <c r="K18" s="158"/>
    </row>
    <row r="19" spans="1:11" x14ac:dyDescent="0.25">
      <c r="A19" s="604">
        <v>500</v>
      </c>
      <c r="B19" s="605">
        <v>0.79969999999999997</v>
      </c>
      <c r="C19" s="605">
        <v>0.87160000000000004</v>
      </c>
      <c r="D19" s="605">
        <v>0.9123</v>
      </c>
      <c r="E19" s="605">
        <v>0.93320000000000003</v>
      </c>
      <c r="F19" s="605">
        <v>0.94210000000000005</v>
      </c>
      <c r="G19" s="605">
        <v>0.95879999999999999</v>
      </c>
      <c r="H19" s="605">
        <v>0.96689999999999998</v>
      </c>
      <c r="I19" s="605">
        <v>0.98429999999999995</v>
      </c>
      <c r="J19" s="606">
        <v>0.99119999999999997</v>
      </c>
      <c r="K19" s="158"/>
    </row>
    <row r="20" spans="1:11" x14ac:dyDescent="0.25">
      <c r="A20" s="607" t="s">
        <v>905</v>
      </c>
      <c r="B20" s="605">
        <v>0.73480000000000001</v>
      </c>
      <c r="C20" s="605">
        <v>0.8256</v>
      </c>
      <c r="D20" s="605">
        <v>0.88009999999999999</v>
      </c>
      <c r="E20" s="605">
        <v>0.90710000000000002</v>
      </c>
      <c r="F20" s="605">
        <v>0.91879999999999995</v>
      </c>
      <c r="G20" s="605">
        <v>0.94179999999999997</v>
      </c>
      <c r="H20" s="605">
        <v>0.95130000000000003</v>
      </c>
      <c r="I20" s="605">
        <v>0.97670000000000001</v>
      </c>
      <c r="J20" s="606">
        <v>0.98629999999999995</v>
      </c>
      <c r="K20" s="158"/>
    </row>
    <row r="21" spans="1:11" x14ac:dyDescent="0.25">
      <c r="A21" s="604">
        <v>1000</v>
      </c>
      <c r="B21" s="605">
        <v>0.6946</v>
      </c>
      <c r="C21" s="605">
        <v>0.78259999999999996</v>
      </c>
      <c r="D21" s="605">
        <v>0.84850000000000003</v>
      </c>
      <c r="E21" s="605">
        <v>0.88229999999999997</v>
      </c>
      <c r="F21" s="605">
        <v>0.8972</v>
      </c>
      <c r="G21" s="605">
        <v>0.92559999999999998</v>
      </c>
      <c r="H21" s="605">
        <v>0.93640000000000001</v>
      </c>
      <c r="I21" s="605">
        <v>0.96930000000000005</v>
      </c>
      <c r="J21" s="606">
        <v>0.98170000000000002</v>
      </c>
      <c r="K21" s="158"/>
    </row>
    <row r="22" spans="1:11" x14ac:dyDescent="0.25">
      <c r="A22" s="604">
        <v>1500</v>
      </c>
      <c r="B22" s="605">
        <v>0.65129999999999999</v>
      </c>
      <c r="C22" s="605">
        <v>0.70809999999999995</v>
      </c>
      <c r="D22" s="605">
        <v>0.79390000000000005</v>
      </c>
      <c r="E22" s="605">
        <v>0.83930000000000005</v>
      </c>
      <c r="F22" s="605">
        <v>0.86140000000000005</v>
      </c>
      <c r="G22" s="605">
        <v>0.8982</v>
      </c>
      <c r="H22" s="605">
        <v>0.9093</v>
      </c>
      <c r="I22" s="605">
        <v>0.9536</v>
      </c>
      <c r="J22" s="606">
        <v>0.97030000000000005</v>
      </c>
      <c r="K22" s="158"/>
    </row>
    <row r="23" spans="1:11" x14ac:dyDescent="0.25">
      <c r="A23" s="604">
        <v>2500</v>
      </c>
      <c r="B23" s="605">
        <v>0.61170000000000002</v>
      </c>
      <c r="C23" s="605">
        <v>0.61170000000000002</v>
      </c>
      <c r="D23" s="605">
        <v>0.70240000000000002</v>
      </c>
      <c r="E23" s="605">
        <v>0.76629999999999998</v>
      </c>
      <c r="F23" s="605">
        <v>0.80069999999999997</v>
      </c>
      <c r="G23" s="605">
        <v>0.84919999999999995</v>
      </c>
      <c r="H23" s="605">
        <v>0.86250000000000004</v>
      </c>
      <c r="I23" s="605">
        <v>0.92920000000000003</v>
      </c>
      <c r="J23" s="606">
        <v>0.95269999999999999</v>
      </c>
      <c r="K23" s="158"/>
    </row>
    <row r="24" spans="1:11" x14ac:dyDescent="0.25">
      <c r="A24" s="604">
        <v>5000</v>
      </c>
      <c r="B24" s="605">
        <v>0.56789999999999996</v>
      </c>
      <c r="C24" s="605">
        <v>0.56789999999999996</v>
      </c>
      <c r="D24" s="605">
        <v>0.56789999999999996</v>
      </c>
      <c r="E24" s="605">
        <v>0.63349999999999995</v>
      </c>
      <c r="F24" s="605">
        <v>0.68989999999999996</v>
      </c>
      <c r="G24" s="605">
        <v>0.75749999999999995</v>
      </c>
      <c r="H24" s="605">
        <v>0.77690000000000003</v>
      </c>
      <c r="I24" s="605">
        <v>0.87109999999999999</v>
      </c>
      <c r="J24" s="606">
        <v>0.91539999999999999</v>
      </c>
      <c r="K24" s="158"/>
    </row>
    <row r="25" spans="1:11" x14ac:dyDescent="0.25">
      <c r="A25" s="604">
        <v>10000</v>
      </c>
      <c r="B25" s="608" t="s">
        <v>906</v>
      </c>
      <c r="C25" s="605">
        <v>0.52880000000000005</v>
      </c>
      <c r="D25" s="605">
        <v>0.52880000000000005</v>
      </c>
      <c r="E25" s="605">
        <v>0.52880000000000005</v>
      </c>
      <c r="F25" s="605">
        <v>0.54079999999999995</v>
      </c>
      <c r="G25" s="605">
        <v>0.63119999999999998</v>
      </c>
      <c r="H25" s="605">
        <v>0.68559999999999999</v>
      </c>
      <c r="I25" s="605">
        <v>0.78910000000000002</v>
      </c>
      <c r="J25" s="606">
        <v>0.87409999999999999</v>
      </c>
      <c r="K25" s="158"/>
    </row>
    <row r="26" spans="1:11" x14ac:dyDescent="0.25">
      <c r="A26" s="604">
        <v>20000</v>
      </c>
      <c r="B26" s="608" t="s">
        <v>906</v>
      </c>
      <c r="C26" s="608" t="s">
        <v>906</v>
      </c>
      <c r="D26" s="605">
        <v>0.48320000000000002</v>
      </c>
      <c r="E26" s="605">
        <v>0.48320000000000002</v>
      </c>
      <c r="F26" s="605">
        <v>0.48320000000000002</v>
      </c>
      <c r="G26" s="605">
        <v>0.51600000000000001</v>
      </c>
      <c r="H26" s="605">
        <v>0.57869999999999999</v>
      </c>
      <c r="I26" s="605">
        <v>0.67989999999999995</v>
      </c>
      <c r="J26" s="606">
        <v>0.80889999999999995</v>
      </c>
      <c r="K26" s="158"/>
    </row>
    <row r="27" spans="1:11" x14ac:dyDescent="0.25">
      <c r="A27" s="604">
        <v>50000</v>
      </c>
      <c r="B27" s="608" t="s">
        <v>906</v>
      </c>
      <c r="C27" s="608" t="s">
        <v>906</v>
      </c>
      <c r="D27" s="608" t="s">
        <v>906</v>
      </c>
      <c r="E27" s="608" t="s">
        <v>906</v>
      </c>
      <c r="F27" s="608" t="s">
        <v>906</v>
      </c>
      <c r="G27" s="605">
        <v>0.42859999999999998</v>
      </c>
      <c r="H27" s="605">
        <v>0.42859999999999998</v>
      </c>
      <c r="I27" s="605">
        <v>0.48749999999999999</v>
      </c>
      <c r="J27" s="606">
        <v>0.66759999999999997</v>
      </c>
      <c r="K27" s="158"/>
    </row>
    <row r="28" spans="1:11" ht="13" thickBot="1" x14ac:dyDescent="0.3">
      <c r="A28" s="609">
        <v>100000</v>
      </c>
      <c r="B28" s="610" t="s">
        <v>906</v>
      </c>
      <c r="C28" s="610" t="s">
        <v>906</v>
      </c>
      <c r="D28" s="610" t="s">
        <v>906</v>
      </c>
      <c r="E28" s="610" t="s">
        <v>906</v>
      </c>
      <c r="F28" s="610" t="s">
        <v>906</v>
      </c>
      <c r="G28" s="610" t="s">
        <v>906</v>
      </c>
      <c r="H28" s="611">
        <v>0.3518</v>
      </c>
      <c r="I28" s="611">
        <v>0.39639999999999997</v>
      </c>
      <c r="J28" s="612">
        <v>0.4894</v>
      </c>
      <c r="K28" s="67"/>
    </row>
    <row r="29" spans="1:11" x14ac:dyDescent="0.25">
      <c r="A29" s="67"/>
      <c r="B29" s="67"/>
      <c r="C29" s="67"/>
      <c r="D29" s="67"/>
      <c r="E29" s="67"/>
      <c r="F29" s="67"/>
      <c r="G29" s="67"/>
      <c r="H29" s="67"/>
      <c r="I29" s="67"/>
      <c r="J29" s="67"/>
      <c r="K29" s="67"/>
    </row>
    <row r="30" spans="1:11" ht="13.5" thickBot="1" x14ac:dyDescent="0.35">
      <c r="A30" s="9" t="s">
        <v>907</v>
      </c>
      <c r="B30" s="67"/>
      <c r="C30" s="67"/>
      <c r="D30" s="67"/>
      <c r="E30" s="67"/>
      <c r="F30" s="67"/>
      <c r="G30" s="67"/>
      <c r="H30" s="67"/>
      <c r="I30" s="67"/>
      <c r="J30" s="67"/>
      <c r="K30" s="67"/>
    </row>
    <row r="31" spans="1:11" x14ac:dyDescent="0.25">
      <c r="A31" s="1095" t="s">
        <v>614</v>
      </c>
      <c r="B31" s="1097" t="s">
        <v>896</v>
      </c>
      <c r="C31" s="1099" t="s">
        <v>897</v>
      </c>
      <c r="D31" s="1099" t="s">
        <v>898</v>
      </c>
      <c r="E31" s="1099" t="s">
        <v>899</v>
      </c>
      <c r="F31" s="1099" t="s">
        <v>900</v>
      </c>
      <c r="G31" s="1099" t="s">
        <v>901</v>
      </c>
      <c r="H31" s="1099" t="s">
        <v>902</v>
      </c>
      <c r="I31" s="1099" t="s">
        <v>903</v>
      </c>
      <c r="J31" s="1102" t="s">
        <v>904</v>
      </c>
      <c r="K31" s="67"/>
    </row>
    <row r="32" spans="1:11" x14ac:dyDescent="0.25">
      <c r="A32" s="1096"/>
      <c r="B32" s="1098"/>
      <c r="C32" s="1100"/>
      <c r="D32" s="1100"/>
      <c r="E32" s="1100"/>
      <c r="F32" s="1100"/>
      <c r="G32" s="1100"/>
      <c r="H32" s="1100"/>
      <c r="I32" s="1100"/>
      <c r="J32" s="1103"/>
      <c r="K32" s="67"/>
    </row>
    <row r="33" spans="1:11" x14ac:dyDescent="0.25">
      <c r="A33" s="1096"/>
      <c r="B33" s="1098"/>
      <c r="C33" s="1100"/>
      <c r="D33" s="1100"/>
      <c r="E33" s="1100"/>
      <c r="F33" s="1100"/>
      <c r="G33" s="1100"/>
      <c r="H33" s="1100"/>
      <c r="I33" s="1100"/>
      <c r="J33" s="1103"/>
      <c r="K33" s="67"/>
    </row>
    <row r="34" spans="1:11" x14ac:dyDescent="0.25">
      <c r="A34" s="1096"/>
      <c r="B34" s="1098"/>
      <c r="C34" s="1101"/>
      <c r="D34" s="1101"/>
      <c r="E34" s="1101"/>
      <c r="F34" s="1101"/>
      <c r="G34" s="1101"/>
      <c r="H34" s="1101"/>
      <c r="I34" s="1101"/>
      <c r="J34" s="1104"/>
      <c r="K34" s="67"/>
    </row>
    <row r="35" spans="1:11" x14ac:dyDescent="0.25">
      <c r="A35" s="613">
        <v>0</v>
      </c>
      <c r="B35" s="614">
        <v>1</v>
      </c>
      <c r="C35" s="614">
        <v>1</v>
      </c>
      <c r="D35" s="614">
        <v>1</v>
      </c>
      <c r="E35" s="614">
        <v>1</v>
      </c>
      <c r="F35" s="614">
        <v>1</v>
      </c>
      <c r="G35" s="614">
        <v>1</v>
      </c>
      <c r="H35" s="614">
        <v>1</v>
      </c>
      <c r="I35" s="614">
        <v>1</v>
      </c>
      <c r="J35" s="615">
        <v>1</v>
      </c>
      <c r="K35" s="67"/>
    </row>
    <row r="36" spans="1:11" x14ac:dyDescent="0.25">
      <c r="A36" s="604">
        <v>100</v>
      </c>
      <c r="B36" s="616">
        <v>0.97250000000000003</v>
      </c>
      <c r="C36" s="616">
        <v>0.98119999999999996</v>
      </c>
      <c r="D36" s="616">
        <v>0.98609999999999998</v>
      </c>
      <c r="E36" s="616">
        <v>0.98929999999999996</v>
      </c>
      <c r="F36" s="616">
        <v>0.99080000000000001</v>
      </c>
      <c r="G36" s="616">
        <v>0.99329999999999996</v>
      </c>
      <c r="H36" s="616">
        <v>0.99450000000000005</v>
      </c>
      <c r="I36" s="616">
        <v>0.99709999999999999</v>
      </c>
      <c r="J36" s="616">
        <v>0.99829999999999997</v>
      </c>
      <c r="K36" s="67"/>
    </row>
    <row r="37" spans="1:11" x14ac:dyDescent="0.25">
      <c r="A37" s="604">
        <v>250</v>
      </c>
      <c r="B37" s="616">
        <v>0.93210000000000004</v>
      </c>
      <c r="C37" s="616">
        <v>0.95330000000000004</v>
      </c>
      <c r="D37" s="616">
        <v>0.9657</v>
      </c>
      <c r="E37" s="616">
        <v>0.97350000000000003</v>
      </c>
      <c r="F37" s="616">
        <v>0.97729999999999995</v>
      </c>
      <c r="G37" s="616">
        <v>0.98329999999999995</v>
      </c>
      <c r="H37" s="616">
        <v>0.98640000000000005</v>
      </c>
      <c r="I37" s="616">
        <v>0.9929</v>
      </c>
      <c r="J37" s="616">
        <v>0.996</v>
      </c>
      <c r="K37" s="67"/>
    </row>
    <row r="38" spans="1:11" x14ac:dyDescent="0.25">
      <c r="A38" s="604">
        <v>500</v>
      </c>
      <c r="B38" s="616">
        <v>0.86699999999999999</v>
      </c>
      <c r="C38" s="616">
        <v>0.90859999999999996</v>
      </c>
      <c r="D38" s="616">
        <v>0.9325</v>
      </c>
      <c r="E38" s="616">
        <v>0.94750000000000001</v>
      </c>
      <c r="F38" s="616">
        <v>0.95489999999999997</v>
      </c>
      <c r="G38" s="616">
        <v>0.96740000000000004</v>
      </c>
      <c r="H38" s="616">
        <v>0.9728</v>
      </c>
      <c r="I38" s="616">
        <v>0.98599999999999999</v>
      </c>
      <c r="J38" s="616">
        <v>0.99229999999999996</v>
      </c>
      <c r="K38" s="67"/>
    </row>
    <row r="39" spans="1:11" x14ac:dyDescent="0.25">
      <c r="A39" s="613">
        <v>750</v>
      </c>
      <c r="B39" s="617" t="s">
        <v>906</v>
      </c>
      <c r="C39" s="617" t="s">
        <v>906</v>
      </c>
      <c r="D39" s="617" t="s">
        <v>906</v>
      </c>
      <c r="E39" s="617" t="s">
        <v>906</v>
      </c>
      <c r="F39" s="617" t="s">
        <v>906</v>
      </c>
      <c r="G39" s="617" t="s">
        <v>906</v>
      </c>
      <c r="H39" s="617" t="s">
        <v>906</v>
      </c>
      <c r="I39" s="617" t="s">
        <v>906</v>
      </c>
      <c r="J39" s="618" t="s">
        <v>906</v>
      </c>
      <c r="K39" s="67"/>
    </row>
    <row r="40" spans="1:11" x14ac:dyDescent="0.25">
      <c r="A40" s="604">
        <v>1000</v>
      </c>
      <c r="B40" s="616">
        <v>0.75780000000000003</v>
      </c>
      <c r="C40" s="616">
        <v>0.82730000000000004</v>
      </c>
      <c r="D40" s="616">
        <v>0.87329999999999997</v>
      </c>
      <c r="E40" s="616">
        <v>0.90029999999999999</v>
      </c>
      <c r="F40" s="616">
        <v>0.91420000000000001</v>
      </c>
      <c r="G40" s="616">
        <v>0.93799999999999994</v>
      </c>
      <c r="H40" s="616">
        <v>0.94630000000000003</v>
      </c>
      <c r="I40" s="616">
        <v>0.97240000000000004</v>
      </c>
      <c r="J40" s="616">
        <v>0.98470000000000002</v>
      </c>
      <c r="K40" s="67"/>
    </row>
    <row r="41" spans="1:11" x14ac:dyDescent="0.25">
      <c r="A41" s="604">
        <v>1500</v>
      </c>
      <c r="B41" s="616">
        <v>0.72209999999999996</v>
      </c>
      <c r="C41" s="616">
        <v>0.75590000000000002</v>
      </c>
      <c r="D41" s="616">
        <v>0.82089999999999996</v>
      </c>
      <c r="E41" s="616">
        <v>0.85940000000000005</v>
      </c>
      <c r="F41" s="616">
        <v>0.87960000000000005</v>
      </c>
      <c r="G41" s="616">
        <v>0.91320000000000001</v>
      </c>
      <c r="H41" s="616">
        <v>0.92430000000000001</v>
      </c>
      <c r="I41" s="616">
        <v>0.95960000000000001</v>
      </c>
      <c r="J41" s="616">
        <v>0.97599999999999998</v>
      </c>
      <c r="K41" s="67"/>
    </row>
    <row r="42" spans="1:11" x14ac:dyDescent="0.25">
      <c r="A42" s="604">
        <v>2500</v>
      </c>
      <c r="B42" s="616">
        <v>0.68140000000000001</v>
      </c>
      <c r="C42" s="616">
        <v>0.68140000000000001</v>
      </c>
      <c r="D42" s="616">
        <v>0.73109999999999997</v>
      </c>
      <c r="E42" s="616">
        <v>0.78790000000000004</v>
      </c>
      <c r="F42" s="616">
        <v>0.81969999999999998</v>
      </c>
      <c r="G42" s="616">
        <v>0.86639999999999995</v>
      </c>
      <c r="H42" s="616">
        <v>0.88049999999999995</v>
      </c>
      <c r="I42" s="616">
        <v>0.93730000000000002</v>
      </c>
      <c r="J42" s="616">
        <v>0.96199999999999997</v>
      </c>
      <c r="K42" s="67"/>
    </row>
    <row r="43" spans="1:11" x14ac:dyDescent="0.25">
      <c r="A43" s="604">
        <v>5000</v>
      </c>
      <c r="B43" s="616">
        <v>0.63470000000000004</v>
      </c>
      <c r="C43" s="616">
        <v>0.63470000000000004</v>
      </c>
      <c r="D43" s="616">
        <v>0.63470000000000004</v>
      </c>
      <c r="E43" s="616">
        <v>0.65569999999999995</v>
      </c>
      <c r="F43" s="616">
        <v>0.70899999999999996</v>
      </c>
      <c r="G43" s="616">
        <v>0.77700000000000002</v>
      </c>
      <c r="H43" s="616">
        <v>0.79910000000000003</v>
      </c>
      <c r="I43" s="616">
        <v>0.88190000000000002</v>
      </c>
      <c r="J43" s="616">
        <v>0.9335</v>
      </c>
      <c r="K43" s="67"/>
    </row>
    <row r="44" spans="1:11" x14ac:dyDescent="0.25">
      <c r="A44" s="604">
        <v>10000</v>
      </c>
      <c r="B44" s="616" t="s">
        <v>906</v>
      </c>
      <c r="C44" s="616">
        <v>0.56920000000000004</v>
      </c>
      <c r="D44" s="616">
        <v>0.56920000000000004</v>
      </c>
      <c r="E44" s="616">
        <v>0.56920000000000004</v>
      </c>
      <c r="F44" s="616">
        <v>0.56920000000000004</v>
      </c>
      <c r="G44" s="616">
        <v>0.65149999999999997</v>
      </c>
      <c r="H44" s="616">
        <v>0.69989999999999997</v>
      </c>
      <c r="I44" s="616">
        <v>0.80400000000000005</v>
      </c>
      <c r="J44" s="616">
        <v>0.89929999999999999</v>
      </c>
      <c r="K44" s="67"/>
    </row>
    <row r="45" spans="1:11" x14ac:dyDescent="0.25">
      <c r="A45" s="604">
        <v>20000</v>
      </c>
      <c r="B45" s="616" t="s">
        <v>906</v>
      </c>
      <c r="C45" s="616" t="s">
        <v>906</v>
      </c>
      <c r="D45" s="616">
        <v>0.51129999999999998</v>
      </c>
      <c r="E45" s="616">
        <v>0.51129999999999998</v>
      </c>
      <c r="F45" s="616">
        <v>0.51129999999999998</v>
      </c>
      <c r="G45" s="616">
        <v>0.53320000000000001</v>
      </c>
      <c r="H45" s="616">
        <v>0.59219999999999995</v>
      </c>
      <c r="I45" s="616">
        <v>0.69479999999999997</v>
      </c>
      <c r="J45" s="616">
        <v>0.83760000000000001</v>
      </c>
      <c r="K45" s="67"/>
    </row>
    <row r="46" spans="1:11" x14ac:dyDescent="0.25">
      <c r="A46" s="604">
        <v>50000</v>
      </c>
      <c r="B46" s="616" t="s">
        <v>906</v>
      </c>
      <c r="C46" s="616" t="s">
        <v>906</v>
      </c>
      <c r="D46" s="616" t="s">
        <v>906</v>
      </c>
      <c r="E46" s="616" t="s">
        <v>906</v>
      </c>
      <c r="F46" s="616" t="s">
        <v>906</v>
      </c>
      <c r="G46" s="616">
        <v>0.44240000000000002</v>
      </c>
      <c r="H46" s="616">
        <v>0.44500000000000001</v>
      </c>
      <c r="I46" s="616">
        <v>0.49399999999999999</v>
      </c>
      <c r="J46" s="616">
        <v>0.69010000000000005</v>
      </c>
      <c r="K46" s="67"/>
    </row>
    <row r="47" spans="1:11" ht="13" thickBot="1" x14ac:dyDescent="0.3">
      <c r="A47" s="609">
        <v>100000</v>
      </c>
      <c r="B47" s="616" t="s">
        <v>906</v>
      </c>
      <c r="C47" s="616" t="s">
        <v>906</v>
      </c>
      <c r="D47" s="616" t="s">
        <v>906</v>
      </c>
      <c r="E47" s="616" t="s">
        <v>906</v>
      </c>
      <c r="F47" s="616" t="s">
        <v>906</v>
      </c>
      <c r="G47" s="616" t="s">
        <v>906</v>
      </c>
      <c r="H47" s="616">
        <v>0.36530000000000001</v>
      </c>
      <c r="I47" s="616">
        <v>0.40310000000000001</v>
      </c>
      <c r="J47" s="616">
        <v>0.52139999999999997</v>
      </c>
      <c r="K47" s="67"/>
    </row>
    <row r="48" spans="1:11" x14ac:dyDescent="0.25">
      <c r="A48" s="67"/>
      <c r="B48" s="67"/>
      <c r="C48" s="67"/>
      <c r="D48" s="67"/>
      <c r="E48" s="67"/>
      <c r="F48" s="67"/>
      <c r="G48" s="67"/>
      <c r="H48" s="67"/>
      <c r="I48" s="67"/>
      <c r="J48" s="67"/>
      <c r="K48" s="67"/>
    </row>
    <row r="49" spans="1:11" ht="13" x14ac:dyDescent="0.3">
      <c r="A49" s="9" t="s">
        <v>908</v>
      </c>
      <c r="B49" s="67"/>
      <c r="C49" s="67"/>
      <c r="D49" s="67"/>
      <c r="E49" s="67"/>
      <c r="F49" s="67"/>
      <c r="G49" s="67"/>
      <c r="H49" s="67"/>
      <c r="I49" s="67"/>
      <c r="J49" s="67"/>
      <c r="K49" s="67"/>
    </row>
    <row r="50" spans="1:11" x14ac:dyDescent="0.25">
      <c r="A50" s="67"/>
      <c r="B50" s="67"/>
      <c r="C50" s="67"/>
      <c r="D50" s="67"/>
      <c r="E50" s="67"/>
      <c r="F50" s="67"/>
      <c r="G50" s="67"/>
      <c r="H50" s="67"/>
      <c r="I50" s="67"/>
      <c r="J50" s="67"/>
      <c r="K50" s="67"/>
    </row>
    <row r="51" spans="1:11" ht="13" x14ac:dyDescent="0.3">
      <c r="A51" s="159" t="s">
        <v>909</v>
      </c>
      <c r="B51" s="67"/>
      <c r="C51" s="67"/>
      <c r="D51" s="67"/>
      <c r="E51" s="67"/>
      <c r="F51" s="67"/>
      <c r="G51" s="67"/>
      <c r="H51" s="67"/>
      <c r="I51" s="67"/>
      <c r="J51" s="67"/>
      <c r="K51" s="67"/>
    </row>
    <row r="52" spans="1:11" x14ac:dyDescent="0.25">
      <c r="A52" s="67"/>
      <c r="B52" s="67"/>
      <c r="C52" s="67"/>
      <c r="D52" s="67"/>
      <c r="E52" s="67"/>
      <c r="F52" s="67"/>
      <c r="G52" s="67"/>
      <c r="H52" s="67"/>
      <c r="I52" s="67"/>
      <c r="J52" s="67"/>
      <c r="K52" s="67"/>
    </row>
    <row r="53" spans="1:11" ht="13.5" thickBot="1" x14ac:dyDescent="0.35">
      <c r="A53" s="9" t="s">
        <v>910</v>
      </c>
      <c r="B53" s="67"/>
      <c r="C53" s="67"/>
      <c r="D53" s="67"/>
      <c r="E53" s="67"/>
      <c r="F53" s="67"/>
      <c r="G53" s="67"/>
      <c r="H53" s="67"/>
      <c r="I53" s="67"/>
      <c r="J53" s="67"/>
      <c r="K53" s="67"/>
    </row>
    <row r="54" spans="1:11" x14ac:dyDescent="0.25">
      <c r="A54" s="1095" t="s">
        <v>614</v>
      </c>
      <c r="B54" s="1097" t="s">
        <v>896</v>
      </c>
      <c r="C54" s="1099" t="s">
        <v>897</v>
      </c>
      <c r="D54" s="1099" t="s">
        <v>898</v>
      </c>
      <c r="E54" s="1099" t="s">
        <v>899</v>
      </c>
      <c r="F54" s="1099" t="s">
        <v>900</v>
      </c>
      <c r="G54" s="1099" t="s">
        <v>901</v>
      </c>
      <c r="H54" s="1099" t="s">
        <v>902</v>
      </c>
      <c r="I54" s="1099" t="s">
        <v>903</v>
      </c>
      <c r="J54" s="1102" t="s">
        <v>904</v>
      </c>
      <c r="K54" s="67"/>
    </row>
    <row r="55" spans="1:11" x14ac:dyDescent="0.25">
      <c r="A55" s="1096"/>
      <c r="B55" s="1098"/>
      <c r="C55" s="1100"/>
      <c r="D55" s="1100"/>
      <c r="E55" s="1100"/>
      <c r="F55" s="1100"/>
      <c r="G55" s="1100"/>
      <c r="H55" s="1100"/>
      <c r="I55" s="1100"/>
      <c r="J55" s="1103"/>
      <c r="K55" s="67"/>
    </row>
    <row r="56" spans="1:11" x14ac:dyDescent="0.25">
      <c r="A56" s="1096"/>
      <c r="B56" s="1098"/>
      <c r="C56" s="1100"/>
      <c r="D56" s="1100"/>
      <c r="E56" s="1100"/>
      <c r="F56" s="1100"/>
      <c r="G56" s="1100"/>
      <c r="H56" s="1100"/>
      <c r="I56" s="1100"/>
      <c r="J56" s="1103"/>
      <c r="K56" s="67"/>
    </row>
    <row r="57" spans="1:11" x14ac:dyDescent="0.25">
      <c r="A57" s="1096"/>
      <c r="B57" s="1098"/>
      <c r="C57" s="1101"/>
      <c r="D57" s="1101"/>
      <c r="E57" s="1101"/>
      <c r="F57" s="1101"/>
      <c r="G57" s="1101"/>
      <c r="H57" s="1101"/>
      <c r="I57" s="1101"/>
      <c r="J57" s="1104"/>
      <c r="K57" s="67"/>
    </row>
    <row r="58" spans="1:11" x14ac:dyDescent="0.25">
      <c r="A58" s="619">
        <v>0</v>
      </c>
      <c r="B58" s="616">
        <v>1</v>
      </c>
      <c r="C58" s="616">
        <v>1</v>
      </c>
      <c r="D58" s="616">
        <v>1</v>
      </c>
      <c r="E58" s="616">
        <v>1</v>
      </c>
      <c r="F58" s="616">
        <v>1</v>
      </c>
      <c r="G58" s="616">
        <v>1</v>
      </c>
      <c r="H58" s="616">
        <v>1</v>
      </c>
      <c r="I58" s="616">
        <v>1</v>
      </c>
      <c r="J58" s="616">
        <v>1</v>
      </c>
      <c r="K58" s="158"/>
    </row>
    <row r="59" spans="1:11" x14ac:dyDescent="0.25">
      <c r="A59" s="620">
        <v>100</v>
      </c>
      <c r="B59" s="616">
        <v>0.96750000000000003</v>
      </c>
      <c r="C59" s="616">
        <v>0.97660000000000002</v>
      </c>
      <c r="D59" s="616">
        <v>0.98240000000000005</v>
      </c>
      <c r="E59" s="616">
        <v>0.98509999999999998</v>
      </c>
      <c r="F59" s="616">
        <v>0.98760000000000003</v>
      </c>
      <c r="G59" s="616">
        <v>0.99080000000000001</v>
      </c>
      <c r="H59" s="616">
        <v>0.99429999999999996</v>
      </c>
      <c r="I59" s="616">
        <v>0.99560000000000004</v>
      </c>
      <c r="J59" s="616">
        <v>0.99560000000000004</v>
      </c>
      <c r="K59" s="158"/>
    </row>
    <row r="60" spans="1:11" ht="13.5" customHeight="1" x14ac:dyDescent="0.25">
      <c r="A60" s="620">
        <v>250</v>
      </c>
      <c r="B60" s="616">
        <v>0.92210000000000003</v>
      </c>
      <c r="C60" s="616">
        <v>0.94359999999999999</v>
      </c>
      <c r="D60" s="616">
        <v>0.95709999999999995</v>
      </c>
      <c r="E60" s="616">
        <v>0.96340000000000003</v>
      </c>
      <c r="F60" s="616">
        <v>0.97</v>
      </c>
      <c r="G60" s="616">
        <v>0.97760000000000002</v>
      </c>
      <c r="H60" s="616">
        <v>0.98609999999999998</v>
      </c>
      <c r="I60" s="616">
        <v>0.98899999999999999</v>
      </c>
      <c r="J60" s="616">
        <v>0.98899999999999999</v>
      </c>
      <c r="K60" s="158"/>
    </row>
    <row r="61" spans="1:11" ht="13.5" customHeight="1" x14ac:dyDescent="0.25">
      <c r="A61" s="620">
        <v>500</v>
      </c>
      <c r="B61" s="616">
        <v>0.84799999999999998</v>
      </c>
      <c r="C61" s="616">
        <v>0.88939999999999997</v>
      </c>
      <c r="D61" s="616">
        <v>0.91579999999999995</v>
      </c>
      <c r="E61" s="616">
        <v>0.92810000000000004</v>
      </c>
      <c r="F61" s="616">
        <v>0.94079999999999997</v>
      </c>
      <c r="G61" s="616">
        <v>0.95569999999999999</v>
      </c>
      <c r="H61" s="616">
        <v>0.97250000000000003</v>
      </c>
      <c r="I61" s="616">
        <v>0.97809999999999997</v>
      </c>
      <c r="J61" s="616">
        <v>0.97840000000000005</v>
      </c>
      <c r="K61" s="158"/>
    </row>
    <row r="62" spans="1:11" x14ac:dyDescent="0.25">
      <c r="A62" s="620" t="s">
        <v>905</v>
      </c>
      <c r="B62" s="616">
        <v>0.77839999999999998</v>
      </c>
      <c r="C62" s="616">
        <v>0.84160000000000001</v>
      </c>
      <c r="D62" s="616">
        <v>0.87880000000000003</v>
      </c>
      <c r="E62" s="616">
        <v>0.89639999999999997</v>
      </c>
      <c r="F62" s="616">
        <v>0.91310000000000002</v>
      </c>
      <c r="G62" s="616">
        <v>0.93489999999999995</v>
      </c>
      <c r="H62" s="616">
        <v>0.95960000000000001</v>
      </c>
      <c r="I62" s="616">
        <v>0.96740000000000004</v>
      </c>
      <c r="J62" s="616">
        <v>0.96740000000000004</v>
      </c>
      <c r="K62" s="158"/>
    </row>
    <row r="63" spans="1:11" x14ac:dyDescent="0.25">
      <c r="A63" s="620">
        <v>1000</v>
      </c>
      <c r="B63" s="616">
        <v>0.71279999999999999</v>
      </c>
      <c r="C63" s="616">
        <v>0.79400000000000004</v>
      </c>
      <c r="D63" s="616">
        <v>0.84219999999999995</v>
      </c>
      <c r="E63" s="616">
        <v>0.86460000000000004</v>
      </c>
      <c r="F63" s="616">
        <v>0.88600000000000001</v>
      </c>
      <c r="G63" s="616">
        <v>0.91449999999999998</v>
      </c>
      <c r="H63" s="616">
        <v>0.94630000000000003</v>
      </c>
      <c r="I63" s="616">
        <v>0.95730000000000004</v>
      </c>
      <c r="J63" s="616">
        <v>0.95730000000000004</v>
      </c>
      <c r="K63" s="158"/>
    </row>
    <row r="64" spans="1:11" x14ac:dyDescent="0.25">
      <c r="A64" s="620">
        <v>1500</v>
      </c>
      <c r="B64" s="616">
        <v>0.63900000000000001</v>
      </c>
      <c r="C64" s="616">
        <v>0.70930000000000004</v>
      </c>
      <c r="D64" s="616">
        <v>0.77810000000000001</v>
      </c>
      <c r="E64" s="616">
        <v>0.81110000000000004</v>
      </c>
      <c r="F64" s="616">
        <v>0.83850000000000002</v>
      </c>
      <c r="G64" s="616">
        <v>0.88400000000000001</v>
      </c>
      <c r="H64" s="616">
        <v>0.92490000000000006</v>
      </c>
      <c r="I64" s="616">
        <v>0.94189999999999996</v>
      </c>
      <c r="J64" s="616">
        <v>0.95309999999999995</v>
      </c>
      <c r="K64" s="158"/>
    </row>
    <row r="65" spans="1:11" x14ac:dyDescent="0.25">
      <c r="A65" s="620">
        <v>2500</v>
      </c>
      <c r="B65" s="616">
        <v>0.59799999999999998</v>
      </c>
      <c r="C65" s="616">
        <v>0.59799999999999998</v>
      </c>
      <c r="D65" s="616">
        <v>0.66559999999999997</v>
      </c>
      <c r="E65" s="616">
        <v>0.71419999999999995</v>
      </c>
      <c r="F65" s="616">
        <v>0.75160000000000005</v>
      </c>
      <c r="G65" s="616">
        <v>0.81879999999999997</v>
      </c>
      <c r="H65" s="616">
        <v>0.88029999999999997</v>
      </c>
      <c r="I65" s="616">
        <v>0.91</v>
      </c>
      <c r="J65" s="616">
        <v>0.92320000000000002</v>
      </c>
      <c r="K65" s="158"/>
    </row>
    <row r="66" spans="1:11" x14ac:dyDescent="0.25">
      <c r="A66" s="620">
        <v>5000</v>
      </c>
      <c r="B66" s="616">
        <v>0.55930000000000002</v>
      </c>
      <c r="C66" s="616">
        <v>0.55930000000000002</v>
      </c>
      <c r="D66" s="616">
        <v>0.55930000000000002</v>
      </c>
      <c r="E66" s="616">
        <v>0.57740000000000002</v>
      </c>
      <c r="F66" s="616">
        <v>0.58909999999999996</v>
      </c>
      <c r="G66" s="616">
        <v>0.69340000000000002</v>
      </c>
      <c r="H66" s="616">
        <v>0.77969999999999995</v>
      </c>
      <c r="I66" s="616">
        <v>0.84019999999999995</v>
      </c>
      <c r="J66" s="616">
        <v>0.87250000000000005</v>
      </c>
      <c r="K66" s="158"/>
    </row>
    <row r="67" spans="1:11" ht="12.75" customHeight="1" x14ac:dyDescent="0.25">
      <c r="A67" s="620">
        <v>10000</v>
      </c>
      <c r="B67" s="616" t="s">
        <v>906</v>
      </c>
      <c r="C67" s="616">
        <v>0.52049999999999996</v>
      </c>
      <c r="D67" s="616">
        <v>0.52049999999999996</v>
      </c>
      <c r="E67" s="616">
        <v>0.52049999999999996</v>
      </c>
      <c r="F67" s="616">
        <v>0.52049999999999996</v>
      </c>
      <c r="G67" s="616">
        <v>0.55979999999999996</v>
      </c>
      <c r="H67" s="616">
        <v>0.65259999999999996</v>
      </c>
      <c r="I67" s="616">
        <v>0.72640000000000005</v>
      </c>
      <c r="J67" s="616">
        <v>0.79</v>
      </c>
      <c r="K67" s="158"/>
    </row>
    <row r="68" spans="1:11" x14ac:dyDescent="0.25">
      <c r="A68" s="620">
        <v>20000</v>
      </c>
      <c r="B68" s="616" t="s">
        <v>906</v>
      </c>
      <c r="C68" s="616" t="s">
        <v>906</v>
      </c>
      <c r="D68" s="616">
        <v>0.4773</v>
      </c>
      <c r="E68" s="616">
        <v>0.4773</v>
      </c>
      <c r="F68" s="616">
        <v>0.4773</v>
      </c>
      <c r="G68" s="616">
        <v>0.51</v>
      </c>
      <c r="H68" s="616">
        <v>0.52910000000000001</v>
      </c>
      <c r="I68" s="616">
        <v>0.58440000000000003</v>
      </c>
      <c r="J68" s="616">
        <v>0.64690000000000003</v>
      </c>
      <c r="K68" s="158"/>
    </row>
    <row r="69" spans="1:11" x14ac:dyDescent="0.25">
      <c r="A69" s="620">
        <v>50000</v>
      </c>
      <c r="B69" s="616" t="s">
        <v>906</v>
      </c>
      <c r="C69" s="616" t="s">
        <v>906</v>
      </c>
      <c r="D69" s="616" t="s">
        <v>906</v>
      </c>
      <c r="E69" s="616" t="s">
        <v>906</v>
      </c>
      <c r="F69" s="616" t="s">
        <v>906</v>
      </c>
      <c r="G69" s="616">
        <v>0.43130000000000002</v>
      </c>
      <c r="H69" s="616">
        <v>0.43130000000000002</v>
      </c>
      <c r="I69" s="616">
        <v>0.46400000000000002</v>
      </c>
      <c r="J69" s="616">
        <v>0.47199999999999998</v>
      </c>
      <c r="K69" s="67"/>
    </row>
    <row r="70" spans="1:11" x14ac:dyDescent="0.25">
      <c r="A70" s="620">
        <v>100000</v>
      </c>
      <c r="B70" s="616" t="s">
        <v>906</v>
      </c>
      <c r="C70" s="616" t="s">
        <v>906</v>
      </c>
      <c r="D70" s="616" t="s">
        <v>906</v>
      </c>
      <c r="E70" s="616" t="s">
        <v>906</v>
      </c>
      <c r="F70" s="616" t="s">
        <v>906</v>
      </c>
      <c r="G70" s="616" t="s">
        <v>906</v>
      </c>
      <c r="H70" s="616">
        <v>0.35389999999999999</v>
      </c>
      <c r="I70" s="616">
        <v>0.38650000000000001</v>
      </c>
      <c r="J70" s="616">
        <v>0.39329999999999998</v>
      </c>
      <c r="K70" s="67"/>
    </row>
    <row r="71" spans="1:11" x14ac:dyDescent="0.25">
      <c r="A71" s="67"/>
      <c r="B71" s="67"/>
      <c r="C71" s="67"/>
      <c r="D71" s="67"/>
      <c r="E71" s="67"/>
      <c r="F71" s="67"/>
      <c r="G71" s="67"/>
      <c r="H71" s="67"/>
      <c r="I71" s="67"/>
      <c r="J71" s="67"/>
      <c r="K71" s="67"/>
    </row>
    <row r="72" spans="1:11" x14ac:dyDescent="0.25">
      <c r="A72" s="67"/>
      <c r="B72" s="67"/>
      <c r="C72" s="67"/>
      <c r="D72" s="67"/>
      <c r="E72" s="67"/>
      <c r="F72" s="67"/>
      <c r="G72" s="67"/>
      <c r="H72" s="67"/>
      <c r="I72" s="67"/>
      <c r="J72" s="67"/>
      <c r="K72" s="67"/>
    </row>
    <row r="73" spans="1:11" ht="13" x14ac:dyDescent="0.3">
      <c r="A73" s="9" t="s">
        <v>908</v>
      </c>
      <c r="B73" s="67"/>
      <c r="C73" s="67"/>
      <c r="D73" s="67"/>
      <c r="E73" s="67"/>
      <c r="F73" s="67"/>
      <c r="G73" s="67"/>
      <c r="H73" s="67"/>
      <c r="I73" s="67"/>
      <c r="J73" s="67"/>
      <c r="K73" s="67"/>
    </row>
    <row r="74" spans="1:11" x14ac:dyDescent="0.25">
      <c r="A74" s="67"/>
      <c r="B74" s="67"/>
      <c r="C74" s="67"/>
      <c r="D74" s="67"/>
      <c r="E74" s="67"/>
      <c r="F74" s="67"/>
      <c r="G74" s="67"/>
      <c r="H74" s="67"/>
      <c r="I74" s="67"/>
      <c r="J74" s="67"/>
      <c r="K74" s="67"/>
    </row>
    <row r="75" spans="1:11" ht="13" x14ac:dyDescent="0.3">
      <c r="A75" s="624" t="s">
        <v>911</v>
      </c>
      <c r="B75" s="622"/>
      <c r="C75" s="622"/>
      <c r="D75" s="622"/>
      <c r="E75" s="622"/>
      <c r="F75" s="622"/>
      <c r="G75" s="622"/>
      <c r="H75" s="622"/>
      <c r="I75" s="622"/>
      <c r="J75" s="622"/>
      <c r="K75" s="67"/>
    </row>
    <row r="76" spans="1:11" x14ac:dyDescent="0.25">
      <c r="A76" s="622" t="s">
        <v>912</v>
      </c>
      <c r="B76" s="622"/>
      <c r="C76" s="622"/>
      <c r="D76" s="622"/>
      <c r="E76" s="622"/>
      <c r="F76" s="622"/>
      <c r="G76" s="622"/>
      <c r="H76" s="622"/>
      <c r="I76" s="622"/>
      <c r="J76" s="622"/>
      <c r="K76" s="67"/>
    </row>
    <row r="77" spans="1:11" x14ac:dyDescent="0.25">
      <c r="A77" s="621" t="s">
        <v>913</v>
      </c>
      <c r="B77" s="622"/>
      <c r="C77" s="622"/>
      <c r="D77" s="622"/>
      <c r="E77" s="622"/>
      <c r="F77" s="622"/>
      <c r="G77" s="622"/>
      <c r="H77" s="622"/>
      <c r="I77" s="622"/>
      <c r="J77" s="622"/>
      <c r="K77" s="67"/>
    </row>
    <row r="78" spans="1:11" x14ac:dyDescent="0.25">
      <c r="A78" s="622"/>
      <c r="B78" s="622"/>
      <c r="C78" s="622"/>
      <c r="D78" s="622"/>
      <c r="E78" s="622"/>
      <c r="F78" s="622"/>
      <c r="G78" s="622"/>
      <c r="H78" s="622"/>
      <c r="I78" s="622"/>
      <c r="J78" s="622"/>
      <c r="K78" s="67"/>
    </row>
    <row r="79" spans="1:11" ht="13.5" thickBot="1" x14ac:dyDescent="0.35">
      <c r="A79" s="624" t="s">
        <v>895</v>
      </c>
      <c r="B79" s="622"/>
      <c r="C79" s="622"/>
      <c r="D79" s="622"/>
      <c r="E79" s="622"/>
      <c r="F79" s="622"/>
      <c r="G79" s="622"/>
      <c r="H79" s="622"/>
      <c r="I79" s="622"/>
      <c r="J79" s="622"/>
      <c r="K79" s="67"/>
    </row>
    <row r="80" spans="1:11" x14ac:dyDescent="0.25">
      <c r="A80" s="1105" t="s">
        <v>614</v>
      </c>
      <c r="B80" s="1107" t="s">
        <v>896</v>
      </c>
      <c r="C80" s="1109" t="s">
        <v>897</v>
      </c>
      <c r="D80" s="1109" t="s">
        <v>898</v>
      </c>
      <c r="E80" s="1109" t="s">
        <v>899</v>
      </c>
      <c r="F80" s="1109" t="s">
        <v>900</v>
      </c>
      <c r="G80" s="1109" t="s">
        <v>901</v>
      </c>
      <c r="H80" s="1109" t="s">
        <v>902</v>
      </c>
      <c r="I80" s="1109" t="s">
        <v>903</v>
      </c>
      <c r="J80" s="1112" t="s">
        <v>904</v>
      </c>
      <c r="K80" s="67"/>
    </row>
    <row r="81" spans="1:11" x14ac:dyDescent="0.25">
      <c r="A81" s="1106"/>
      <c r="B81" s="1108"/>
      <c r="C81" s="1110"/>
      <c r="D81" s="1110"/>
      <c r="E81" s="1110"/>
      <c r="F81" s="1110"/>
      <c r="G81" s="1110"/>
      <c r="H81" s="1110"/>
      <c r="I81" s="1110"/>
      <c r="J81" s="1113"/>
      <c r="K81" s="67"/>
    </row>
    <row r="82" spans="1:11" x14ac:dyDescent="0.25">
      <c r="A82" s="1106"/>
      <c r="B82" s="1108"/>
      <c r="C82" s="1110"/>
      <c r="D82" s="1110"/>
      <c r="E82" s="1110"/>
      <c r="F82" s="1110"/>
      <c r="G82" s="1110"/>
      <c r="H82" s="1110"/>
      <c r="I82" s="1110"/>
      <c r="J82" s="1113"/>
      <c r="K82" s="67"/>
    </row>
    <row r="83" spans="1:11" x14ac:dyDescent="0.25">
      <c r="A83" s="1106"/>
      <c r="B83" s="1108"/>
      <c r="C83" s="1111"/>
      <c r="D83" s="1111"/>
      <c r="E83" s="1111"/>
      <c r="F83" s="1111"/>
      <c r="G83" s="1111"/>
      <c r="H83" s="1111"/>
      <c r="I83" s="1111"/>
      <c r="J83" s="1114"/>
      <c r="K83" s="67"/>
    </row>
    <row r="84" spans="1:11" x14ac:dyDescent="0.25">
      <c r="A84" s="613">
        <v>0</v>
      </c>
      <c r="B84" s="614">
        <v>0.99299999999999999</v>
      </c>
      <c r="C84" s="614">
        <v>0.99299999999999999</v>
      </c>
      <c r="D84" s="614">
        <v>0.99299999999999999</v>
      </c>
      <c r="E84" s="614">
        <v>0.99299999999999999</v>
      </c>
      <c r="F84" s="614">
        <v>0.99299999999999999</v>
      </c>
      <c r="G84" s="614">
        <v>0.99299999999999999</v>
      </c>
      <c r="H84" s="614">
        <v>0.99299999999999999</v>
      </c>
      <c r="I84" s="614">
        <v>0.99299999999999999</v>
      </c>
      <c r="J84" s="615">
        <v>0.99299999999999999</v>
      </c>
      <c r="K84" s="158"/>
    </row>
    <row r="85" spans="1:11" x14ac:dyDescent="0.25">
      <c r="A85" s="613">
        <v>100</v>
      </c>
      <c r="B85" s="614">
        <v>0.94699999999999995</v>
      </c>
      <c r="C85" s="614">
        <v>0.96499999999999997</v>
      </c>
      <c r="D85" s="614">
        <v>0.97399999999999998</v>
      </c>
      <c r="E85" s="614">
        <v>0.97799999999999998</v>
      </c>
      <c r="F85" s="614">
        <v>0.98299999999999998</v>
      </c>
      <c r="G85" s="614">
        <v>0.98599999999999999</v>
      </c>
      <c r="H85" s="614">
        <v>0.98799999999999999</v>
      </c>
      <c r="I85" s="614">
        <v>0.99</v>
      </c>
      <c r="J85" s="615">
        <v>0.99099999999999999</v>
      </c>
      <c r="K85" s="158"/>
    </row>
    <row r="86" spans="1:11" x14ac:dyDescent="0.25">
      <c r="A86" s="613">
        <v>250</v>
      </c>
      <c r="B86" s="614">
        <v>0.88400000000000001</v>
      </c>
      <c r="C86" s="614">
        <v>0.92700000000000005</v>
      </c>
      <c r="D86" s="614">
        <v>0.94799999999999995</v>
      </c>
      <c r="E86" s="614">
        <v>0.95899999999999996</v>
      </c>
      <c r="F86" s="614">
        <v>0.96799999999999997</v>
      </c>
      <c r="G86" s="614">
        <v>0.97599999999999998</v>
      </c>
      <c r="H86" s="614">
        <v>0.98099999999999998</v>
      </c>
      <c r="I86" s="614">
        <v>0.98699999999999999</v>
      </c>
      <c r="J86" s="615">
        <v>0.98899999999999999</v>
      </c>
      <c r="K86" s="158"/>
    </row>
    <row r="87" spans="1:11" x14ac:dyDescent="0.25">
      <c r="A87" s="613">
        <v>500</v>
      </c>
      <c r="B87" s="614">
        <v>0.83</v>
      </c>
      <c r="C87" s="614">
        <v>0.874</v>
      </c>
      <c r="D87" s="614">
        <v>0.90800000000000003</v>
      </c>
      <c r="E87" s="614">
        <v>0.92800000000000005</v>
      </c>
      <c r="F87" s="614">
        <v>0.94599999999999995</v>
      </c>
      <c r="G87" s="617">
        <v>0.95299999999999996</v>
      </c>
      <c r="H87" s="617">
        <v>0.96299999999999997</v>
      </c>
      <c r="I87" s="617">
        <v>0.97299999999999998</v>
      </c>
      <c r="J87" s="618">
        <v>0.97299999999999998</v>
      </c>
      <c r="K87" s="158"/>
    </row>
    <row r="88" spans="1:11" x14ac:dyDescent="0.25">
      <c r="A88" s="613">
        <v>750</v>
      </c>
      <c r="B88" s="617" t="s">
        <v>906</v>
      </c>
      <c r="C88" s="617" t="s">
        <v>906</v>
      </c>
      <c r="D88" s="617" t="s">
        <v>906</v>
      </c>
      <c r="E88" s="617" t="s">
        <v>906</v>
      </c>
      <c r="F88" s="617" t="s">
        <v>906</v>
      </c>
      <c r="G88" s="617" t="s">
        <v>906</v>
      </c>
      <c r="H88" s="617" t="s">
        <v>906</v>
      </c>
      <c r="I88" s="617" t="s">
        <v>906</v>
      </c>
      <c r="J88" s="618" t="s">
        <v>906</v>
      </c>
      <c r="K88" s="158"/>
    </row>
    <row r="89" spans="1:11" x14ac:dyDescent="0.25">
      <c r="A89" s="613">
        <v>1000</v>
      </c>
      <c r="B89" s="614">
        <v>0.79500000000000004</v>
      </c>
      <c r="C89" s="614">
        <v>0.79500000000000004</v>
      </c>
      <c r="D89" s="614">
        <v>0.84299999999999997</v>
      </c>
      <c r="E89" s="614">
        <v>0.874</v>
      </c>
      <c r="F89" s="614">
        <v>0.90600000000000003</v>
      </c>
      <c r="G89" s="614">
        <v>0.91500000000000004</v>
      </c>
      <c r="H89" s="614">
        <v>0.93500000000000005</v>
      </c>
      <c r="I89" s="614">
        <v>0.95399999999999996</v>
      </c>
      <c r="J89" s="615">
        <v>0.95399999999999996</v>
      </c>
      <c r="K89" s="158"/>
    </row>
    <row r="90" spans="1:11" x14ac:dyDescent="0.25">
      <c r="A90" s="613">
        <v>1500</v>
      </c>
      <c r="B90" s="614">
        <v>0.73399999999999999</v>
      </c>
      <c r="C90" s="614">
        <v>0.73399999999999999</v>
      </c>
      <c r="D90" s="614">
        <v>0.79100000000000004</v>
      </c>
      <c r="E90" s="614">
        <v>0.82899999999999996</v>
      </c>
      <c r="F90" s="614">
        <v>0.874</v>
      </c>
      <c r="G90" s="614">
        <v>0.89700000000000002</v>
      </c>
      <c r="H90" s="614">
        <v>0.90700000000000003</v>
      </c>
      <c r="I90" s="614">
        <v>0.93700000000000006</v>
      </c>
      <c r="J90" s="615">
        <v>0.93700000000000006</v>
      </c>
      <c r="K90" s="158"/>
    </row>
    <row r="91" spans="1:11" x14ac:dyDescent="0.25">
      <c r="A91" s="613">
        <v>2500</v>
      </c>
      <c r="B91" s="614">
        <v>0.69499999999999995</v>
      </c>
      <c r="C91" s="614">
        <v>0.69499999999999995</v>
      </c>
      <c r="D91" s="614">
        <v>0.71</v>
      </c>
      <c r="E91" s="614">
        <v>0.75900000000000001</v>
      </c>
      <c r="F91" s="614">
        <v>0.81699999999999995</v>
      </c>
      <c r="G91" s="614">
        <v>0.86699999999999999</v>
      </c>
      <c r="H91" s="614">
        <v>0.877</v>
      </c>
      <c r="I91" s="614">
        <v>0.90700000000000003</v>
      </c>
      <c r="J91" s="615">
        <v>0.90700000000000003</v>
      </c>
      <c r="K91" s="158"/>
    </row>
    <row r="92" spans="1:11" x14ac:dyDescent="0.25">
      <c r="A92" s="613">
        <v>5000</v>
      </c>
      <c r="B92" s="614">
        <v>0.63100000000000001</v>
      </c>
      <c r="C92" s="614">
        <v>0.63100000000000001</v>
      </c>
      <c r="D92" s="614">
        <v>0.63100000000000001</v>
      </c>
      <c r="E92" s="614">
        <v>0.63200000000000001</v>
      </c>
      <c r="F92" s="614">
        <v>0.71499999999999997</v>
      </c>
      <c r="G92" s="614">
        <v>0.79500000000000004</v>
      </c>
      <c r="H92" s="614">
        <v>0.80400000000000005</v>
      </c>
      <c r="I92" s="614">
        <v>0.83399999999999996</v>
      </c>
      <c r="J92" s="615">
        <v>0.83399999999999996</v>
      </c>
      <c r="K92" s="158"/>
    </row>
    <row r="93" spans="1:11" x14ac:dyDescent="0.25">
      <c r="A93" s="613">
        <v>10000</v>
      </c>
      <c r="B93" s="617" t="s">
        <v>906</v>
      </c>
      <c r="C93" s="614">
        <v>0.59399999999999997</v>
      </c>
      <c r="D93" s="614">
        <v>0.59399999999999997</v>
      </c>
      <c r="E93" s="614">
        <v>0.59399999999999997</v>
      </c>
      <c r="F93" s="614">
        <v>0.59399999999999997</v>
      </c>
      <c r="G93" s="614">
        <v>0.67600000000000005</v>
      </c>
      <c r="H93" s="614">
        <v>0.72599999999999998</v>
      </c>
      <c r="I93" s="614">
        <v>0.72599999999999998</v>
      </c>
      <c r="J93" s="615">
        <v>0.72599999999999998</v>
      </c>
      <c r="K93" s="158"/>
    </row>
    <row r="94" spans="1:11" x14ac:dyDescent="0.25">
      <c r="A94" s="613">
        <v>20000</v>
      </c>
      <c r="B94" s="617" t="s">
        <v>906</v>
      </c>
      <c r="C94" s="617" t="s">
        <v>906</v>
      </c>
      <c r="D94" s="614">
        <v>0.52</v>
      </c>
      <c r="E94" s="614">
        <v>0.52</v>
      </c>
      <c r="F94" s="614">
        <v>0.52</v>
      </c>
      <c r="G94" s="614">
        <v>0.52</v>
      </c>
      <c r="H94" s="614">
        <v>0.61699999999999999</v>
      </c>
      <c r="I94" s="614">
        <v>0.63500000000000001</v>
      </c>
      <c r="J94" s="615">
        <v>0.63500000000000001</v>
      </c>
      <c r="K94" s="67"/>
    </row>
    <row r="95" spans="1:11" x14ac:dyDescent="0.25">
      <c r="A95" s="613">
        <v>50000</v>
      </c>
      <c r="B95" s="617" t="s">
        <v>906</v>
      </c>
      <c r="C95" s="617" t="s">
        <v>906</v>
      </c>
      <c r="D95" s="617" t="s">
        <v>906</v>
      </c>
      <c r="E95" s="617" t="s">
        <v>906</v>
      </c>
      <c r="F95" s="617" t="s">
        <v>906</v>
      </c>
      <c r="G95" s="614">
        <v>0.39300000000000002</v>
      </c>
      <c r="H95" s="614">
        <v>0.39300000000000002</v>
      </c>
      <c r="I95" s="614">
        <v>0.54500000000000004</v>
      </c>
      <c r="J95" s="615">
        <v>0.54500000000000004</v>
      </c>
      <c r="K95" s="67"/>
    </row>
    <row r="96" spans="1:11" ht="13" thickBot="1" x14ac:dyDescent="0.3">
      <c r="A96" s="625">
        <v>100000</v>
      </c>
      <c r="B96" s="626" t="s">
        <v>906</v>
      </c>
      <c r="C96" s="626" t="s">
        <v>906</v>
      </c>
      <c r="D96" s="626" t="s">
        <v>906</v>
      </c>
      <c r="E96" s="626" t="s">
        <v>906</v>
      </c>
      <c r="F96" s="626" t="s">
        <v>906</v>
      </c>
      <c r="G96" s="626" t="s">
        <v>906</v>
      </c>
      <c r="H96" s="627">
        <v>0.32800000000000001</v>
      </c>
      <c r="I96" s="627">
        <v>0.39700000000000002</v>
      </c>
      <c r="J96" s="628">
        <v>0.437</v>
      </c>
      <c r="K96" s="67"/>
    </row>
    <row r="97" spans="1:11" x14ac:dyDescent="0.25">
      <c r="A97" s="622"/>
      <c r="B97" s="622"/>
      <c r="C97" s="622"/>
      <c r="D97" s="622"/>
      <c r="E97" s="622"/>
      <c r="F97" s="622"/>
      <c r="G97" s="622"/>
      <c r="H97" s="622"/>
      <c r="I97" s="622"/>
      <c r="J97" s="622"/>
      <c r="K97" s="158"/>
    </row>
    <row r="98" spans="1:11" ht="13.5" thickBot="1" x14ac:dyDescent="0.35">
      <c r="A98" s="624" t="s">
        <v>907</v>
      </c>
      <c r="B98" s="622"/>
      <c r="C98" s="622"/>
      <c r="D98" s="622"/>
      <c r="E98" s="622"/>
      <c r="F98" s="622"/>
      <c r="G98" s="622"/>
      <c r="H98" s="622"/>
      <c r="I98" s="622"/>
      <c r="J98" s="622"/>
      <c r="K98" s="158"/>
    </row>
    <row r="99" spans="1:11" x14ac:dyDescent="0.25">
      <c r="A99" s="1105" t="s">
        <v>614</v>
      </c>
      <c r="B99" s="1107" t="s">
        <v>896</v>
      </c>
      <c r="C99" s="1107" t="s">
        <v>897</v>
      </c>
      <c r="D99" s="1107" t="s">
        <v>898</v>
      </c>
      <c r="E99" s="1107" t="s">
        <v>899</v>
      </c>
      <c r="F99" s="1107" t="s">
        <v>900</v>
      </c>
      <c r="G99" s="1107" t="s">
        <v>901</v>
      </c>
      <c r="H99" s="1107" t="s">
        <v>902</v>
      </c>
      <c r="I99" s="1107" t="s">
        <v>903</v>
      </c>
      <c r="J99" s="1115" t="s">
        <v>904</v>
      </c>
      <c r="K99" s="67"/>
    </row>
    <row r="100" spans="1:11" x14ac:dyDescent="0.25">
      <c r="A100" s="1106"/>
      <c r="B100" s="1108"/>
      <c r="C100" s="1108"/>
      <c r="D100" s="1108"/>
      <c r="E100" s="1108"/>
      <c r="F100" s="1108"/>
      <c r="G100" s="1108"/>
      <c r="H100" s="1108"/>
      <c r="I100" s="1108"/>
      <c r="J100" s="1116"/>
      <c r="K100" s="67"/>
    </row>
    <row r="101" spans="1:11" x14ac:dyDescent="0.25">
      <c r="A101" s="1106"/>
      <c r="B101" s="1108"/>
      <c r="C101" s="1108"/>
      <c r="D101" s="1108"/>
      <c r="E101" s="1108"/>
      <c r="F101" s="1108"/>
      <c r="G101" s="1108"/>
      <c r="H101" s="1108"/>
      <c r="I101" s="1108"/>
      <c r="J101" s="1116"/>
      <c r="K101" s="67"/>
    </row>
    <row r="102" spans="1:11" x14ac:dyDescent="0.25">
      <c r="A102" s="1106"/>
      <c r="B102" s="1108"/>
      <c r="C102" s="1108"/>
      <c r="D102" s="1108"/>
      <c r="E102" s="1108"/>
      <c r="F102" s="1108"/>
      <c r="G102" s="1108"/>
      <c r="H102" s="1108"/>
      <c r="I102" s="1108"/>
      <c r="J102" s="1116"/>
      <c r="K102" s="67"/>
    </row>
    <row r="103" spans="1:11" x14ac:dyDescent="0.25">
      <c r="A103" s="613">
        <v>0</v>
      </c>
      <c r="B103" s="614">
        <v>0.99299999999999999</v>
      </c>
      <c r="C103" s="614">
        <v>0.99299999999999999</v>
      </c>
      <c r="D103" s="614">
        <v>0.99299999999999999</v>
      </c>
      <c r="E103" s="614">
        <v>0.99299999999999999</v>
      </c>
      <c r="F103" s="614">
        <v>0.99299999999999999</v>
      </c>
      <c r="G103" s="614">
        <v>0.99299999999999999</v>
      </c>
      <c r="H103" s="614">
        <v>0.99299999999999999</v>
      </c>
      <c r="I103" s="614">
        <v>0.99299999999999999</v>
      </c>
      <c r="J103" s="615">
        <v>0.99299999999999999</v>
      </c>
      <c r="K103" s="158"/>
    </row>
    <row r="104" spans="1:11" x14ac:dyDescent="0.25">
      <c r="A104" s="613">
        <v>100</v>
      </c>
      <c r="B104" s="614">
        <v>0.96799999999999997</v>
      </c>
      <c r="C104" s="614">
        <v>0.97699999999999998</v>
      </c>
      <c r="D104" s="614">
        <v>0.98155817928391631</v>
      </c>
      <c r="E104" s="614">
        <v>0.98337820233628315</v>
      </c>
      <c r="F104" s="614">
        <v>0.98652332989383373</v>
      </c>
      <c r="G104" s="617">
        <v>0.98886159894310321</v>
      </c>
      <c r="H104" s="617">
        <v>0.9900285780621163</v>
      </c>
      <c r="I104" s="617">
        <v>0.99115966956346002</v>
      </c>
      <c r="J104" s="618">
        <v>0.99199999999999999</v>
      </c>
      <c r="K104" s="158"/>
    </row>
    <row r="105" spans="1:11" x14ac:dyDescent="0.25">
      <c r="A105" s="613">
        <v>250</v>
      </c>
      <c r="B105" s="614">
        <v>0.93100000000000005</v>
      </c>
      <c r="C105" s="614">
        <v>0.95299999999999996</v>
      </c>
      <c r="D105" s="614">
        <v>0.96399999999999997</v>
      </c>
      <c r="E105" s="614">
        <v>0.96899999999999997</v>
      </c>
      <c r="F105" s="614">
        <v>0.97699999999999998</v>
      </c>
      <c r="G105" s="614">
        <v>0.98199999999999998</v>
      </c>
      <c r="H105" s="614">
        <v>0.98599999999999999</v>
      </c>
      <c r="I105" s="614">
        <v>0.98799999999999999</v>
      </c>
      <c r="J105" s="615">
        <v>0.99099999999999999</v>
      </c>
      <c r="K105" s="158"/>
    </row>
    <row r="106" spans="1:11" x14ac:dyDescent="0.25">
      <c r="A106" s="613">
        <v>500</v>
      </c>
      <c r="B106" s="614">
        <v>0.89500000000000002</v>
      </c>
      <c r="C106" s="614">
        <v>0.91300000000000003</v>
      </c>
      <c r="D106" s="614">
        <v>0.93600000000000005</v>
      </c>
      <c r="E106" s="614">
        <v>0.94499999999999995</v>
      </c>
      <c r="F106" s="614">
        <v>0.96099999999999997</v>
      </c>
      <c r="G106" s="617">
        <v>0.96499999999999997</v>
      </c>
      <c r="H106" s="617">
        <v>0.97199999999999998</v>
      </c>
      <c r="I106" s="617">
        <v>0.97699999999999998</v>
      </c>
      <c r="J106" s="618">
        <v>0.97699999999999998</v>
      </c>
      <c r="K106" s="158"/>
    </row>
    <row r="107" spans="1:11" x14ac:dyDescent="0.25">
      <c r="A107" s="613">
        <v>750</v>
      </c>
      <c r="B107" s="617" t="s">
        <v>906</v>
      </c>
      <c r="C107" s="617" t="s">
        <v>906</v>
      </c>
      <c r="D107" s="617" t="s">
        <v>906</v>
      </c>
      <c r="E107" s="617" t="s">
        <v>906</v>
      </c>
      <c r="F107" s="617" t="s">
        <v>906</v>
      </c>
      <c r="G107" s="617" t="s">
        <v>906</v>
      </c>
      <c r="H107" s="617" t="s">
        <v>906</v>
      </c>
      <c r="I107" s="617" t="s">
        <v>906</v>
      </c>
      <c r="J107" s="618" t="s">
        <v>906</v>
      </c>
      <c r="K107" s="158"/>
    </row>
    <row r="108" spans="1:11" x14ac:dyDescent="0.25">
      <c r="A108" s="613">
        <v>1000</v>
      </c>
      <c r="B108" s="614">
        <v>0.87</v>
      </c>
      <c r="C108" s="614">
        <v>0.87</v>
      </c>
      <c r="D108" s="614">
        <v>0.88500000000000001</v>
      </c>
      <c r="E108" s="614">
        <v>0.90200000000000002</v>
      </c>
      <c r="F108" s="614">
        <v>0.93</v>
      </c>
      <c r="G108" s="614">
        <v>0.93400000000000005</v>
      </c>
      <c r="H108" s="614">
        <v>0.95099999999999996</v>
      </c>
      <c r="I108" s="614">
        <v>0.96099999999999997</v>
      </c>
      <c r="J108" s="615">
        <v>0.96099999999999997</v>
      </c>
      <c r="K108" s="158"/>
    </row>
    <row r="109" spans="1:11" x14ac:dyDescent="0.25">
      <c r="A109" s="613">
        <v>1500</v>
      </c>
      <c r="B109" s="614">
        <v>0.84499999999999997</v>
      </c>
      <c r="C109" s="614">
        <v>0.84499999999999997</v>
      </c>
      <c r="D109" s="614">
        <v>0.84499999999999997</v>
      </c>
      <c r="E109" s="614">
        <v>0.86399999999999999</v>
      </c>
      <c r="F109" s="614">
        <v>0.90200000000000002</v>
      </c>
      <c r="G109" s="614">
        <v>0.92100000000000004</v>
      </c>
      <c r="H109" s="614">
        <v>0.93100000000000005</v>
      </c>
      <c r="I109" s="614">
        <v>0.94599999999999995</v>
      </c>
      <c r="J109" s="615">
        <v>0.94699999999999995</v>
      </c>
      <c r="K109" s="158"/>
    </row>
    <row r="110" spans="1:11" x14ac:dyDescent="0.25">
      <c r="A110" s="613">
        <v>2500</v>
      </c>
      <c r="B110" s="614">
        <v>0.79500000000000004</v>
      </c>
      <c r="C110" s="614">
        <v>0.79500000000000004</v>
      </c>
      <c r="D110" s="614">
        <v>0.79500000000000004</v>
      </c>
      <c r="E110" s="614">
        <v>0.79900000000000004</v>
      </c>
      <c r="F110" s="614">
        <v>0.85</v>
      </c>
      <c r="G110" s="614">
        <v>0.89500000000000002</v>
      </c>
      <c r="H110" s="614">
        <v>0.91</v>
      </c>
      <c r="I110" s="614">
        <v>0.92100000000000004</v>
      </c>
      <c r="J110" s="615">
        <v>0.92300000000000004</v>
      </c>
      <c r="K110" s="158"/>
    </row>
    <row r="111" spans="1:11" x14ac:dyDescent="0.25">
      <c r="A111" s="613">
        <v>5000</v>
      </c>
      <c r="B111" s="614">
        <v>0.71</v>
      </c>
      <c r="C111" s="614">
        <v>0.71</v>
      </c>
      <c r="D111" s="614">
        <v>0.71</v>
      </c>
      <c r="E111" s="614">
        <v>0.71</v>
      </c>
      <c r="F111" s="614">
        <v>0.752</v>
      </c>
      <c r="G111" s="614">
        <v>0.83</v>
      </c>
      <c r="H111" s="614">
        <v>0.85799999999999998</v>
      </c>
      <c r="I111" s="614">
        <v>0.85899999999999999</v>
      </c>
      <c r="J111" s="615">
        <v>0.86399999999999999</v>
      </c>
      <c r="K111" s="67"/>
    </row>
    <row r="112" spans="1:11" x14ac:dyDescent="0.25">
      <c r="A112" s="613">
        <v>10000</v>
      </c>
      <c r="B112" s="617" t="s">
        <v>906</v>
      </c>
      <c r="C112" s="614">
        <v>0.65100000000000002</v>
      </c>
      <c r="D112" s="614">
        <v>0.65100000000000002</v>
      </c>
      <c r="E112" s="614">
        <v>0.65100000000000002</v>
      </c>
      <c r="F112" s="614">
        <v>0.65100000000000002</v>
      </c>
      <c r="G112" s="614">
        <v>0.71</v>
      </c>
      <c r="H112" s="614">
        <v>0.77500000000000002</v>
      </c>
      <c r="I112" s="614">
        <v>0.77500000000000002</v>
      </c>
      <c r="J112" s="615">
        <v>0.77500000000000002</v>
      </c>
      <c r="K112" s="67"/>
    </row>
    <row r="113" spans="1:11" x14ac:dyDescent="0.25">
      <c r="A113" s="613">
        <v>20000</v>
      </c>
      <c r="B113" s="617" t="s">
        <v>906</v>
      </c>
      <c r="C113" s="617" t="s">
        <v>906</v>
      </c>
      <c r="D113" s="614">
        <v>0.57299999999999995</v>
      </c>
      <c r="E113" s="614">
        <v>0.57299999999999995</v>
      </c>
      <c r="F113" s="614">
        <v>0.57299999999999995</v>
      </c>
      <c r="G113" s="614">
        <v>0.57299999999999995</v>
      </c>
      <c r="H113" s="614">
        <v>0.66600000000000004</v>
      </c>
      <c r="I113" s="614">
        <v>0.66600000000000004</v>
      </c>
      <c r="J113" s="615">
        <v>0.67300000000000004</v>
      </c>
      <c r="K113" s="67"/>
    </row>
    <row r="114" spans="1:11" x14ac:dyDescent="0.25">
      <c r="A114" s="613">
        <v>50000</v>
      </c>
      <c r="B114" s="617" t="s">
        <v>906</v>
      </c>
      <c r="C114" s="617" t="s">
        <v>906</v>
      </c>
      <c r="D114" s="617" t="s">
        <v>906</v>
      </c>
      <c r="E114" s="617" t="s">
        <v>906</v>
      </c>
      <c r="F114" s="617" t="s">
        <v>906</v>
      </c>
      <c r="G114" s="614">
        <v>0.42699999999999999</v>
      </c>
      <c r="H114" s="614">
        <v>0.442</v>
      </c>
      <c r="I114" s="614">
        <v>0.56999999999999995</v>
      </c>
      <c r="J114" s="615">
        <v>0.58199999999999996</v>
      </c>
      <c r="K114" s="67"/>
    </row>
    <row r="115" spans="1:11" ht="13" thickBot="1" x14ac:dyDescent="0.3">
      <c r="A115" s="625">
        <v>100000</v>
      </c>
      <c r="B115" s="626" t="s">
        <v>906</v>
      </c>
      <c r="C115" s="626" t="s">
        <v>906</v>
      </c>
      <c r="D115" s="626" t="s">
        <v>906</v>
      </c>
      <c r="E115" s="626" t="s">
        <v>906</v>
      </c>
      <c r="F115" s="626" t="s">
        <v>906</v>
      </c>
      <c r="G115" s="626" t="s">
        <v>906</v>
      </c>
      <c r="H115" s="627">
        <v>0.377</v>
      </c>
      <c r="I115" s="627">
        <v>0.42299999999999999</v>
      </c>
      <c r="J115" s="628">
        <v>0.47499999999999998</v>
      </c>
      <c r="K115" s="67"/>
    </row>
    <row r="116" spans="1:11" x14ac:dyDescent="0.25">
      <c r="A116" s="622"/>
      <c r="B116" s="622"/>
      <c r="C116" s="622"/>
      <c r="D116" s="622"/>
      <c r="E116" s="622"/>
      <c r="F116" s="622"/>
      <c r="G116" s="622"/>
      <c r="H116" s="622"/>
      <c r="I116" s="622"/>
      <c r="J116" s="622"/>
      <c r="K116" s="67"/>
    </row>
    <row r="117" spans="1:11" ht="13" x14ac:dyDescent="0.3">
      <c r="A117" s="624" t="s">
        <v>908</v>
      </c>
      <c r="B117" s="622"/>
      <c r="C117" s="622"/>
      <c r="D117" s="622"/>
      <c r="E117" s="622"/>
      <c r="F117" s="622"/>
      <c r="G117" s="622"/>
      <c r="H117" s="622"/>
      <c r="I117" s="622"/>
      <c r="J117" s="622"/>
      <c r="K117" s="67"/>
    </row>
    <row r="118" spans="1:11" ht="13" x14ac:dyDescent="0.3">
      <c r="A118" s="624"/>
      <c r="B118" s="622"/>
      <c r="C118" s="622"/>
      <c r="D118" s="622"/>
      <c r="E118" s="622"/>
      <c r="F118" s="622"/>
      <c r="G118" s="622"/>
      <c r="H118" s="622"/>
      <c r="I118" s="622"/>
      <c r="J118" s="622"/>
      <c r="K118" s="67"/>
    </row>
    <row r="119" spans="1:11" ht="13" x14ac:dyDescent="0.3">
      <c r="A119" s="624" t="s">
        <v>914</v>
      </c>
      <c r="B119" s="622"/>
      <c r="C119" s="622"/>
      <c r="D119" s="622"/>
      <c r="E119" s="622"/>
      <c r="F119" s="622"/>
      <c r="G119" s="622"/>
      <c r="H119" s="622"/>
      <c r="I119" s="622"/>
      <c r="J119" s="622"/>
      <c r="K119" s="67"/>
    </row>
    <row r="120" spans="1:11" x14ac:dyDescent="0.25">
      <c r="A120" s="622"/>
      <c r="B120" s="622"/>
      <c r="C120" s="622"/>
      <c r="D120" s="622"/>
      <c r="E120" s="622"/>
      <c r="F120" s="622"/>
      <c r="G120" s="622"/>
      <c r="H120" s="622"/>
      <c r="I120" s="622"/>
      <c r="J120" s="622"/>
      <c r="K120" s="67"/>
    </row>
    <row r="121" spans="1:11" ht="13.5" thickBot="1" x14ac:dyDescent="0.35">
      <c r="A121" s="624" t="s">
        <v>910</v>
      </c>
      <c r="B121" s="622"/>
      <c r="C121" s="622"/>
      <c r="D121" s="622"/>
      <c r="E121" s="622"/>
      <c r="F121" s="622"/>
      <c r="G121" s="622"/>
      <c r="H121" s="622"/>
      <c r="I121" s="622"/>
      <c r="J121" s="622"/>
      <c r="K121" s="67"/>
    </row>
    <row r="122" spans="1:11" x14ac:dyDescent="0.25">
      <c r="A122" s="1105" t="s">
        <v>614</v>
      </c>
      <c r="B122" s="1107" t="s">
        <v>896</v>
      </c>
      <c r="C122" s="1109" t="s">
        <v>897</v>
      </c>
      <c r="D122" s="1109" t="s">
        <v>898</v>
      </c>
      <c r="E122" s="1109" t="s">
        <v>899</v>
      </c>
      <c r="F122" s="1109" t="s">
        <v>900</v>
      </c>
      <c r="G122" s="1109" t="s">
        <v>901</v>
      </c>
      <c r="H122" s="1109" t="s">
        <v>902</v>
      </c>
      <c r="I122" s="1109" t="s">
        <v>903</v>
      </c>
      <c r="J122" s="1112" t="s">
        <v>904</v>
      </c>
      <c r="K122" s="67"/>
    </row>
    <row r="123" spans="1:11" x14ac:dyDescent="0.25">
      <c r="A123" s="1106"/>
      <c r="B123" s="1108"/>
      <c r="C123" s="1110"/>
      <c r="D123" s="1110"/>
      <c r="E123" s="1110"/>
      <c r="F123" s="1110"/>
      <c r="G123" s="1110"/>
      <c r="H123" s="1110"/>
      <c r="I123" s="1110"/>
      <c r="J123" s="1113"/>
      <c r="K123" s="67"/>
    </row>
    <row r="124" spans="1:11" x14ac:dyDescent="0.25">
      <c r="A124" s="1106"/>
      <c r="B124" s="1108"/>
      <c r="C124" s="1110"/>
      <c r="D124" s="1110"/>
      <c r="E124" s="1110"/>
      <c r="F124" s="1110"/>
      <c r="G124" s="1110"/>
      <c r="H124" s="1110"/>
      <c r="I124" s="1110"/>
      <c r="J124" s="1113"/>
      <c r="K124" s="67"/>
    </row>
    <row r="125" spans="1:11" x14ac:dyDescent="0.25">
      <c r="A125" s="1106"/>
      <c r="B125" s="1108"/>
      <c r="C125" s="1111"/>
      <c r="D125" s="1111"/>
      <c r="E125" s="1111"/>
      <c r="F125" s="1111"/>
      <c r="G125" s="1111"/>
      <c r="H125" s="1111"/>
      <c r="I125" s="1111"/>
      <c r="J125" s="1114"/>
      <c r="K125" s="67"/>
    </row>
    <row r="126" spans="1:11" x14ac:dyDescent="0.25">
      <c r="A126" s="613">
        <v>0</v>
      </c>
      <c r="B126" s="614">
        <v>0.97699999999999998</v>
      </c>
      <c r="C126" s="614">
        <v>0.97699999999999998</v>
      </c>
      <c r="D126" s="614">
        <v>0.97699999999999998</v>
      </c>
      <c r="E126" s="614">
        <v>0.97699999999999998</v>
      </c>
      <c r="F126" s="614">
        <v>0.97699999999999998</v>
      </c>
      <c r="G126" s="614">
        <v>0.97699999999999998</v>
      </c>
      <c r="H126" s="614">
        <v>0.97699999999999998</v>
      </c>
      <c r="I126" s="614">
        <v>0.97699999999999998</v>
      </c>
      <c r="J126" s="615">
        <v>0.97699999999999998</v>
      </c>
      <c r="K126" s="67"/>
    </row>
    <row r="127" spans="1:11" x14ac:dyDescent="0.25">
      <c r="A127" s="613">
        <v>100</v>
      </c>
      <c r="B127" s="614">
        <v>0.94399999999999995</v>
      </c>
      <c r="C127" s="614">
        <v>0.95499999999999996</v>
      </c>
      <c r="D127" s="614">
        <v>0.96199999999999997</v>
      </c>
      <c r="E127" s="614">
        <v>0.96399999999999997</v>
      </c>
      <c r="F127" s="614">
        <v>0.96899999999999997</v>
      </c>
      <c r="G127" s="614">
        <v>0.97199999999999998</v>
      </c>
      <c r="H127" s="614">
        <v>0.97299999999999998</v>
      </c>
      <c r="I127" s="614">
        <v>0.97499999999999998</v>
      </c>
      <c r="J127" s="615">
        <v>0.97599999999999998</v>
      </c>
      <c r="K127" s="67"/>
    </row>
    <row r="128" spans="1:11" x14ac:dyDescent="0.25">
      <c r="A128" s="613">
        <v>250</v>
      </c>
      <c r="B128" s="614">
        <v>0.89700000000000002</v>
      </c>
      <c r="C128" s="614">
        <v>0.92200000000000004</v>
      </c>
      <c r="D128" s="614">
        <v>0.94</v>
      </c>
      <c r="E128" s="614">
        <v>0.94599999999999995</v>
      </c>
      <c r="F128" s="614">
        <v>0.95599999999999996</v>
      </c>
      <c r="G128" s="614">
        <v>0.96399999999999997</v>
      </c>
      <c r="H128" s="614">
        <v>0.96799999999999997</v>
      </c>
      <c r="I128" s="614">
        <v>0.97099999999999997</v>
      </c>
      <c r="J128" s="615">
        <v>0.97099999999999997</v>
      </c>
      <c r="K128" s="67"/>
    </row>
    <row r="129" spans="1:11" x14ac:dyDescent="0.25">
      <c r="A129" s="613">
        <v>500</v>
      </c>
      <c r="B129" s="614">
        <v>0.82099999999999995</v>
      </c>
      <c r="C129" s="614">
        <v>0.87</v>
      </c>
      <c r="D129" s="614">
        <v>0.89900000000000002</v>
      </c>
      <c r="E129" s="614">
        <v>0.89900000000000002</v>
      </c>
      <c r="F129" s="614">
        <v>0.89900000000000002</v>
      </c>
      <c r="G129" s="617">
        <v>0.90900000000000003</v>
      </c>
      <c r="H129" s="617">
        <v>0.92800000000000005</v>
      </c>
      <c r="I129" s="617">
        <v>0.93799999999999994</v>
      </c>
      <c r="J129" s="618">
        <v>0.93799999999999994</v>
      </c>
      <c r="K129" s="67"/>
    </row>
    <row r="130" spans="1:11" x14ac:dyDescent="0.25">
      <c r="A130" s="613">
        <v>750</v>
      </c>
      <c r="B130" s="617" t="s">
        <v>906</v>
      </c>
      <c r="C130" s="617" t="s">
        <v>906</v>
      </c>
      <c r="D130" s="617" t="s">
        <v>906</v>
      </c>
      <c r="E130" s="617" t="s">
        <v>906</v>
      </c>
      <c r="F130" s="617" t="s">
        <v>906</v>
      </c>
      <c r="G130" s="617" t="s">
        <v>906</v>
      </c>
      <c r="H130" s="617" t="s">
        <v>906</v>
      </c>
      <c r="I130" s="617" t="s">
        <v>906</v>
      </c>
      <c r="J130" s="618" t="s">
        <v>906</v>
      </c>
      <c r="K130" s="67"/>
    </row>
    <row r="131" spans="1:11" x14ac:dyDescent="0.25">
      <c r="A131" s="613">
        <v>1000</v>
      </c>
      <c r="B131" s="614">
        <v>0.68700000000000006</v>
      </c>
      <c r="C131" s="614">
        <v>0.77500000000000002</v>
      </c>
      <c r="D131" s="614">
        <v>0.82199999999999995</v>
      </c>
      <c r="E131" s="614">
        <v>0.82199999999999995</v>
      </c>
      <c r="F131" s="614">
        <v>0.82199999999999995</v>
      </c>
      <c r="G131" s="614">
        <v>0.85</v>
      </c>
      <c r="H131" s="614">
        <v>0.88</v>
      </c>
      <c r="I131" s="614">
        <v>0.89900000000000002</v>
      </c>
      <c r="J131" s="615">
        <v>0.89900000000000002</v>
      </c>
      <c r="K131" s="67"/>
    </row>
    <row r="132" spans="1:11" x14ac:dyDescent="0.25">
      <c r="A132" s="613">
        <v>1500</v>
      </c>
      <c r="B132" s="614">
        <v>0.65300000000000002</v>
      </c>
      <c r="C132" s="614">
        <v>0.69299999999999995</v>
      </c>
      <c r="D132" s="614">
        <v>0.78400000000000003</v>
      </c>
      <c r="E132" s="614">
        <v>0.79900000000000004</v>
      </c>
      <c r="F132" s="614">
        <v>0.79900000000000004</v>
      </c>
      <c r="G132" s="614">
        <v>0.79900000000000004</v>
      </c>
      <c r="H132" s="614">
        <v>0.84</v>
      </c>
      <c r="I132" s="614">
        <v>0.87</v>
      </c>
      <c r="J132" s="615">
        <v>0.87</v>
      </c>
      <c r="K132" s="67"/>
    </row>
    <row r="133" spans="1:11" x14ac:dyDescent="0.25">
      <c r="A133" s="613">
        <v>2500</v>
      </c>
      <c r="B133" s="614">
        <v>0.60599999999999998</v>
      </c>
      <c r="C133" s="614">
        <v>0.60599999999999998</v>
      </c>
      <c r="D133" s="614">
        <v>0.68600000000000005</v>
      </c>
      <c r="E133" s="614">
        <v>0.76200000000000001</v>
      </c>
      <c r="F133" s="614">
        <v>0.76200000000000001</v>
      </c>
      <c r="G133" s="614">
        <v>0.76200000000000001</v>
      </c>
      <c r="H133" s="614">
        <v>0.79200000000000004</v>
      </c>
      <c r="I133" s="614">
        <v>0.82099999999999995</v>
      </c>
      <c r="J133" s="615">
        <v>0.82099999999999995</v>
      </c>
      <c r="K133" s="67"/>
    </row>
    <row r="134" spans="1:11" x14ac:dyDescent="0.25">
      <c r="A134" s="613">
        <v>5000</v>
      </c>
      <c r="B134" s="614">
        <v>0.57199999999999995</v>
      </c>
      <c r="C134" s="614">
        <v>0.57199999999999995</v>
      </c>
      <c r="D134" s="614">
        <v>0.57199999999999995</v>
      </c>
      <c r="E134" s="614">
        <v>0.67400000000000004</v>
      </c>
      <c r="F134" s="614">
        <v>0.68400000000000005</v>
      </c>
      <c r="G134" s="614">
        <v>0.69899999999999995</v>
      </c>
      <c r="H134" s="614">
        <v>0.69899999999999995</v>
      </c>
      <c r="I134" s="614">
        <v>0.69899999999999995</v>
      </c>
      <c r="J134" s="615">
        <v>0.69899999999999995</v>
      </c>
      <c r="K134" s="67"/>
    </row>
    <row r="135" spans="1:11" x14ac:dyDescent="0.25">
      <c r="A135" s="613">
        <v>10000</v>
      </c>
      <c r="B135" s="617" t="s">
        <v>906</v>
      </c>
      <c r="C135" s="614">
        <v>0.53800000000000003</v>
      </c>
      <c r="D135" s="614">
        <v>0.53800000000000003</v>
      </c>
      <c r="E135" s="614">
        <v>0.53800000000000003</v>
      </c>
      <c r="F135" s="614">
        <v>0.53800000000000003</v>
      </c>
      <c r="G135" s="614">
        <v>0.61599999999999999</v>
      </c>
      <c r="H135" s="614">
        <v>0.65800000000000003</v>
      </c>
      <c r="I135" s="614">
        <v>0.65800000000000003</v>
      </c>
      <c r="J135" s="615">
        <v>0.65800000000000003</v>
      </c>
      <c r="K135" s="67"/>
    </row>
    <row r="136" spans="1:11" x14ac:dyDescent="0.25">
      <c r="A136" s="613">
        <v>20000</v>
      </c>
      <c r="B136" s="617" t="s">
        <v>906</v>
      </c>
      <c r="C136" s="617" t="s">
        <v>906</v>
      </c>
      <c r="D136" s="614">
        <v>0.47899999999999998</v>
      </c>
      <c r="E136" s="614">
        <v>0.47899999999999998</v>
      </c>
      <c r="F136" s="614">
        <v>0.47899999999999998</v>
      </c>
      <c r="G136" s="614">
        <v>0.47899999999999998</v>
      </c>
      <c r="H136" s="614">
        <v>0.58599999999999997</v>
      </c>
      <c r="I136" s="614">
        <v>0.58599999999999997</v>
      </c>
      <c r="J136" s="615">
        <v>0.58599999999999997</v>
      </c>
      <c r="K136" s="67"/>
    </row>
    <row r="137" spans="1:11" x14ac:dyDescent="0.25">
      <c r="A137" s="613">
        <v>50000</v>
      </c>
      <c r="B137" s="617" t="s">
        <v>906</v>
      </c>
      <c r="C137" s="617" t="s">
        <v>906</v>
      </c>
      <c r="D137" s="617" t="s">
        <v>906</v>
      </c>
      <c r="E137" s="617" t="s">
        <v>906</v>
      </c>
      <c r="F137" s="617" t="s">
        <v>906</v>
      </c>
      <c r="G137" s="614">
        <v>0.40400000000000003</v>
      </c>
      <c r="H137" s="614">
        <v>0.40400000000000003</v>
      </c>
      <c r="I137" s="614">
        <v>0.40400000000000003</v>
      </c>
      <c r="J137" s="615">
        <v>0.44900000000000001</v>
      </c>
      <c r="K137" s="67"/>
    </row>
    <row r="138" spans="1:11" ht="13" thickBot="1" x14ac:dyDescent="0.3">
      <c r="A138" s="625">
        <v>100000</v>
      </c>
      <c r="B138" s="626" t="s">
        <v>906</v>
      </c>
      <c r="C138" s="626" t="s">
        <v>906</v>
      </c>
      <c r="D138" s="626" t="s">
        <v>906</v>
      </c>
      <c r="E138" s="626" t="s">
        <v>906</v>
      </c>
      <c r="F138" s="626" t="s">
        <v>906</v>
      </c>
      <c r="G138" s="626" t="s">
        <v>906</v>
      </c>
      <c r="H138" s="627">
        <v>0.33600000000000002</v>
      </c>
      <c r="I138" s="627">
        <v>0.33600000000000002</v>
      </c>
      <c r="J138" s="628">
        <v>0.374</v>
      </c>
      <c r="K138" s="67"/>
    </row>
    <row r="139" spans="1:11" x14ac:dyDescent="0.25">
      <c r="A139" s="67"/>
      <c r="B139" s="67"/>
      <c r="C139" s="67"/>
      <c r="D139" s="67"/>
      <c r="E139" s="67"/>
      <c r="F139" s="67"/>
      <c r="G139" s="67"/>
      <c r="H139" s="67"/>
      <c r="I139" s="67"/>
      <c r="J139" s="67"/>
      <c r="K139" s="67"/>
    </row>
    <row r="140" spans="1:11" ht="13" x14ac:dyDescent="0.3">
      <c r="A140" s="9" t="s">
        <v>908</v>
      </c>
      <c r="B140" s="67"/>
      <c r="C140" s="67"/>
      <c r="D140" s="67"/>
      <c r="E140" s="67"/>
      <c r="F140" s="67"/>
      <c r="G140" s="67"/>
      <c r="H140" s="67"/>
      <c r="I140" s="67"/>
      <c r="J140" s="67"/>
      <c r="K140" s="67"/>
    </row>
    <row r="141" spans="1:11" x14ac:dyDescent="0.25">
      <c r="A141" s="67"/>
      <c r="B141" s="67"/>
      <c r="C141" s="67"/>
      <c r="D141" s="67"/>
      <c r="E141" s="67"/>
      <c r="F141" s="67"/>
      <c r="G141" s="67"/>
      <c r="H141" s="67"/>
      <c r="I141" s="67"/>
      <c r="J141" s="67"/>
      <c r="K141" s="67"/>
    </row>
    <row r="142" spans="1:11" ht="13" x14ac:dyDescent="0.3">
      <c r="A142" s="9" t="s">
        <v>915</v>
      </c>
      <c r="B142" s="67"/>
      <c r="C142" s="67"/>
      <c r="D142" s="67"/>
      <c r="E142" s="67"/>
      <c r="F142" s="67"/>
      <c r="G142" s="67"/>
      <c r="H142" s="67"/>
      <c r="I142" s="67"/>
      <c r="J142" s="67"/>
      <c r="K142" s="67"/>
    </row>
    <row r="143" spans="1:11" x14ac:dyDescent="0.25">
      <c r="A143" s="67" t="s">
        <v>916</v>
      </c>
      <c r="B143" s="67"/>
      <c r="C143" s="67"/>
      <c r="D143" s="67"/>
      <c r="E143" s="67"/>
      <c r="F143" s="67"/>
      <c r="G143" s="67"/>
      <c r="H143" s="67"/>
      <c r="I143" s="67"/>
      <c r="J143" s="67"/>
      <c r="K143" s="67"/>
    </row>
    <row r="144" spans="1:11" x14ac:dyDescent="0.25">
      <c r="A144" s="156" t="s">
        <v>917</v>
      </c>
      <c r="B144" s="67"/>
      <c r="C144" s="67"/>
      <c r="D144" s="67"/>
      <c r="E144" s="67"/>
      <c r="F144" s="67"/>
      <c r="G144" s="67"/>
      <c r="H144" s="67"/>
      <c r="I144" s="67"/>
      <c r="J144" s="67"/>
      <c r="K144" s="67"/>
    </row>
    <row r="145" spans="1:11" x14ac:dyDescent="0.25">
      <c r="A145" s="67"/>
      <c r="B145" s="67"/>
      <c r="C145" s="67"/>
      <c r="D145" s="67"/>
      <c r="E145" s="67"/>
      <c r="F145" s="67"/>
      <c r="G145" s="67"/>
      <c r="H145" s="67"/>
      <c r="I145" s="67"/>
      <c r="J145" s="67"/>
      <c r="K145" s="67"/>
    </row>
    <row r="146" spans="1:11" ht="13.5" thickBot="1" x14ac:dyDescent="0.35">
      <c r="A146" s="9" t="s">
        <v>918</v>
      </c>
      <c r="B146" s="67"/>
      <c r="C146" s="67"/>
      <c r="D146" s="67"/>
      <c r="E146" s="67"/>
      <c r="F146" s="67"/>
      <c r="G146" s="67"/>
      <c r="H146" s="67"/>
      <c r="I146" s="67"/>
      <c r="J146" s="67"/>
      <c r="K146" s="67"/>
    </row>
    <row r="147" spans="1:11" x14ac:dyDescent="0.25">
      <c r="A147" s="1095" t="s">
        <v>614</v>
      </c>
      <c r="B147" s="1097" t="s">
        <v>919</v>
      </c>
      <c r="C147" s="1099" t="s">
        <v>920</v>
      </c>
      <c r="D147" s="1099" t="s">
        <v>921</v>
      </c>
      <c r="E147" s="1099" t="s">
        <v>922</v>
      </c>
      <c r="F147" s="1102" t="s">
        <v>923</v>
      </c>
      <c r="G147" s="67"/>
      <c r="H147" s="67"/>
      <c r="I147" s="67"/>
      <c r="J147" s="67"/>
      <c r="K147" s="67"/>
    </row>
    <row r="148" spans="1:11" x14ac:dyDescent="0.25">
      <c r="A148" s="1096"/>
      <c r="B148" s="1098"/>
      <c r="C148" s="1100"/>
      <c r="D148" s="1100"/>
      <c r="E148" s="1100"/>
      <c r="F148" s="1103"/>
      <c r="G148" s="67"/>
      <c r="H148" s="67"/>
      <c r="I148" s="67"/>
      <c r="J148" s="67"/>
      <c r="K148" s="67"/>
    </row>
    <row r="149" spans="1:11" x14ac:dyDescent="0.25">
      <c r="A149" s="1096"/>
      <c r="B149" s="1098"/>
      <c r="C149" s="1100"/>
      <c r="D149" s="1100"/>
      <c r="E149" s="1100"/>
      <c r="F149" s="1103"/>
      <c r="G149" s="67"/>
      <c r="H149" s="67"/>
      <c r="I149" s="67"/>
      <c r="J149" s="67"/>
      <c r="K149" s="67"/>
    </row>
    <row r="150" spans="1:11" x14ac:dyDescent="0.25">
      <c r="A150" s="1096"/>
      <c r="B150" s="1098"/>
      <c r="C150" s="1101"/>
      <c r="D150" s="1101"/>
      <c r="E150" s="1101"/>
      <c r="F150" s="1104"/>
      <c r="G150" s="67"/>
      <c r="H150" s="67"/>
      <c r="I150" s="67"/>
      <c r="J150" s="67"/>
      <c r="K150" s="67"/>
    </row>
    <row r="151" spans="1:11" x14ac:dyDescent="0.25">
      <c r="A151" s="405">
        <v>0</v>
      </c>
      <c r="B151" s="157">
        <v>1</v>
      </c>
      <c r="C151" s="157">
        <v>1</v>
      </c>
      <c r="D151" s="157">
        <v>1</v>
      </c>
      <c r="E151" s="157">
        <v>1</v>
      </c>
      <c r="F151" s="406">
        <v>1</v>
      </c>
      <c r="G151" s="67"/>
      <c r="H151" s="67"/>
      <c r="I151" s="67"/>
      <c r="J151" s="67"/>
      <c r="K151" s="67"/>
    </row>
    <row r="152" spans="1:11" x14ac:dyDescent="0.25">
      <c r="A152" s="613">
        <v>250</v>
      </c>
      <c r="B152" s="614" t="s">
        <v>906</v>
      </c>
      <c r="C152" s="614" t="s">
        <v>906</v>
      </c>
      <c r="D152" s="614" t="s">
        <v>906</v>
      </c>
      <c r="E152" s="614" t="s">
        <v>906</v>
      </c>
      <c r="F152" s="615" t="s">
        <v>906</v>
      </c>
      <c r="G152" s="67"/>
      <c r="H152" s="67"/>
      <c r="I152" s="67"/>
      <c r="J152" s="67"/>
      <c r="K152" s="67"/>
    </row>
    <row r="153" spans="1:11" x14ac:dyDescent="0.25">
      <c r="A153" s="405">
        <v>500</v>
      </c>
      <c r="B153" s="157">
        <v>0.95</v>
      </c>
      <c r="C153" s="157">
        <v>0.95</v>
      </c>
      <c r="D153" s="157" t="s">
        <v>906</v>
      </c>
      <c r="E153" s="157" t="s">
        <v>906</v>
      </c>
      <c r="F153" s="406" t="s">
        <v>906</v>
      </c>
      <c r="G153" s="67"/>
      <c r="H153" s="67"/>
      <c r="I153" s="67"/>
      <c r="J153" s="67"/>
      <c r="K153" s="67"/>
    </row>
    <row r="154" spans="1:11" x14ac:dyDescent="0.25">
      <c r="A154" s="613">
        <v>750</v>
      </c>
      <c r="B154" s="614" t="s">
        <v>906</v>
      </c>
      <c r="C154" s="614" t="s">
        <v>906</v>
      </c>
      <c r="D154" s="614" t="s">
        <v>906</v>
      </c>
      <c r="E154" s="614" t="s">
        <v>906</v>
      </c>
      <c r="F154" s="615" t="s">
        <v>906</v>
      </c>
      <c r="G154" s="67"/>
      <c r="H154" s="67"/>
      <c r="I154" s="67"/>
      <c r="J154" s="67"/>
      <c r="K154" s="67"/>
    </row>
    <row r="155" spans="1:11" x14ac:dyDescent="0.25">
      <c r="A155" s="405">
        <v>1000</v>
      </c>
      <c r="B155" s="157">
        <v>0.91</v>
      </c>
      <c r="C155" s="157">
        <v>0.91</v>
      </c>
      <c r="D155" s="157">
        <v>0.91</v>
      </c>
      <c r="E155" s="157">
        <v>0.91</v>
      </c>
      <c r="F155" s="406" t="s">
        <v>906</v>
      </c>
      <c r="G155" s="67"/>
      <c r="H155" s="67"/>
      <c r="I155" s="67"/>
      <c r="J155" s="67"/>
      <c r="K155" s="67"/>
    </row>
    <row r="156" spans="1:11" x14ac:dyDescent="0.25">
      <c r="A156" s="405">
        <v>1500</v>
      </c>
      <c r="B156" s="157" t="s">
        <v>906</v>
      </c>
      <c r="C156" s="157">
        <v>0.89</v>
      </c>
      <c r="D156" s="157">
        <v>0.89</v>
      </c>
      <c r="E156" s="157">
        <v>0.89</v>
      </c>
      <c r="F156" s="406">
        <v>0.89</v>
      </c>
      <c r="G156" s="67"/>
      <c r="H156" s="67"/>
      <c r="I156" s="67"/>
      <c r="J156" s="67"/>
      <c r="K156" s="67"/>
    </row>
    <row r="157" spans="1:11" x14ac:dyDescent="0.25">
      <c r="A157" s="405">
        <v>2500</v>
      </c>
      <c r="B157" s="157" t="s">
        <v>906</v>
      </c>
      <c r="C157" s="157">
        <v>0.87</v>
      </c>
      <c r="D157" s="157">
        <v>0.87</v>
      </c>
      <c r="E157" s="157">
        <v>0.87</v>
      </c>
      <c r="F157" s="406">
        <v>0.87</v>
      </c>
      <c r="G157" s="67"/>
      <c r="H157" s="67"/>
      <c r="I157" s="67"/>
      <c r="J157" s="67"/>
      <c r="K157" s="67"/>
    </row>
    <row r="158" spans="1:11" x14ac:dyDescent="0.25">
      <c r="A158" s="405">
        <v>5000</v>
      </c>
      <c r="B158" s="157" t="s">
        <v>906</v>
      </c>
      <c r="C158" s="157" t="s">
        <v>906</v>
      </c>
      <c r="D158" s="157">
        <v>0.84</v>
      </c>
      <c r="E158" s="157">
        <v>0.84</v>
      </c>
      <c r="F158" s="406">
        <v>0.84</v>
      </c>
      <c r="G158" s="67"/>
      <c r="H158" s="67"/>
      <c r="I158" s="67"/>
      <c r="J158" s="67"/>
      <c r="K158" s="67"/>
    </row>
    <row r="159" spans="1:11" x14ac:dyDescent="0.25">
      <c r="A159" s="405">
        <v>10000</v>
      </c>
      <c r="B159" s="157" t="s">
        <v>906</v>
      </c>
      <c r="C159" s="157" t="s">
        <v>906</v>
      </c>
      <c r="D159" s="157">
        <v>0.8</v>
      </c>
      <c r="E159" s="157">
        <v>0.8</v>
      </c>
      <c r="F159" s="406">
        <v>0.8</v>
      </c>
      <c r="G159" s="67"/>
      <c r="H159" s="67"/>
      <c r="I159" s="67"/>
      <c r="J159" s="67"/>
      <c r="K159" s="67"/>
    </row>
    <row r="160" spans="1:11" x14ac:dyDescent="0.25">
      <c r="A160" s="405">
        <v>20000</v>
      </c>
      <c r="B160" s="157" t="s">
        <v>906</v>
      </c>
      <c r="C160" s="157" t="s">
        <v>906</v>
      </c>
      <c r="D160" s="157" t="s">
        <v>906</v>
      </c>
      <c r="E160" s="157">
        <v>0.7</v>
      </c>
      <c r="F160" s="406">
        <v>0.7</v>
      </c>
      <c r="G160" s="67"/>
      <c r="H160" s="67"/>
      <c r="I160" s="67"/>
      <c r="J160" s="67"/>
      <c r="K160" s="67"/>
    </row>
    <row r="161" spans="1:11" x14ac:dyDescent="0.25">
      <c r="A161" s="405">
        <v>50000</v>
      </c>
      <c r="B161" s="157" t="s">
        <v>906</v>
      </c>
      <c r="C161" s="157" t="s">
        <v>906</v>
      </c>
      <c r="D161" s="157" t="s">
        <v>906</v>
      </c>
      <c r="E161" s="157">
        <v>0.65</v>
      </c>
      <c r="F161" s="406">
        <v>0.65</v>
      </c>
      <c r="G161" s="67"/>
      <c r="H161" s="67"/>
      <c r="I161" s="67"/>
      <c r="J161" s="67"/>
      <c r="K161" s="67"/>
    </row>
    <row r="162" spans="1:11" ht="13" thickBot="1" x14ac:dyDescent="0.3">
      <c r="A162" s="407">
        <v>100000</v>
      </c>
      <c r="B162" s="408" t="s">
        <v>906</v>
      </c>
      <c r="C162" s="408" t="s">
        <v>906</v>
      </c>
      <c r="D162" s="408" t="s">
        <v>906</v>
      </c>
      <c r="E162" s="408" t="s">
        <v>906</v>
      </c>
      <c r="F162" s="409">
        <v>0.6</v>
      </c>
      <c r="G162" s="67"/>
      <c r="H162" s="67"/>
      <c r="I162" s="67"/>
      <c r="J162" s="67"/>
      <c r="K162" s="67"/>
    </row>
    <row r="163" spans="1:11" x14ac:dyDescent="0.25">
      <c r="A163" s="67"/>
      <c r="B163" s="67"/>
      <c r="C163" s="67"/>
      <c r="D163" s="67"/>
      <c r="E163" s="67"/>
      <c r="F163" s="67"/>
      <c r="G163" s="67"/>
      <c r="H163" s="67"/>
      <c r="I163" s="67"/>
      <c r="J163" s="67"/>
      <c r="K163" s="67"/>
    </row>
    <row r="164" spans="1:11" ht="13" x14ac:dyDescent="0.3">
      <c r="A164" s="9" t="s">
        <v>924</v>
      </c>
      <c r="B164" s="67"/>
      <c r="C164" s="67"/>
      <c r="D164" s="67"/>
      <c r="E164" s="67"/>
      <c r="F164" s="67"/>
      <c r="G164" s="67"/>
      <c r="H164" s="67"/>
      <c r="I164" s="67"/>
      <c r="J164" s="67"/>
      <c r="K164" s="67"/>
    </row>
    <row r="165" spans="1:11" x14ac:dyDescent="0.25">
      <c r="A165" s="67" t="s">
        <v>925</v>
      </c>
      <c r="B165" s="67"/>
      <c r="C165" s="67"/>
      <c r="D165" s="67"/>
      <c r="E165" s="67"/>
      <c r="F165" s="67"/>
      <c r="G165" s="67"/>
      <c r="H165" s="67"/>
      <c r="I165" s="67"/>
      <c r="J165" s="67"/>
      <c r="K165" s="67"/>
    </row>
    <row r="166" spans="1:11" x14ac:dyDescent="0.25">
      <c r="A166" s="156" t="s">
        <v>926</v>
      </c>
      <c r="B166" s="160"/>
      <c r="C166" s="67"/>
      <c r="D166" s="67"/>
      <c r="E166" s="67"/>
      <c r="F166" s="67"/>
      <c r="G166" s="67"/>
      <c r="H166" s="67"/>
      <c r="I166" s="67"/>
      <c r="J166" s="67"/>
      <c r="K166" s="67"/>
    </row>
    <row r="167" spans="1:11" x14ac:dyDescent="0.25">
      <c r="A167" s="67"/>
      <c r="B167" s="67"/>
      <c r="C167" s="67"/>
      <c r="D167" s="67"/>
      <c r="E167" s="67"/>
      <c r="F167" s="67"/>
      <c r="G167" s="67"/>
      <c r="H167" s="67"/>
      <c r="I167" s="67"/>
      <c r="J167" s="67"/>
      <c r="K167" s="67"/>
    </row>
    <row r="168" spans="1:11" ht="13.5" thickBot="1" x14ac:dyDescent="0.35">
      <c r="A168" s="9" t="s">
        <v>927</v>
      </c>
      <c r="B168" s="67"/>
      <c r="C168" s="67"/>
      <c r="D168" s="67"/>
      <c r="E168" s="67"/>
      <c r="F168" s="67"/>
      <c r="G168" s="67"/>
      <c r="H168" s="67"/>
      <c r="I168" s="67"/>
      <c r="J168" s="67"/>
      <c r="K168" s="67"/>
    </row>
    <row r="169" spans="1:11" x14ac:dyDescent="0.25">
      <c r="A169" s="1095" t="s">
        <v>614</v>
      </c>
      <c r="B169" s="1117" t="s">
        <v>919</v>
      </c>
      <c r="C169" s="1119" t="s">
        <v>928</v>
      </c>
      <c r="D169" s="158"/>
      <c r="E169" s="158"/>
      <c r="F169" s="158"/>
      <c r="G169" s="67"/>
      <c r="H169" s="67"/>
      <c r="I169" s="67"/>
      <c r="J169" s="67"/>
      <c r="K169" s="67"/>
    </row>
    <row r="170" spans="1:11" x14ac:dyDescent="0.25">
      <c r="A170" s="1096"/>
      <c r="B170" s="1118"/>
      <c r="C170" s="1120"/>
      <c r="D170" s="158"/>
      <c r="E170" s="158"/>
      <c r="F170" s="158"/>
      <c r="G170" s="67"/>
      <c r="H170" s="67"/>
      <c r="I170" s="67"/>
      <c r="J170" s="67"/>
      <c r="K170" s="67"/>
    </row>
    <row r="171" spans="1:11" x14ac:dyDescent="0.25">
      <c r="A171" s="1096"/>
      <c r="B171" s="1118"/>
      <c r="C171" s="1121"/>
      <c r="D171" s="158"/>
      <c r="E171" s="158"/>
      <c r="F171" s="158"/>
      <c r="G171" s="67"/>
      <c r="H171" s="67"/>
      <c r="I171" s="67"/>
      <c r="J171" s="67"/>
      <c r="K171" s="67"/>
    </row>
    <row r="172" spans="1:11" x14ac:dyDescent="0.25">
      <c r="A172" s="405">
        <v>250</v>
      </c>
      <c r="B172" s="157">
        <v>1</v>
      </c>
      <c r="C172" s="406">
        <v>1</v>
      </c>
      <c r="D172" s="67"/>
      <c r="E172" s="67"/>
      <c r="F172" s="67"/>
      <c r="G172" s="67"/>
      <c r="H172" s="67"/>
      <c r="I172" s="67"/>
      <c r="J172" s="67"/>
      <c r="K172" s="67"/>
    </row>
    <row r="173" spans="1:11" x14ac:dyDescent="0.25">
      <c r="A173" s="405">
        <v>500</v>
      </c>
      <c r="B173" s="157">
        <v>0.95</v>
      </c>
      <c r="C173" s="406">
        <v>0.96</v>
      </c>
      <c r="D173" s="67"/>
      <c r="E173" s="67"/>
      <c r="F173" s="67"/>
      <c r="G173" s="67"/>
      <c r="H173" s="67"/>
      <c r="I173" s="67"/>
      <c r="J173" s="67"/>
      <c r="K173" s="67"/>
    </row>
    <row r="174" spans="1:11" x14ac:dyDescent="0.25">
      <c r="A174" s="405">
        <v>1000</v>
      </c>
      <c r="B174" s="157">
        <v>0.9</v>
      </c>
      <c r="C174" s="406">
        <v>0.92</v>
      </c>
      <c r="D174" s="67"/>
      <c r="E174" s="67"/>
      <c r="F174" s="67"/>
      <c r="G174" s="67"/>
      <c r="H174" s="67"/>
      <c r="I174" s="67"/>
      <c r="J174" s="67"/>
      <c r="K174" s="67"/>
    </row>
    <row r="175" spans="1:11" x14ac:dyDescent="0.25">
      <c r="A175" s="405">
        <v>1500</v>
      </c>
      <c r="B175" s="157">
        <v>0.85</v>
      </c>
      <c r="C175" s="406">
        <v>0.88</v>
      </c>
      <c r="D175" s="67"/>
      <c r="E175" s="67"/>
      <c r="F175" s="67"/>
      <c r="G175" s="67"/>
      <c r="H175" s="67"/>
      <c r="I175" s="67"/>
      <c r="J175" s="67"/>
      <c r="K175" s="67"/>
    </row>
    <row r="176" spans="1:11" x14ac:dyDescent="0.25">
      <c r="A176" s="405">
        <v>2500</v>
      </c>
      <c r="B176" s="157">
        <v>0.8</v>
      </c>
      <c r="C176" s="406">
        <v>0.84</v>
      </c>
      <c r="D176" s="67"/>
      <c r="E176" s="67"/>
      <c r="F176" s="67"/>
      <c r="G176" s="67"/>
      <c r="H176" s="67"/>
      <c r="I176" s="67"/>
      <c r="J176" s="67"/>
      <c r="K176" s="67"/>
    </row>
    <row r="177" spans="1:11" ht="13" thickBot="1" x14ac:dyDescent="0.3">
      <c r="A177" s="407">
        <v>5000</v>
      </c>
      <c r="B177" s="408">
        <v>0.7</v>
      </c>
      <c r="C177" s="409">
        <v>0.76</v>
      </c>
      <c r="D177" s="67"/>
      <c r="E177" s="67"/>
      <c r="F177" s="67"/>
      <c r="G177" s="67"/>
      <c r="H177" s="67"/>
      <c r="I177" s="67"/>
      <c r="J177" s="67"/>
      <c r="K177" s="67"/>
    </row>
    <row r="178" spans="1:11" x14ac:dyDescent="0.25">
      <c r="A178" s="67"/>
      <c r="B178" s="67"/>
      <c r="C178" s="67"/>
      <c r="D178" s="67"/>
      <c r="E178" s="67"/>
      <c r="F178" s="67"/>
      <c r="G178" s="67"/>
      <c r="H178" s="67"/>
      <c r="I178" s="67"/>
      <c r="J178" s="67"/>
      <c r="K178" s="67"/>
    </row>
  </sheetData>
  <mergeCells count="71">
    <mergeCell ref="F147:F150"/>
    <mergeCell ref="A169:A171"/>
    <mergeCell ref="B169:B171"/>
    <mergeCell ref="C169:C171"/>
    <mergeCell ref="A147:A150"/>
    <mergeCell ref="B147:B150"/>
    <mergeCell ref="C147:C150"/>
    <mergeCell ref="D147:D150"/>
    <mergeCell ref="E147:E150"/>
    <mergeCell ref="F122:F125"/>
    <mergeCell ref="G122:G125"/>
    <mergeCell ref="H122:H125"/>
    <mergeCell ref="I122:I125"/>
    <mergeCell ref="J122:J125"/>
    <mergeCell ref="A122:A125"/>
    <mergeCell ref="B122:B125"/>
    <mergeCell ref="C122:C125"/>
    <mergeCell ref="D122:D125"/>
    <mergeCell ref="E122:E125"/>
    <mergeCell ref="F99:F102"/>
    <mergeCell ref="G99:G102"/>
    <mergeCell ref="H99:H102"/>
    <mergeCell ref="I99:I102"/>
    <mergeCell ref="J99:J102"/>
    <mergeCell ref="A99:A102"/>
    <mergeCell ref="B99:B102"/>
    <mergeCell ref="C99:C102"/>
    <mergeCell ref="D99:D102"/>
    <mergeCell ref="E99:E102"/>
    <mergeCell ref="F80:F83"/>
    <mergeCell ref="G80:G83"/>
    <mergeCell ref="H80:H83"/>
    <mergeCell ref="I80:I83"/>
    <mergeCell ref="J80:J83"/>
    <mergeCell ref="A80:A83"/>
    <mergeCell ref="B80:B83"/>
    <mergeCell ref="C80:C83"/>
    <mergeCell ref="D80:D83"/>
    <mergeCell ref="E80:E83"/>
    <mergeCell ref="F54:F57"/>
    <mergeCell ref="G54:G57"/>
    <mergeCell ref="H54:H57"/>
    <mergeCell ref="I54:I57"/>
    <mergeCell ref="J54:J57"/>
    <mergeCell ref="A54:A57"/>
    <mergeCell ref="B54:B57"/>
    <mergeCell ref="C54:C57"/>
    <mergeCell ref="D54:D57"/>
    <mergeCell ref="E54:E57"/>
    <mergeCell ref="F31:F34"/>
    <mergeCell ref="G31:G34"/>
    <mergeCell ref="H31:H34"/>
    <mergeCell ref="I31:I34"/>
    <mergeCell ref="J31:J34"/>
    <mergeCell ref="A31:A34"/>
    <mergeCell ref="B31:B34"/>
    <mergeCell ref="C31:C34"/>
    <mergeCell ref="D31:D34"/>
    <mergeCell ref="E31:E34"/>
    <mergeCell ref="A1:J1"/>
    <mergeCell ref="A3:J3"/>
    <mergeCell ref="A12:A15"/>
    <mergeCell ref="B12:B15"/>
    <mergeCell ref="C12:C15"/>
    <mergeCell ref="D12:D15"/>
    <mergeCell ref="E12:E15"/>
    <mergeCell ref="F12:F15"/>
    <mergeCell ref="G12:G15"/>
    <mergeCell ref="H12:H15"/>
    <mergeCell ref="I12:I15"/>
    <mergeCell ref="J12:J15"/>
  </mergeCells>
  <pageMargins left="0.7" right="0.7" top="0.75" bottom="0.75" header="0.3" footer="0.3"/>
  <pageSetup fitToHeight="50" orientation="portrait" r:id="rId1"/>
  <rowBreaks count="2" manualBreakCount="2">
    <brk id="35" max="16383" man="1"/>
    <brk id="64"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pageSetUpPr fitToPage="1"/>
  </sheetPr>
  <dimension ref="A1:F15"/>
  <sheetViews>
    <sheetView workbookViewId="0">
      <selection activeCell="H26" sqref="H26"/>
    </sheetView>
  </sheetViews>
  <sheetFormatPr defaultRowHeight="12.5" x14ac:dyDescent="0.25"/>
  <cols>
    <col min="1" max="1" width="25.7265625" customWidth="1"/>
    <col min="2" max="2" width="19.26953125" customWidth="1"/>
    <col min="4" max="4" width="23.26953125" customWidth="1"/>
    <col min="5" max="5" width="18.26953125" customWidth="1"/>
  </cols>
  <sheetData>
    <row r="1" spans="1:6" ht="15.5" x14ac:dyDescent="0.25">
      <c r="A1" s="4" t="s">
        <v>173</v>
      </c>
      <c r="B1" s="1122" t="s">
        <v>929</v>
      </c>
      <c r="C1" s="1122"/>
      <c r="D1" s="1122"/>
      <c r="E1" s="1122"/>
    </row>
    <row r="2" spans="1:6" ht="13" x14ac:dyDescent="0.25">
      <c r="A2" s="4" t="s">
        <v>210</v>
      </c>
      <c r="B2" s="30" t="s">
        <v>277</v>
      </c>
      <c r="C2" s="30"/>
      <c r="D2" s="30"/>
      <c r="E2" s="30"/>
    </row>
    <row r="3" spans="1:6" ht="13" x14ac:dyDescent="0.25">
      <c r="A3" s="4" t="s">
        <v>268</v>
      </c>
      <c r="B3" s="1055" t="s">
        <v>930</v>
      </c>
      <c r="C3" s="1055"/>
      <c r="D3" s="1055"/>
      <c r="E3" s="1055"/>
    </row>
    <row r="4" spans="1:6" ht="13" x14ac:dyDescent="0.25">
      <c r="A4" s="4" t="s">
        <v>186</v>
      </c>
      <c r="B4" s="1124" t="s">
        <v>931</v>
      </c>
      <c r="C4" s="1124"/>
      <c r="D4" s="1124"/>
      <c r="E4" s="1124"/>
    </row>
    <row r="5" spans="1:6" ht="13" x14ac:dyDescent="0.25">
      <c r="A5" s="5" t="s">
        <v>270</v>
      </c>
      <c r="B5" s="1123" t="s">
        <v>932</v>
      </c>
      <c r="C5" s="1123"/>
      <c r="D5" s="1123"/>
      <c r="E5" s="1123"/>
    </row>
    <row r="6" spans="1:6" ht="13" x14ac:dyDescent="0.25">
      <c r="A6" s="5" t="s">
        <v>272</v>
      </c>
      <c r="B6" s="33" t="s">
        <v>273</v>
      </c>
      <c r="C6" s="6"/>
      <c r="D6" s="6"/>
      <c r="E6" s="6"/>
    </row>
    <row r="7" spans="1:6" ht="13" x14ac:dyDescent="0.25">
      <c r="A7" s="5" t="s">
        <v>274</v>
      </c>
      <c r="B7" s="1055" t="s">
        <v>933</v>
      </c>
      <c r="C7" s="1123"/>
      <c r="D7" s="1123"/>
      <c r="E7" s="1123"/>
    </row>
    <row r="9" spans="1:6" ht="15.5" x14ac:dyDescent="0.25">
      <c r="A9" s="4" t="s">
        <v>173</v>
      </c>
      <c r="B9" s="1122" t="s">
        <v>934</v>
      </c>
      <c r="C9" s="1122"/>
      <c r="D9" s="1122"/>
      <c r="E9" s="1122"/>
      <c r="F9" s="11"/>
    </row>
    <row r="10" spans="1:6" ht="13" x14ac:dyDescent="0.25">
      <c r="A10" s="4" t="s">
        <v>210</v>
      </c>
      <c r="B10" s="33" t="s">
        <v>277</v>
      </c>
      <c r="C10" s="33"/>
      <c r="D10" s="33"/>
      <c r="E10" s="33"/>
      <c r="F10" s="11"/>
    </row>
    <row r="11" spans="1:6" ht="13" x14ac:dyDescent="0.25">
      <c r="A11" s="4" t="s">
        <v>268</v>
      </c>
      <c r="B11" s="1055" t="s">
        <v>935</v>
      </c>
      <c r="C11" s="1055"/>
      <c r="D11" s="1055"/>
      <c r="E11" s="1055"/>
      <c r="F11" s="11"/>
    </row>
    <row r="12" spans="1:6" ht="13" x14ac:dyDescent="0.25">
      <c r="A12" s="4" t="s">
        <v>186</v>
      </c>
      <c r="B12" s="146">
        <v>50</v>
      </c>
      <c r="C12" s="33"/>
      <c r="D12" s="33"/>
      <c r="E12" s="33"/>
      <c r="F12" s="11"/>
    </row>
    <row r="13" spans="1:6" ht="13" x14ac:dyDescent="0.25">
      <c r="A13" s="5" t="s">
        <v>270</v>
      </c>
      <c r="B13" s="1055"/>
      <c r="C13" s="1055"/>
      <c r="D13" s="1055"/>
      <c r="E13" s="1055"/>
      <c r="F13" s="11"/>
    </row>
    <row r="14" spans="1:6" ht="13" x14ac:dyDescent="0.25">
      <c r="A14" s="5" t="s">
        <v>272</v>
      </c>
      <c r="B14" s="33" t="s">
        <v>273</v>
      </c>
      <c r="C14" s="51"/>
      <c r="D14" s="51"/>
      <c r="E14" s="51"/>
      <c r="F14" s="11"/>
    </row>
    <row r="15" spans="1:6" ht="13" x14ac:dyDescent="0.25">
      <c r="A15" s="5" t="s">
        <v>274</v>
      </c>
      <c r="B15" s="1055" t="s">
        <v>936</v>
      </c>
      <c r="C15" s="1055"/>
      <c r="D15" s="1055"/>
      <c r="E15" s="1055"/>
      <c r="F15" s="11"/>
    </row>
  </sheetData>
  <customSheetViews>
    <customSheetView guid="{0351F9C7-7403-460E-BE2C-296F078AE5FB}" fitToPage="1" showRuler="0" topLeftCell="A25">
      <selection activeCell="A40" sqref="A40"/>
      <pageMargins left="0" right="0" top="0" bottom="0" header="0" footer="0"/>
      <pageSetup scale="95" fitToHeight="5" orientation="portrait" r:id="rId1"/>
      <headerFooter alignWithMargins="0"/>
    </customSheetView>
  </customSheetViews>
  <mergeCells count="9">
    <mergeCell ref="B1:E1"/>
    <mergeCell ref="B3:E3"/>
    <mergeCell ref="B5:E5"/>
    <mergeCell ref="B13:E13"/>
    <mergeCell ref="B15:E15"/>
    <mergeCell ref="B9:E9"/>
    <mergeCell ref="B11:E11"/>
    <mergeCell ref="B7:E7"/>
    <mergeCell ref="B4:E4"/>
  </mergeCells>
  <phoneticPr fontId="13" type="noConversion"/>
  <dataValidations count="1">
    <dataValidation type="list" allowBlank="1" showInputMessage="1" showErrorMessage="1" sqref="B10 B2" xr:uid="{00000000-0002-0000-0B00-000000000000}">
      <formula1>"Policy, Vehicle"</formula1>
    </dataValidation>
  </dataValidations>
  <printOptions gridLines="1"/>
  <pageMargins left="0.75" right="0.75" top="1" bottom="1" header="0.5" footer="0.5"/>
  <pageSetup scale="79" fitToHeight="5" orientation="portrait" r:id="rId2"/>
  <headerFooter alignWithMargins="0">
    <oddFooter>&amp;F</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T364"/>
  <sheetViews>
    <sheetView topLeftCell="A61" zoomScale="85" zoomScaleNormal="85" workbookViewId="0">
      <selection activeCell="J89" sqref="J89"/>
    </sheetView>
  </sheetViews>
  <sheetFormatPr defaultColWidth="9.26953125" defaultRowHeight="13" x14ac:dyDescent="0.25"/>
  <cols>
    <col min="1" max="1" width="23.7265625" style="17" customWidth="1"/>
    <col min="2" max="2" width="15.453125" style="19" customWidth="1"/>
    <col min="3" max="3" width="15.7265625" style="19" customWidth="1"/>
    <col min="4" max="4" width="12.26953125" style="20" customWidth="1"/>
    <col min="5" max="5" width="11.453125" style="20" customWidth="1"/>
    <col min="6" max="6" width="11.26953125" customWidth="1"/>
    <col min="7" max="7" width="10.7265625" style="19" customWidth="1"/>
    <col min="8" max="8" width="12" customWidth="1"/>
    <col min="10" max="10" width="10.453125" customWidth="1"/>
    <col min="11" max="11" width="10" customWidth="1"/>
    <col min="17" max="17" width="10.26953125" customWidth="1"/>
  </cols>
  <sheetData>
    <row r="1" spans="1:8" ht="15.5" x14ac:dyDescent="0.35">
      <c r="A1" s="89" t="s">
        <v>173</v>
      </c>
      <c r="B1" s="1132" t="s">
        <v>937</v>
      </c>
      <c r="C1" s="1132"/>
      <c r="D1" s="1132"/>
      <c r="E1" s="1132"/>
      <c r="F1" s="1132"/>
      <c r="G1" s="1132"/>
      <c r="H1" s="1132"/>
    </row>
    <row r="2" spans="1:8" x14ac:dyDescent="0.25">
      <c r="A2" s="89" t="s">
        <v>938</v>
      </c>
      <c r="B2" s="86" t="s">
        <v>211</v>
      </c>
      <c r="C2" s="113"/>
      <c r="D2" s="113"/>
      <c r="E2" s="113"/>
      <c r="F2" s="113"/>
      <c r="G2" s="113"/>
      <c r="H2" s="113"/>
    </row>
    <row r="3" spans="1:8" x14ac:dyDescent="0.25">
      <c r="A3" s="89" t="s">
        <v>939</v>
      </c>
      <c r="B3" s="1131" t="s">
        <v>940</v>
      </c>
      <c r="C3" s="1131"/>
      <c r="D3" s="1131"/>
      <c r="E3" s="1131"/>
      <c r="F3" s="1131"/>
      <c r="G3" s="1131"/>
      <c r="H3" s="1131"/>
    </row>
    <row r="4" spans="1:8" x14ac:dyDescent="0.25">
      <c r="A4" s="89" t="s">
        <v>203</v>
      </c>
      <c r="B4" s="1071" t="s">
        <v>941</v>
      </c>
      <c r="C4" s="1071"/>
      <c r="D4" s="113"/>
      <c r="E4" s="113"/>
      <c r="F4" s="113"/>
      <c r="G4" s="113"/>
      <c r="H4" s="113"/>
    </row>
    <row r="5" spans="1:8" x14ac:dyDescent="0.25">
      <c r="A5" s="89" t="s">
        <v>186</v>
      </c>
      <c r="B5" s="431" t="s">
        <v>942</v>
      </c>
      <c r="C5" s="113"/>
      <c r="D5" s="113"/>
      <c r="E5" s="113"/>
      <c r="F5" s="113"/>
      <c r="G5" s="113"/>
      <c r="H5" s="113"/>
    </row>
    <row r="6" spans="1:8" x14ac:dyDescent="0.25">
      <c r="A6" s="89" t="s">
        <v>202</v>
      </c>
      <c r="B6" s="256" t="s">
        <v>200</v>
      </c>
      <c r="C6" s="256"/>
      <c r="D6" s="256"/>
      <c r="E6" s="256"/>
      <c r="F6" s="256"/>
      <c r="G6" s="256"/>
      <c r="H6" s="256"/>
    </row>
    <row r="7" spans="1:8" x14ac:dyDescent="0.25">
      <c r="A7" s="89" t="s">
        <v>272</v>
      </c>
      <c r="B7" s="113" t="s">
        <v>286</v>
      </c>
      <c r="C7" s="256"/>
      <c r="D7" s="256"/>
      <c r="E7" s="256"/>
      <c r="F7" s="256"/>
      <c r="G7" s="256"/>
      <c r="H7" s="256"/>
    </row>
    <row r="8" spans="1:8" s="21" customFormat="1" x14ac:dyDescent="0.3">
      <c r="A8" s="89" t="s">
        <v>184</v>
      </c>
      <c r="B8" s="432">
        <v>100</v>
      </c>
      <c r="C8" s="256"/>
      <c r="D8" s="256"/>
      <c r="E8" s="256"/>
      <c r="F8" s="256"/>
      <c r="G8" s="256"/>
      <c r="H8" s="256"/>
    </row>
    <row r="9" spans="1:8" thickBot="1" x14ac:dyDescent="0.3">
      <c r="A9" s="81"/>
      <c r="B9" s="81"/>
      <c r="C9" s="81"/>
      <c r="D9" s="81"/>
      <c r="E9" s="81"/>
      <c r="F9" s="81"/>
      <c r="G9" s="81"/>
      <c r="H9" s="81"/>
    </row>
    <row r="10" spans="1:8" x14ac:dyDescent="0.3">
      <c r="A10" s="90"/>
      <c r="B10" s="427" t="s">
        <v>943</v>
      </c>
      <c r="C10" s="428" t="s">
        <v>944</v>
      </c>
      <c r="D10" s="429" t="s">
        <v>179</v>
      </c>
      <c r="E10" s="429" t="s">
        <v>177</v>
      </c>
      <c r="F10" s="429" t="s">
        <v>614</v>
      </c>
      <c r="G10" s="428" t="s">
        <v>217</v>
      </c>
      <c r="H10" s="430" t="s">
        <v>219</v>
      </c>
    </row>
    <row r="11" spans="1:8" ht="12.5" x14ac:dyDescent="0.25">
      <c r="A11" s="81"/>
      <c r="B11" s="435">
        <v>1500</v>
      </c>
      <c r="C11" s="410">
        <v>1500</v>
      </c>
      <c r="D11" s="136" t="s">
        <v>945</v>
      </c>
      <c r="E11" s="136" t="s">
        <v>945</v>
      </c>
      <c r="F11" s="135">
        <v>0</v>
      </c>
      <c r="G11" s="410">
        <v>12</v>
      </c>
      <c r="H11" s="436"/>
    </row>
    <row r="12" spans="1:8" ht="12.5" x14ac:dyDescent="0.25">
      <c r="A12" s="81"/>
      <c r="B12" s="435">
        <v>2500</v>
      </c>
      <c r="C12" s="410">
        <v>2500</v>
      </c>
      <c r="D12" s="136" t="s">
        <v>945</v>
      </c>
      <c r="E12" s="136" t="s">
        <v>945</v>
      </c>
      <c r="F12" s="135">
        <v>0</v>
      </c>
      <c r="G12" s="410">
        <v>19</v>
      </c>
      <c r="H12" s="436"/>
    </row>
    <row r="13" spans="1:8" ht="12.5" x14ac:dyDescent="0.25">
      <c r="A13" s="81"/>
      <c r="B13" s="435">
        <v>5000</v>
      </c>
      <c r="C13" s="410">
        <v>5000</v>
      </c>
      <c r="D13" s="136" t="s">
        <v>945</v>
      </c>
      <c r="E13" s="136" t="s">
        <v>945</v>
      </c>
      <c r="F13" s="135">
        <v>0</v>
      </c>
      <c r="G13" s="410">
        <v>37</v>
      </c>
      <c r="H13" s="436"/>
    </row>
    <row r="14" spans="1:8" ht="12.5" x14ac:dyDescent="0.25">
      <c r="A14" s="81"/>
      <c r="B14" s="435">
        <v>10000</v>
      </c>
      <c r="C14" s="410">
        <v>5000</v>
      </c>
      <c r="D14" s="136" t="s">
        <v>945</v>
      </c>
      <c r="E14" s="136" t="s">
        <v>945</v>
      </c>
      <c r="F14" s="135">
        <v>0</v>
      </c>
      <c r="G14" s="410">
        <v>71</v>
      </c>
      <c r="H14" s="436"/>
    </row>
    <row r="15" spans="1:8" ht="12.5" x14ac:dyDescent="0.25">
      <c r="A15" s="81"/>
      <c r="B15" s="435">
        <v>15000</v>
      </c>
      <c r="C15" s="410">
        <v>5000</v>
      </c>
      <c r="D15" s="135"/>
      <c r="E15" s="135"/>
      <c r="F15" s="135">
        <v>0</v>
      </c>
      <c r="G15" s="410">
        <v>105</v>
      </c>
      <c r="H15" s="436"/>
    </row>
    <row r="16" spans="1:8" ht="12.5" x14ac:dyDescent="0.25">
      <c r="A16" s="81"/>
      <c r="B16" s="435">
        <v>20000</v>
      </c>
      <c r="C16" s="410">
        <v>5000</v>
      </c>
      <c r="D16" s="135"/>
      <c r="E16" s="135"/>
      <c r="F16" s="135">
        <v>0</v>
      </c>
      <c r="G16" s="410">
        <v>139</v>
      </c>
      <c r="H16" s="436"/>
    </row>
    <row r="17" spans="1:8" ht="12.5" x14ac:dyDescent="0.25">
      <c r="A17" s="81"/>
      <c r="B17" s="435">
        <v>30000</v>
      </c>
      <c r="C17" s="410">
        <v>5000</v>
      </c>
      <c r="D17" s="135"/>
      <c r="E17" s="135"/>
      <c r="F17" s="135">
        <v>0</v>
      </c>
      <c r="G17" s="410">
        <v>205</v>
      </c>
      <c r="H17" s="436"/>
    </row>
    <row r="18" spans="1:8" ht="12.5" x14ac:dyDescent="0.25">
      <c r="A18" s="81"/>
      <c r="B18" s="435">
        <v>40000</v>
      </c>
      <c r="C18" s="410">
        <v>5000</v>
      </c>
      <c r="D18" s="135"/>
      <c r="E18" s="135"/>
      <c r="F18" s="135">
        <v>0</v>
      </c>
      <c r="G18" s="410">
        <v>270</v>
      </c>
      <c r="H18" s="436"/>
    </row>
    <row r="19" spans="1:8" ht="12.5" x14ac:dyDescent="0.25">
      <c r="A19" s="81"/>
      <c r="B19" s="435">
        <v>50000</v>
      </c>
      <c r="C19" s="410">
        <v>5000</v>
      </c>
      <c r="D19" s="135"/>
      <c r="E19" s="135"/>
      <c r="F19" s="135">
        <v>0</v>
      </c>
      <c r="G19" s="410">
        <v>334</v>
      </c>
      <c r="H19" s="436"/>
    </row>
    <row r="20" spans="1:8" ht="12.5" x14ac:dyDescent="0.25">
      <c r="A20" s="81"/>
      <c r="B20" s="435">
        <v>75000</v>
      </c>
      <c r="C20" s="410">
        <v>5000</v>
      </c>
      <c r="D20" s="136"/>
      <c r="E20" s="136"/>
      <c r="F20" s="135">
        <v>0</v>
      </c>
      <c r="G20" s="410">
        <v>501</v>
      </c>
      <c r="H20" s="436"/>
    </row>
    <row r="21" spans="1:8" ht="12.5" x14ac:dyDescent="0.25">
      <c r="A21" s="81"/>
      <c r="B21" s="435">
        <v>100000</v>
      </c>
      <c r="C21" s="410">
        <v>5000</v>
      </c>
      <c r="D21" s="136"/>
      <c r="E21" s="136"/>
      <c r="F21" s="135">
        <v>0</v>
      </c>
      <c r="G21" s="410">
        <v>668</v>
      </c>
      <c r="H21" s="436"/>
    </row>
    <row r="22" spans="1:8" ht="12.5" x14ac:dyDescent="0.25">
      <c r="A22" s="81"/>
      <c r="B22" s="435">
        <v>125000</v>
      </c>
      <c r="C22" s="410">
        <v>5000</v>
      </c>
      <c r="D22" s="136"/>
      <c r="E22" s="136"/>
      <c r="F22" s="135">
        <v>0</v>
      </c>
      <c r="G22" s="410">
        <v>835</v>
      </c>
      <c r="H22" s="436"/>
    </row>
    <row r="23" spans="1:8" ht="12.5" x14ac:dyDescent="0.25">
      <c r="A23" s="81"/>
      <c r="B23" s="435">
        <v>150000</v>
      </c>
      <c r="C23" s="410">
        <v>5000</v>
      </c>
      <c r="D23" s="136"/>
      <c r="E23" s="136"/>
      <c r="F23" s="135">
        <v>0</v>
      </c>
      <c r="G23" s="410">
        <v>1002</v>
      </c>
      <c r="H23" s="436"/>
    </row>
    <row r="24" spans="1:8" ht="12.5" x14ac:dyDescent="0.25">
      <c r="A24" s="81"/>
      <c r="B24" s="435">
        <v>175000</v>
      </c>
      <c r="C24" s="410">
        <v>5000</v>
      </c>
      <c r="D24" s="136"/>
      <c r="E24" s="136"/>
      <c r="F24" s="135">
        <v>0</v>
      </c>
      <c r="G24" s="410">
        <v>1169</v>
      </c>
      <c r="H24" s="436"/>
    </row>
    <row r="25" spans="1:8" ht="12.5" x14ac:dyDescent="0.25">
      <c r="A25" s="81"/>
      <c r="B25" s="435">
        <v>200000</v>
      </c>
      <c r="C25" s="410">
        <v>5000</v>
      </c>
      <c r="D25" s="136"/>
      <c r="E25" s="136"/>
      <c r="F25" s="135">
        <v>0</v>
      </c>
      <c r="G25" s="410">
        <v>1336</v>
      </c>
      <c r="H25" s="436"/>
    </row>
    <row r="26" spans="1:8" ht="12.5" x14ac:dyDescent="0.25">
      <c r="A26" s="81"/>
      <c r="B26" s="435">
        <v>225000</v>
      </c>
      <c r="C26" s="410">
        <v>5000</v>
      </c>
      <c r="D26" s="136"/>
      <c r="E26" s="136"/>
      <c r="F26" s="135">
        <v>0</v>
      </c>
      <c r="G26" s="410">
        <v>1503</v>
      </c>
      <c r="H26" s="436"/>
    </row>
    <row r="27" spans="1:8" thickBot="1" x14ac:dyDescent="0.3">
      <c r="A27" s="81"/>
      <c r="B27" s="437">
        <v>250000</v>
      </c>
      <c r="C27" s="438">
        <v>5000</v>
      </c>
      <c r="D27" s="315"/>
      <c r="E27" s="315"/>
      <c r="F27" s="248">
        <v>0</v>
      </c>
      <c r="G27" s="438">
        <v>1670</v>
      </c>
      <c r="H27" s="439"/>
    </row>
    <row r="28" spans="1:8" x14ac:dyDescent="0.25">
      <c r="A28" s="54"/>
      <c r="B28" s="18"/>
    </row>
    <row r="29" spans="1:8" ht="15.5" x14ac:dyDescent="0.35">
      <c r="A29" s="89" t="s">
        <v>173</v>
      </c>
      <c r="B29" s="1132" t="s">
        <v>946</v>
      </c>
      <c r="C29" s="1132"/>
      <c r="D29" s="1132"/>
      <c r="E29" s="1132"/>
      <c r="F29" s="1132"/>
      <c r="G29" s="1132"/>
      <c r="H29" s="1132"/>
    </row>
    <row r="30" spans="1:8" x14ac:dyDescent="0.25">
      <c r="A30" s="89" t="s">
        <v>938</v>
      </c>
      <c r="B30" s="86" t="s">
        <v>211</v>
      </c>
      <c r="C30" s="113"/>
      <c r="D30" s="113"/>
      <c r="E30" s="113"/>
      <c r="F30" s="113"/>
      <c r="G30" s="113"/>
      <c r="H30" s="113"/>
    </row>
    <row r="31" spans="1:8" x14ac:dyDescent="0.25">
      <c r="A31" s="89" t="s">
        <v>939</v>
      </c>
      <c r="B31" s="1131" t="s">
        <v>940</v>
      </c>
      <c r="C31" s="1131"/>
      <c r="D31" s="1131"/>
      <c r="E31" s="1131"/>
      <c r="F31" s="1131"/>
      <c r="G31" s="1131"/>
      <c r="H31" s="1131"/>
    </row>
    <row r="32" spans="1:8" x14ac:dyDescent="0.25">
      <c r="A32" s="89" t="s">
        <v>203</v>
      </c>
      <c r="B32" s="1071" t="s">
        <v>941</v>
      </c>
      <c r="C32" s="1071"/>
      <c r="D32" s="113"/>
      <c r="E32" s="113"/>
      <c r="F32" s="113"/>
      <c r="G32" s="113"/>
      <c r="H32" s="113"/>
    </row>
    <row r="33" spans="1:8" x14ac:dyDescent="0.25">
      <c r="A33" s="89" t="s">
        <v>186</v>
      </c>
      <c r="B33" s="431" t="s">
        <v>942</v>
      </c>
      <c r="C33" s="113"/>
      <c r="D33" s="113"/>
      <c r="E33" s="113"/>
      <c r="F33" s="113"/>
      <c r="G33" s="113"/>
      <c r="H33" s="113"/>
    </row>
    <row r="34" spans="1:8" x14ac:dyDescent="0.25">
      <c r="A34" s="89" t="s">
        <v>202</v>
      </c>
      <c r="B34" s="256" t="s">
        <v>200</v>
      </c>
      <c r="C34" s="256"/>
      <c r="D34" s="256"/>
      <c r="E34" s="256"/>
      <c r="F34" s="256"/>
      <c r="G34" s="256"/>
      <c r="H34" s="256"/>
    </row>
    <row r="35" spans="1:8" s="21" customFormat="1" x14ac:dyDescent="0.3">
      <c r="A35" s="89" t="s">
        <v>274</v>
      </c>
      <c r="B35" s="1130"/>
      <c r="C35" s="1130"/>
      <c r="D35" s="1130"/>
      <c r="E35" s="1130"/>
      <c r="F35" s="1130"/>
      <c r="G35" s="1130"/>
      <c r="H35" s="1130"/>
    </row>
    <row r="36" spans="1:8" ht="13.5" thickBot="1" x14ac:dyDescent="0.35">
      <c r="A36" s="89" t="s">
        <v>184</v>
      </c>
      <c r="B36" s="432">
        <v>200</v>
      </c>
      <c r="C36" s="113"/>
      <c r="D36" s="113"/>
      <c r="E36" s="113"/>
      <c r="F36" s="113"/>
      <c r="G36" s="113"/>
      <c r="H36" s="113"/>
    </row>
    <row r="37" spans="1:8" x14ac:dyDescent="0.3">
      <c r="A37" s="90"/>
      <c r="B37" s="427" t="s">
        <v>943</v>
      </c>
      <c r="C37" s="428" t="s">
        <v>944</v>
      </c>
      <c r="D37" s="429" t="s">
        <v>179</v>
      </c>
      <c r="E37" s="429" t="s">
        <v>177</v>
      </c>
      <c r="F37" s="429" t="s">
        <v>614</v>
      </c>
      <c r="G37" s="428" t="s">
        <v>217</v>
      </c>
      <c r="H37" s="430" t="s">
        <v>219</v>
      </c>
    </row>
    <row r="38" spans="1:8" ht="12.5" x14ac:dyDescent="0.25">
      <c r="A38" s="81"/>
      <c r="B38" s="435">
        <v>1500</v>
      </c>
      <c r="C38" s="410">
        <v>1500</v>
      </c>
      <c r="D38" s="135"/>
      <c r="E38" s="135"/>
      <c r="F38" s="135">
        <v>0</v>
      </c>
      <c r="G38" s="410">
        <v>10</v>
      </c>
      <c r="H38" s="436"/>
    </row>
    <row r="39" spans="1:8" ht="12.5" x14ac:dyDescent="0.25">
      <c r="A39" s="81"/>
      <c r="B39" s="435">
        <v>2500</v>
      </c>
      <c r="C39" s="410">
        <v>2500</v>
      </c>
      <c r="D39" s="135"/>
      <c r="E39" s="135"/>
      <c r="F39" s="135">
        <v>0</v>
      </c>
      <c r="G39" s="410">
        <v>15</v>
      </c>
      <c r="H39" s="436"/>
    </row>
    <row r="40" spans="1:8" ht="12.5" x14ac:dyDescent="0.25">
      <c r="A40" s="81"/>
      <c r="B40" s="435">
        <v>5000</v>
      </c>
      <c r="C40" s="410">
        <v>5000</v>
      </c>
      <c r="D40" s="135"/>
      <c r="E40" s="135"/>
      <c r="F40" s="135">
        <v>0</v>
      </c>
      <c r="G40" s="410">
        <v>29</v>
      </c>
      <c r="H40" s="436"/>
    </row>
    <row r="41" spans="1:8" ht="12.5" x14ac:dyDescent="0.25">
      <c r="A41" s="81"/>
      <c r="B41" s="435">
        <v>10000</v>
      </c>
      <c r="C41" s="410">
        <v>5000</v>
      </c>
      <c r="D41" s="135"/>
      <c r="E41" s="135"/>
      <c r="F41" s="135">
        <v>0</v>
      </c>
      <c r="G41" s="410">
        <v>56</v>
      </c>
      <c r="H41" s="436"/>
    </row>
    <row r="42" spans="1:8" ht="12.5" x14ac:dyDescent="0.25">
      <c r="A42" s="81"/>
      <c r="B42" s="435">
        <v>15000</v>
      </c>
      <c r="C42" s="410">
        <v>5000</v>
      </c>
      <c r="D42" s="135"/>
      <c r="E42" s="135"/>
      <c r="F42" s="135">
        <v>0</v>
      </c>
      <c r="G42" s="410">
        <v>83</v>
      </c>
      <c r="H42" s="436"/>
    </row>
    <row r="43" spans="1:8" ht="12.5" x14ac:dyDescent="0.25">
      <c r="A43" s="81"/>
      <c r="B43" s="435">
        <v>20000</v>
      </c>
      <c r="C43" s="410">
        <v>5000</v>
      </c>
      <c r="D43" s="135"/>
      <c r="E43" s="135"/>
      <c r="F43" s="135">
        <v>0</v>
      </c>
      <c r="G43" s="410">
        <v>109</v>
      </c>
      <c r="H43" s="436"/>
    </row>
    <row r="44" spans="1:8" ht="12.5" x14ac:dyDescent="0.25">
      <c r="A44" s="81"/>
      <c r="B44" s="435">
        <v>30000</v>
      </c>
      <c r="C44" s="410">
        <v>5000</v>
      </c>
      <c r="D44" s="135"/>
      <c r="E44" s="135"/>
      <c r="F44" s="135">
        <v>0</v>
      </c>
      <c r="G44" s="410">
        <v>161</v>
      </c>
      <c r="H44" s="436"/>
    </row>
    <row r="45" spans="1:8" ht="12.5" x14ac:dyDescent="0.25">
      <c r="A45" s="81"/>
      <c r="B45" s="435">
        <v>40000</v>
      </c>
      <c r="C45" s="410">
        <v>5000</v>
      </c>
      <c r="D45" s="135"/>
      <c r="E45" s="135"/>
      <c r="F45" s="135">
        <v>0</v>
      </c>
      <c r="G45" s="410">
        <v>212</v>
      </c>
      <c r="H45" s="436"/>
    </row>
    <row r="46" spans="1:8" ht="12.5" x14ac:dyDescent="0.25">
      <c r="A46" s="81"/>
      <c r="B46" s="435">
        <v>50000</v>
      </c>
      <c r="C46" s="410">
        <v>5000</v>
      </c>
      <c r="D46" s="135"/>
      <c r="E46" s="135"/>
      <c r="F46" s="135">
        <v>0</v>
      </c>
      <c r="G46" s="410">
        <v>262</v>
      </c>
      <c r="H46" s="436"/>
    </row>
    <row r="47" spans="1:8" ht="12.5" x14ac:dyDescent="0.25">
      <c r="A47" s="81"/>
      <c r="B47" s="435">
        <v>75000</v>
      </c>
      <c r="C47" s="410">
        <v>5000</v>
      </c>
      <c r="D47" s="136"/>
      <c r="E47" s="136"/>
      <c r="F47" s="135">
        <v>0</v>
      </c>
      <c r="G47" s="410">
        <v>394</v>
      </c>
      <c r="H47" s="436"/>
    </row>
    <row r="48" spans="1:8" ht="12.5" x14ac:dyDescent="0.25">
      <c r="A48" s="81"/>
      <c r="B48" s="435">
        <v>100000</v>
      </c>
      <c r="C48" s="410">
        <v>5000</v>
      </c>
      <c r="D48" s="136"/>
      <c r="E48" s="136"/>
      <c r="F48" s="135">
        <v>0</v>
      </c>
      <c r="G48" s="410">
        <v>525</v>
      </c>
      <c r="H48" s="436"/>
    </row>
    <row r="49" spans="1:10" ht="12.5" x14ac:dyDescent="0.25">
      <c r="A49" s="81"/>
      <c r="B49" s="435">
        <v>125000</v>
      </c>
      <c r="C49" s="410">
        <v>5000</v>
      </c>
      <c r="D49" s="136"/>
      <c r="E49" s="136"/>
      <c r="F49" s="135">
        <v>0</v>
      </c>
      <c r="G49" s="410">
        <v>656</v>
      </c>
      <c r="H49" s="436"/>
    </row>
    <row r="50" spans="1:10" ht="12.5" x14ac:dyDescent="0.25">
      <c r="A50" s="81"/>
      <c r="B50" s="435">
        <v>150000</v>
      </c>
      <c r="C50" s="410">
        <v>5000</v>
      </c>
      <c r="D50" s="136"/>
      <c r="E50" s="136"/>
      <c r="F50" s="135">
        <v>0</v>
      </c>
      <c r="G50" s="410">
        <v>787</v>
      </c>
      <c r="H50" s="436"/>
    </row>
    <row r="51" spans="1:10" ht="12.5" x14ac:dyDescent="0.25">
      <c r="A51" s="81"/>
      <c r="B51" s="435">
        <v>175000</v>
      </c>
      <c r="C51" s="410">
        <v>5000</v>
      </c>
      <c r="D51" s="136"/>
      <c r="E51" s="136"/>
      <c r="F51" s="135">
        <v>0</v>
      </c>
      <c r="G51" s="410">
        <v>918</v>
      </c>
      <c r="H51" s="436"/>
    </row>
    <row r="52" spans="1:10" ht="12.5" x14ac:dyDescent="0.25">
      <c r="A52" s="81"/>
      <c r="B52" s="435">
        <v>200000</v>
      </c>
      <c r="C52" s="410">
        <v>5000</v>
      </c>
      <c r="D52" s="136"/>
      <c r="E52" s="136"/>
      <c r="F52" s="135">
        <v>0</v>
      </c>
      <c r="G52" s="410">
        <v>1050</v>
      </c>
      <c r="H52" s="436"/>
    </row>
    <row r="53" spans="1:10" ht="12.5" x14ac:dyDescent="0.25">
      <c r="A53" s="81"/>
      <c r="B53" s="435">
        <v>225000</v>
      </c>
      <c r="C53" s="410">
        <v>5000</v>
      </c>
      <c r="D53" s="136"/>
      <c r="E53" s="136"/>
      <c r="F53" s="135">
        <v>0</v>
      </c>
      <c r="G53" s="410">
        <v>1181</v>
      </c>
      <c r="H53" s="436"/>
    </row>
    <row r="54" spans="1:10" thickBot="1" x14ac:dyDescent="0.3">
      <c r="A54" s="81"/>
      <c r="B54" s="437">
        <v>250000</v>
      </c>
      <c r="C54" s="438">
        <v>5000</v>
      </c>
      <c r="D54" s="315"/>
      <c r="E54" s="315"/>
      <c r="F54" s="248">
        <v>0</v>
      </c>
      <c r="G54" s="438">
        <v>1312</v>
      </c>
      <c r="H54" s="439"/>
    </row>
    <row r="55" spans="1:10" x14ac:dyDescent="0.25">
      <c r="A55" s="54"/>
      <c r="B55" s="18"/>
      <c r="D55"/>
      <c r="E55"/>
      <c r="F55" s="19"/>
      <c r="G55" s="20"/>
      <c r="H55" s="20"/>
    </row>
    <row r="56" spans="1:10" ht="15.5" x14ac:dyDescent="0.35">
      <c r="A56" s="89" t="s">
        <v>173</v>
      </c>
      <c r="B56" s="1132" t="s">
        <v>947</v>
      </c>
      <c r="C56" s="1132"/>
      <c r="D56" s="1132"/>
      <c r="E56" s="1132"/>
      <c r="F56" s="1132"/>
      <c r="G56" s="1132"/>
      <c r="H56" s="1132"/>
    </row>
    <row r="57" spans="1:10" x14ac:dyDescent="0.25">
      <c r="A57" s="89" t="s">
        <v>938</v>
      </c>
      <c r="B57" s="86" t="s">
        <v>211</v>
      </c>
      <c r="C57" s="113"/>
      <c r="D57" s="113"/>
      <c r="E57" s="113"/>
      <c r="F57" s="431"/>
      <c r="G57" s="113"/>
      <c r="H57" s="113"/>
    </row>
    <row r="58" spans="1:10" x14ac:dyDescent="0.25">
      <c r="A58" s="89" t="s">
        <v>939</v>
      </c>
      <c r="B58" s="1131" t="s">
        <v>940</v>
      </c>
      <c r="C58" s="1131"/>
      <c r="D58" s="1131"/>
      <c r="E58" s="1131"/>
      <c r="F58" s="1131"/>
      <c r="G58" s="1131"/>
      <c r="H58" s="1131"/>
    </row>
    <row r="59" spans="1:10" x14ac:dyDescent="0.25">
      <c r="A59" s="89" t="s">
        <v>203</v>
      </c>
      <c r="B59" s="1071" t="s">
        <v>941</v>
      </c>
      <c r="C59" s="1071"/>
      <c r="D59" s="113"/>
      <c r="E59" s="113"/>
      <c r="F59" s="431"/>
      <c r="G59" s="113"/>
      <c r="H59" s="113"/>
    </row>
    <row r="60" spans="1:10" x14ac:dyDescent="0.25">
      <c r="A60" s="89" t="s">
        <v>186</v>
      </c>
      <c r="B60" s="431" t="s">
        <v>942</v>
      </c>
      <c r="C60" s="113"/>
      <c r="D60" s="113"/>
      <c r="E60" s="113"/>
      <c r="F60" s="431"/>
      <c r="G60" s="113"/>
      <c r="H60" s="113"/>
    </row>
    <row r="61" spans="1:10" x14ac:dyDescent="0.25">
      <c r="A61" s="89" t="s">
        <v>202</v>
      </c>
      <c r="B61" s="1051" t="s">
        <v>948</v>
      </c>
      <c r="C61" s="1051"/>
      <c r="D61" s="1051"/>
      <c r="E61" s="1051"/>
      <c r="F61" s="1051"/>
      <c r="G61" s="1051"/>
      <c r="H61" s="1051"/>
    </row>
    <row r="62" spans="1:10" x14ac:dyDescent="0.25">
      <c r="A62" s="54"/>
      <c r="B62" s="1130" t="s">
        <v>949</v>
      </c>
      <c r="C62" s="1130"/>
      <c r="D62" s="1130"/>
      <c r="E62" s="1130"/>
      <c r="F62" s="1130"/>
      <c r="G62" s="1130"/>
      <c r="H62" s="1130"/>
      <c r="J62" s="67" t="s">
        <v>1878</v>
      </c>
    </row>
    <row r="63" spans="1:10" ht="26.25" customHeight="1" x14ac:dyDescent="0.25">
      <c r="A63" s="89" t="s">
        <v>268</v>
      </c>
      <c r="B63" s="1133" t="s">
        <v>950</v>
      </c>
      <c r="C63" s="1133"/>
      <c r="D63" s="1133"/>
      <c r="E63" s="1133"/>
      <c r="F63" s="1133"/>
      <c r="G63" s="1133"/>
      <c r="H63" s="1133"/>
    </row>
    <row r="64" spans="1:10" ht="12.5" x14ac:dyDescent="0.25">
      <c r="A64" s="81"/>
      <c r="B64" s="1129" t="s">
        <v>951</v>
      </c>
      <c r="C64" s="1129"/>
      <c r="D64" s="1129"/>
      <c r="E64" s="1129"/>
      <c r="F64" s="1129"/>
      <c r="G64" s="1129"/>
      <c r="H64" s="1129"/>
    </row>
    <row r="65" spans="1:8" s="21" customFormat="1" ht="13.5" x14ac:dyDescent="0.3">
      <c r="A65" s="89" t="s">
        <v>274</v>
      </c>
      <c r="B65" s="1130" t="s">
        <v>952</v>
      </c>
      <c r="C65" s="1130"/>
      <c r="D65" s="1130"/>
      <c r="E65" s="1130"/>
      <c r="F65" s="1130"/>
      <c r="G65" s="1130"/>
      <c r="H65" s="1130"/>
    </row>
    <row r="66" spans="1:8" ht="13.5" thickBot="1" x14ac:dyDescent="0.3">
      <c r="A66" s="89" t="s">
        <v>184</v>
      </c>
      <c r="B66" s="113"/>
      <c r="C66" s="113"/>
      <c r="D66" s="113"/>
      <c r="E66" s="113"/>
      <c r="F66" s="431"/>
      <c r="G66" s="113"/>
      <c r="H66" s="113"/>
    </row>
    <row r="67" spans="1:8" ht="39" x14ac:dyDescent="0.3">
      <c r="A67" s="90"/>
      <c r="B67" s="427" t="s">
        <v>953</v>
      </c>
      <c r="C67" s="428" t="s">
        <v>954</v>
      </c>
      <c r="D67" s="429" t="s">
        <v>955</v>
      </c>
      <c r="E67" s="429" t="s">
        <v>956</v>
      </c>
      <c r="F67" s="428" t="s">
        <v>957</v>
      </c>
      <c r="G67" s="429" t="s">
        <v>958</v>
      </c>
      <c r="H67" s="430" t="s">
        <v>614</v>
      </c>
    </row>
    <row r="68" spans="1:8" thickBot="1" x14ac:dyDescent="0.3">
      <c r="A68" s="81"/>
      <c r="B68" s="423">
        <v>750</v>
      </c>
      <c r="C68" s="424">
        <v>50000</v>
      </c>
      <c r="D68" s="425">
        <v>0.35</v>
      </c>
      <c r="E68" s="424">
        <v>2500</v>
      </c>
      <c r="F68" s="424">
        <v>50000</v>
      </c>
      <c r="G68" s="426">
        <v>0.35</v>
      </c>
      <c r="H68" s="336">
        <v>0</v>
      </c>
    </row>
    <row r="69" spans="1:8" x14ac:dyDescent="0.25">
      <c r="A69" s="54"/>
      <c r="B69" s="18"/>
    </row>
    <row r="70" spans="1:8" ht="15.5" x14ac:dyDescent="0.35">
      <c r="A70" s="89" t="s">
        <v>173</v>
      </c>
      <c r="B70" s="1132" t="s">
        <v>959</v>
      </c>
      <c r="C70" s="1132"/>
      <c r="D70" s="1132"/>
      <c r="E70" s="1132"/>
      <c r="F70" s="1132"/>
      <c r="G70" s="1132"/>
      <c r="H70" s="1132"/>
    </row>
    <row r="71" spans="1:8" x14ac:dyDescent="0.25">
      <c r="A71" s="89" t="s">
        <v>938</v>
      </c>
      <c r="B71" s="86" t="s">
        <v>211</v>
      </c>
      <c r="C71" s="113"/>
      <c r="D71" s="113"/>
      <c r="E71" s="113"/>
      <c r="F71" s="113"/>
      <c r="G71" s="113"/>
      <c r="H71" s="113"/>
    </row>
    <row r="72" spans="1:8" x14ac:dyDescent="0.25">
      <c r="A72" s="89" t="s">
        <v>939</v>
      </c>
      <c r="B72" s="1131" t="s">
        <v>940</v>
      </c>
      <c r="C72" s="1131"/>
      <c r="D72" s="1131"/>
      <c r="E72" s="1131"/>
      <c r="F72" s="1131"/>
      <c r="G72" s="1131"/>
      <c r="H72" s="1131"/>
    </row>
    <row r="73" spans="1:8" x14ac:dyDescent="0.25">
      <c r="A73" s="89" t="s">
        <v>203</v>
      </c>
      <c r="B73" s="1071" t="s">
        <v>941</v>
      </c>
      <c r="C73" s="1071"/>
      <c r="D73" s="113"/>
      <c r="E73" s="113"/>
      <c r="F73" s="113"/>
      <c r="G73" s="113"/>
      <c r="H73" s="113"/>
    </row>
    <row r="74" spans="1:8" x14ac:dyDescent="0.25">
      <c r="A74" s="89" t="s">
        <v>186</v>
      </c>
      <c r="B74" s="431" t="s">
        <v>942</v>
      </c>
      <c r="C74" s="113"/>
      <c r="D74" s="113"/>
      <c r="E74" s="113"/>
      <c r="F74" s="113"/>
      <c r="G74" s="113"/>
      <c r="H74" s="113"/>
    </row>
    <row r="75" spans="1:8" x14ac:dyDescent="0.25">
      <c r="A75" s="89" t="s">
        <v>202</v>
      </c>
      <c r="B75" s="256" t="s">
        <v>200</v>
      </c>
      <c r="C75" s="256"/>
      <c r="D75" s="256"/>
      <c r="E75" s="256"/>
      <c r="F75" s="256"/>
      <c r="G75" s="256"/>
      <c r="H75" s="256"/>
    </row>
    <row r="76" spans="1:8" s="21" customFormat="1" x14ac:dyDescent="0.3">
      <c r="A76" s="89" t="s">
        <v>272</v>
      </c>
      <c r="B76" s="113" t="s">
        <v>286</v>
      </c>
      <c r="C76" s="256"/>
      <c r="D76" s="256"/>
      <c r="E76" s="256"/>
      <c r="F76" s="256"/>
      <c r="G76" s="256"/>
      <c r="H76" s="256"/>
    </row>
    <row r="77" spans="1:8" x14ac:dyDescent="0.25">
      <c r="A77" s="89" t="s">
        <v>274</v>
      </c>
      <c r="B77" s="1130"/>
      <c r="C77" s="1130"/>
      <c r="D77" s="1130"/>
      <c r="E77" s="1130"/>
      <c r="F77" s="1130"/>
      <c r="G77" s="1130"/>
      <c r="H77" s="1130"/>
    </row>
    <row r="78" spans="1:8" ht="13.5" thickBot="1" x14ac:dyDescent="0.35">
      <c r="A78" s="89" t="s">
        <v>184</v>
      </c>
      <c r="B78" s="432">
        <v>400</v>
      </c>
      <c r="C78" s="113"/>
      <c r="D78" s="113"/>
      <c r="E78" s="113"/>
      <c r="F78" s="113"/>
      <c r="G78" s="113"/>
      <c r="H78" s="113"/>
    </row>
    <row r="79" spans="1:8" x14ac:dyDescent="0.3">
      <c r="A79" s="90"/>
      <c r="B79" s="427" t="s">
        <v>943</v>
      </c>
      <c r="C79" s="428" t="s">
        <v>944</v>
      </c>
      <c r="D79" s="429" t="s">
        <v>179</v>
      </c>
      <c r="E79" s="429" t="s">
        <v>177</v>
      </c>
      <c r="F79" s="429" t="s">
        <v>614</v>
      </c>
      <c r="G79" s="428" t="s">
        <v>217</v>
      </c>
      <c r="H79" s="430" t="s">
        <v>219</v>
      </c>
    </row>
    <row r="80" spans="1:8" x14ac:dyDescent="0.25">
      <c r="A80" s="54"/>
      <c r="B80" s="435">
        <v>1500</v>
      </c>
      <c r="C80" s="410">
        <v>1500</v>
      </c>
      <c r="D80" s="136" t="s">
        <v>945</v>
      </c>
      <c r="E80" s="136" t="s">
        <v>945</v>
      </c>
      <c r="F80" s="135">
        <v>0</v>
      </c>
      <c r="G80" s="410">
        <v>19</v>
      </c>
      <c r="H80" s="436"/>
    </row>
    <row r="81" spans="1:8" x14ac:dyDescent="0.25">
      <c r="A81" s="54"/>
      <c r="B81" s="435">
        <v>2500</v>
      </c>
      <c r="C81" s="410">
        <v>2500</v>
      </c>
      <c r="D81" s="136" t="s">
        <v>945</v>
      </c>
      <c r="E81" s="136" t="s">
        <v>945</v>
      </c>
      <c r="F81" s="135">
        <v>0</v>
      </c>
      <c r="G81" s="410">
        <v>31</v>
      </c>
      <c r="H81" s="436"/>
    </row>
    <row r="82" spans="1:8" x14ac:dyDescent="0.25">
      <c r="A82" s="54"/>
      <c r="B82" s="435">
        <v>5000</v>
      </c>
      <c r="C82" s="410">
        <v>5000</v>
      </c>
      <c r="D82" s="136" t="s">
        <v>945</v>
      </c>
      <c r="E82" s="136" t="s">
        <v>945</v>
      </c>
      <c r="F82" s="135">
        <v>0</v>
      </c>
      <c r="G82" s="410">
        <v>60</v>
      </c>
      <c r="H82" s="436"/>
    </row>
    <row r="83" spans="1:8" x14ac:dyDescent="0.25">
      <c r="A83" s="54"/>
      <c r="B83" s="435">
        <v>10000</v>
      </c>
      <c r="C83" s="410">
        <v>5000</v>
      </c>
      <c r="D83" s="136" t="s">
        <v>945</v>
      </c>
      <c r="E83" s="136" t="s">
        <v>945</v>
      </c>
      <c r="F83" s="135">
        <v>0</v>
      </c>
      <c r="G83" s="410">
        <v>117</v>
      </c>
      <c r="H83" s="436"/>
    </row>
    <row r="84" spans="1:8" x14ac:dyDescent="0.25">
      <c r="A84" s="54"/>
      <c r="B84" s="435">
        <v>15000</v>
      </c>
      <c r="C84" s="410">
        <v>5000</v>
      </c>
      <c r="D84" s="135"/>
      <c r="E84" s="135"/>
      <c r="F84" s="135">
        <v>0</v>
      </c>
      <c r="G84" s="410">
        <v>172</v>
      </c>
      <c r="H84" s="436"/>
    </row>
    <row r="85" spans="1:8" x14ac:dyDescent="0.25">
      <c r="A85" s="54"/>
      <c r="B85" s="435">
        <v>20000</v>
      </c>
      <c r="C85" s="410">
        <v>5000</v>
      </c>
      <c r="D85" s="135"/>
      <c r="E85" s="135"/>
      <c r="F85" s="135">
        <v>0</v>
      </c>
      <c r="G85" s="410">
        <v>227</v>
      </c>
      <c r="H85" s="436"/>
    </row>
    <row r="86" spans="1:8" x14ac:dyDescent="0.25">
      <c r="A86" s="54"/>
      <c r="B86" s="435">
        <v>30000</v>
      </c>
      <c r="C86" s="410">
        <v>5000</v>
      </c>
      <c r="D86" s="135"/>
      <c r="E86" s="135"/>
      <c r="F86" s="135">
        <v>0</v>
      </c>
      <c r="G86" s="410">
        <v>335</v>
      </c>
      <c r="H86" s="436"/>
    </row>
    <row r="87" spans="1:8" x14ac:dyDescent="0.25">
      <c r="A87" s="54"/>
      <c r="B87" s="435">
        <v>40000</v>
      </c>
      <c r="C87" s="410">
        <v>5000</v>
      </c>
      <c r="D87" s="135"/>
      <c r="E87" s="135"/>
      <c r="F87" s="135">
        <v>0</v>
      </c>
      <c r="G87" s="410">
        <v>441</v>
      </c>
      <c r="H87" s="436"/>
    </row>
    <row r="88" spans="1:8" x14ac:dyDescent="0.25">
      <c r="A88" s="54"/>
      <c r="B88" s="435">
        <v>50000</v>
      </c>
      <c r="C88" s="410">
        <v>5000</v>
      </c>
      <c r="D88" s="135"/>
      <c r="E88" s="135"/>
      <c r="F88" s="135">
        <v>0</v>
      </c>
      <c r="G88" s="410">
        <v>547</v>
      </c>
      <c r="H88" s="436"/>
    </row>
    <row r="89" spans="1:8" x14ac:dyDescent="0.25">
      <c r="A89" s="54"/>
      <c r="B89" s="435">
        <v>75000</v>
      </c>
      <c r="C89" s="410">
        <v>5000</v>
      </c>
      <c r="D89" s="136"/>
      <c r="E89" s="136"/>
      <c r="F89" s="135">
        <v>0</v>
      </c>
      <c r="G89" s="410">
        <v>820</v>
      </c>
      <c r="H89" s="436"/>
    </row>
    <row r="90" spans="1:8" x14ac:dyDescent="0.25">
      <c r="A90" s="54"/>
      <c r="B90" s="435">
        <v>100000</v>
      </c>
      <c r="C90" s="410">
        <v>5000</v>
      </c>
      <c r="D90" s="136"/>
      <c r="E90" s="136"/>
      <c r="F90" s="135">
        <v>0</v>
      </c>
      <c r="G90" s="410">
        <v>1093</v>
      </c>
      <c r="H90" s="436"/>
    </row>
    <row r="91" spans="1:8" x14ac:dyDescent="0.25">
      <c r="A91" s="54"/>
      <c r="B91" s="435">
        <v>125000</v>
      </c>
      <c r="C91" s="410">
        <v>5000</v>
      </c>
      <c r="D91" s="136"/>
      <c r="E91" s="136"/>
      <c r="F91" s="135">
        <v>0</v>
      </c>
      <c r="G91" s="410">
        <v>1366</v>
      </c>
      <c r="H91" s="436"/>
    </row>
    <row r="92" spans="1:8" x14ac:dyDescent="0.25">
      <c r="A92" s="54"/>
      <c r="B92" s="435">
        <v>150000</v>
      </c>
      <c r="C92" s="410">
        <v>5000</v>
      </c>
      <c r="D92" s="136"/>
      <c r="E92" s="136"/>
      <c r="F92" s="135">
        <v>0</v>
      </c>
      <c r="G92" s="410">
        <v>1640</v>
      </c>
      <c r="H92" s="436"/>
    </row>
    <row r="93" spans="1:8" x14ac:dyDescent="0.25">
      <c r="A93" s="54"/>
      <c r="B93" s="435">
        <v>175000</v>
      </c>
      <c r="C93" s="410">
        <v>5000</v>
      </c>
      <c r="D93" s="136"/>
      <c r="E93" s="136"/>
      <c r="F93" s="135">
        <v>0</v>
      </c>
      <c r="G93" s="410">
        <v>1913</v>
      </c>
      <c r="H93" s="436"/>
    </row>
    <row r="94" spans="1:8" x14ac:dyDescent="0.25">
      <c r="A94" s="54"/>
      <c r="B94" s="435">
        <v>200000</v>
      </c>
      <c r="C94" s="410">
        <v>5000</v>
      </c>
      <c r="D94" s="136"/>
      <c r="E94" s="136"/>
      <c r="F94" s="135">
        <v>0</v>
      </c>
      <c r="G94" s="410">
        <v>2186</v>
      </c>
      <c r="H94" s="436"/>
    </row>
    <row r="95" spans="1:8" x14ac:dyDescent="0.25">
      <c r="A95" s="54"/>
      <c r="B95" s="435">
        <v>225000</v>
      </c>
      <c r="C95" s="410">
        <v>5000</v>
      </c>
      <c r="D95" s="136"/>
      <c r="E95" s="136"/>
      <c r="F95" s="135">
        <v>0</v>
      </c>
      <c r="G95" s="410">
        <v>2459</v>
      </c>
      <c r="H95" s="436"/>
    </row>
    <row r="96" spans="1:8" thickBot="1" x14ac:dyDescent="0.3">
      <c r="A96" s="81"/>
      <c r="B96" s="437">
        <v>250000</v>
      </c>
      <c r="C96" s="438">
        <v>5000</v>
      </c>
      <c r="D96" s="315"/>
      <c r="E96" s="315"/>
      <c r="F96" s="248">
        <v>0</v>
      </c>
      <c r="G96" s="438">
        <v>2733</v>
      </c>
      <c r="H96" s="439"/>
    </row>
    <row r="97" spans="1:8" x14ac:dyDescent="0.25">
      <c r="A97" s="54"/>
      <c r="B97" s="51"/>
      <c r="C97" s="51"/>
      <c r="D97" s="51"/>
      <c r="E97" s="51"/>
      <c r="F97" s="51"/>
      <c r="G97" s="51"/>
      <c r="H97" s="51"/>
    </row>
    <row r="98" spans="1:8" ht="15.5" x14ac:dyDescent="0.35">
      <c r="A98" s="89" t="s">
        <v>173</v>
      </c>
      <c r="B98" s="1132" t="s">
        <v>960</v>
      </c>
      <c r="C98" s="1132"/>
      <c r="D98" s="1132"/>
      <c r="E98" s="1132"/>
      <c r="F98" s="1132"/>
      <c r="G98" s="1132"/>
      <c r="H98" s="1132"/>
    </row>
    <row r="99" spans="1:8" x14ac:dyDescent="0.25">
      <c r="A99" s="89" t="s">
        <v>938</v>
      </c>
      <c r="B99" s="86" t="s">
        <v>211</v>
      </c>
      <c r="C99" s="82"/>
      <c r="D99" s="82"/>
      <c r="E99" s="82"/>
      <c r="F99" s="82"/>
      <c r="G99" s="82"/>
      <c r="H99" s="82"/>
    </row>
    <row r="100" spans="1:8" x14ac:dyDescent="0.25">
      <c r="A100" s="89" t="s">
        <v>939</v>
      </c>
      <c r="B100" s="1131" t="s">
        <v>940</v>
      </c>
      <c r="C100" s="1131"/>
      <c r="D100" s="1131"/>
      <c r="E100" s="1131"/>
      <c r="F100" s="1131"/>
      <c r="G100" s="1131"/>
      <c r="H100" s="1131"/>
    </row>
    <row r="101" spans="1:8" x14ac:dyDescent="0.25">
      <c r="A101" s="89" t="s">
        <v>203</v>
      </c>
      <c r="B101" s="1134" t="s">
        <v>941</v>
      </c>
      <c r="C101" s="1134"/>
      <c r="D101" s="82"/>
      <c r="E101" s="82"/>
      <c r="F101" s="82"/>
      <c r="G101" s="82"/>
      <c r="H101" s="82"/>
    </row>
    <row r="102" spans="1:8" x14ac:dyDescent="0.25">
      <c r="A102" s="89" t="s">
        <v>186</v>
      </c>
      <c r="B102" s="433" t="s">
        <v>942</v>
      </c>
      <c r="C102" s="82"/>
      <c r="D102" s="82"/>
      <c r="E102" s="82"/>
      <c r="F102" s="82"/>
      <c r="G102" s="82"/>
      <c r="H102" s="82"/>
    </row>
    <row r="103" spans="1:8" x14ac:dyDescent="0.25">
      <c r="A103" s="89" t="s">
        <v>202</v>
      </c>
      <c r="B103" s="323" t="s">
        <v>200</v>
      </c>
      <c r="C103" s="323"/>
      <c r="D103" s="323"/>
      <c r="E103" s="323"/>
      <c r="F103" s="323"/>
      <c r="G103" s="323"/>
      <c r="H103" s="323"/>
    </row>
    <row r="104" spans="1:8" s="21" customFormat="1" x14ac:dyDescent="0.3">
      <c r="A104" s="89" t="s">
        <v>272</v>
      </c>
      <c r="B104" s="82" t="s">
        <v>286</v>
      </c>
      <c r="C104" s="323"/>
      <c r="D104" s="323"/>
      <c r="E104" s="323"/>
      <c r="F104" s="323"/>
      <c r="G104" s="323"/>
      <c r="H104" s="323"/>
    </row>
    <row r="105" spans="1:8" x14ac:dyDescent="0.25">
      <c r="A105" s="89" t="s">
        <v>274</v>
      </c>
      <c r="B105" s="1131"/>
      <c r="C105" s="1131"/>
      <c r="D105" s="1131"/>
      <c r="E105" s="1131"/>
      <c r="F105" s="1131"/>
      <c r="G105" s="1131"/>
      <c r="H105" s="1131"/>
    </row>
    <row r="106" spans="1:8" ht="13.5" thickBot="1" x14ac:dyDescent="0.3">
      <c r="A106" s="89" t="s">
        <v>184</v>
      </c>
      <c r="B106" s="434">
        <v>450</v>
      </c>
      <c r="C106" s="82"/>
      <c r="D106" s="82"/>
      <c r="E106" s="82"/>
      <c r="F106" s="82"/>
      <c r="G106" s="82"/>
      <c r="H106" s="82"/>
    </row>
    <row r="107" spans="1:8" x14ac:dyDescent="0.3">
      <c r="A107" s="90"/>
      <c r="B107" s="427" t="s">
        <v>943</v>
      </c>
      <c r="C107" s="428" t="s">
        <v>944</v>
      </c>
      <c r="D107" s="429" t="s">
        <v>179</v>
      </c>
      <c r="E107" s="429" t="s">
        <v>177</v>
      </c>
      <c r="F107" s="429" t="s">
        <v>614</v>
      </c>
      <c r="G107" s="428" t="s">
        <v>217</v>
      </c>
      <c r="H107" s="430" t="s">
        <v>219</v>
      </c>
    </row>
    <row r="108" spans="1:8" x14ac:dyDescent="0.25">
      <c r="A108" s="54"/>
      <c r="B108" s="435">
        <v>1500</v>
      </c>
      <c r="C108" s="410">
        <v>1500</v>
      </c>
      <c r="D108" s="136" t="s">
        <v>945</v>
      </c>
      <c r="E108" s="136" t="s">
        <v>945</v>
      </c>
      <c r="F108" s="135">
        <v>0</v>
      </c>
      <c r="G108" s="410">
        <v>19</v>
      </c>
      <c r="H108" s="436"/>
    </row>
    <row r="109" spans="1:8" x14ac:dyDescent="0.25">
      <c r="A109" s="54"/>
      <c r="B109" s="435">
        <v>2500</v>
      </c>
      <c r="C109" s="410">
        <v>2500</v>
      </c>
      <c r="D109" s="136" t="s">
        <v>945</v>
      </c>
      <c r="E109" s="136" t="s">
        <v>945</v>
      </c>
      <c r="F109" s="135">
        <v>0</v>
      </c>
      <c r="G109" s="410">
        <v>31</v>
      </c>
      <c r="H109" s="436"/>
    </row>
    <row r="110" spans="1:8" x14ac:dyDescent="0.25">
      <c r="A110" s="54"/>
      <c r="B110" s="435">
        <v>5000</v>
      </c>
      <c r="C110" s="410">
        <v>5000</v>
      </c>
      <c r="D110" s="136" t="s">
        <v>945</v>
      </c>
      <c r="E110" s="136" t="s">
        <v>945</v>
      </c>
      <c r="F110" s="135">
        <v>0</v>
      </c>
      <c r="G110" s="410">
        <v>60</v>
      </c>
      <c r="H110" s="436"/>
    </row>
    <row r="111" spans="1:8" x14ac:dyDescent="0.25">
      <c r="A111" s="54"/>
      <c r="B111" s="435">
        <v>10000</v>
      </c>
      <c r="C111" s="410">
        <v>5000</v>
      </c>
      <c r="D111" s="136" t="s">
        <v>945</v>
      </c>
      <c r="E111" s="136" t="s">
        <v>945</v>
      </c>
      <c r="F111" s="135">
        <v>0</v>
      </c>
      <c r="G111" s="410">
        <v>117</v>
      </c>
      <c r="H111" s="436"/>
    </row>
    <row r="112" spans="1:8" x14ac:dyDescent="0.25">
      <c r="A112" s="54"/>
      <c r="B112" s="435">
        <v>15000</v>
      </c>
      <c r="C112" s="410">
        <v>5000</v>
      </c>
      <c r="D112" s="135"/>
      <c r="E112" s="135"/>
      <c r="F112" s="135">
        <v>0</v>
      </c>
      <c r="G112" s="410">
        <v>172</v>
      </c>
      <c r="H112" s="436"/>
    </row>
    <row r="113" spans="1:8" x14ac:dyDescent="0.25">
      <c r="A113" s="54"/>
      <c r="B113" s="435">
        <v>20000</v>
      </c>
      <c r="C113" s="410">
        <v>5000</v>
      </c>
      <c r="D113" s="135"/>
      <c r="E113" s="135"/>
      <c r="F113" s="135">
        <v>0</v>
      </c>
      <c r="G113" s="410">
        <v>227</v>
      </c>
      <c r="H113" s="436"/>
    </row>
    <row r="114" spans="1:8" x14ac:dyDescent="0.25">
      <c r="A114" s="54"/>
      <c r="B114" s="435">
        <v>30000</v>
      </c>
      <c r="C114" s="410">
        <v>5000</v>
      </c>
      <c r="D114" s="135"/>
      <c r="E114" s="135"/>
      <c r="F114" s="135">
        <v>0</v>
      </c>
      <c r="G114" s="410">
        <v>335</v>
      </c>
      <c r="H114" s="436"/>
    </row>
    <row r="115" spans="1:8" x14ac:dyDescent="0.25">
      <c r="A115" s="54"/>
      <c r="B115" s="435">
        <v>40000</v>
      </c>
      <c r="C115" s="410">
        <v>5000</v>
      </c>
      <c r="D115" s="135"/>
      <c r="E115" s="135"/>
      <c r="F115" s="135">
        <v>0</v>
      </c>
      <c r="G115" s="410">
        <v>441</v>
      </c>
      <c r="H115" s="436"/>
    </row>
    <row r="116" spans="1:8" x14ac:dyDescent="0.25">
      <c r="A116" s="54"/>
      <c r="B116" s="435">
        <v>50000</v>
      </c>
      <c r="C116" s="410">
        <v>5000</v>
      </c>
      <c r="D116" s="135"/>
      <c r="E116" s="135"/>
      <c r="F116" s="135">
        <v>0</v>
      </c>
      <c r="G116" s="410">
        <v>547</v>
      </c>
      <c r="H116" s="436"/>
    </row>
    <row r="117" spans="1:8" x14ac:dyDescent="0.25">
      <c r="A117" s="54"/>
      <c r="B117" s="435">
        <v>75000</v>
      </c>
      <c r="C117" s="410">
        <v>5000</v>
      </c>
      <c r="D117" s="136"/>
      <c r="E117" s="136"/>
      <c r="F117" s="135">
        <v>0</v>
      </c>
      <c r="G117" s="410">
        <v>820</v>
      </c>
      <c r="H117" s="436"/>
    </row>
    <row r="118" spans="1:8" x14ac:dyDescent="0.25">
      <c r="A118" s="54"/>
      <c r="B118" s="435">
        <v>100000</v>
      </c>
      <c r="C118" s="410">
        <v>5000</v>
      </c>
      <c r="D118" s="136"/>
      <c r="E118" s="136"/>
      <c r="F118" s="135">
        <v>0</v>
      </c>
      <c r="G118" s="410">
        <v>1093</v>
      </c>
      <c r="H118" s="436"/>
    </row>
    <row r="119" spans="1:8" x14ac:dyDescent="0.25">
      <c r="A119" s="54"/>
      <c r="B119" s="435">
        <v>125000</v>
      </c>
      <c r="C119" s="410">
        <v>5000</v>
      </c>
      <c r="D119" s="136"/>
      <c r="E119" s="136"/>
      <c r="F119" s="135">
        <v>0</v>
      </c>
      <c r="G119" s="410">
        <v>1366</v>
      </c>
      <c r="H119" s="436"/>
    </row>
    <row r="120" spans="1:8" x14ac:dyDescent="0.25">
      <c r="A120" s="54"/>
      <c r="B120" s="435">
        <v>150000</v>
      </c>
      <c r="C120" s="410">
        <v>5000</v>
      </c>
      <c r="D120" s="136"/>
      <c r="E120" s="136"/>
      <c r="F120" s="135">
        <v>0</v>
      </c>
      <c r="G120" s="410">
        <v>1640</v>
      </c>
      <c r="H120" s="436"/>
    </row>
    <row r="121" spans="1:8" x14ac:dyDescent="0.25">
      <c r="A121" s="54"/>
      <c r="B121" s="435">
        <v>175000</v>
      </c>
      <c r="C121" s="410">
        <v>5000</v>
      </c>
      <c r="D121" s="136"/>
      <c r="E121" s="136"/>
      <c r="F121" s="135">
        <v>0</v>
      </c>
      <c r="G121" s="410">
        <v>1913</v>
      </c>
      <c r="H121" s="436"/>
    </row>
    <row r="122" spans="1:8" x14ac:dyDescent="0.25">
      <c r="A122" s="54"/>
      <c r="B122" s="435">
        <v>200000</v>
      </c>
      <c r="C122" s="410">
        <v>5000</v>
      </c>
      <c r="D122" s="136"/>
      <c r="E122" s="136"/>
      <c r="F122" s="135">
        <v>0</v>
      </c>
      <c r="G122" s="410">
        <v>2186</v>
      </c>
      <c r="H122" s="436"/>
    </row>
    <row r="123" spans="1:8" x14ac:dyDescent="0.25">
      <c r="A123" s="54"/>
      <c r="B123" s="435">
        <v>225000</v>
      </c>
      <c r="C123" s="410">
        <v>5000</v>
      </c>
      <c r="D123" s="136"/>
      <c r="E123" s="136"/>
      <c r="F123" s="135">
        <v>0</v>
      </c>
      <c r="G123" s="410">
        <v>2459</v>
      </c>
      <c r="H123" s="436"/>
    </row>
    <row r="124" spans="1:8" thickBot="1" x14ac:dyDescent="0.3">
      <c r="A124" s="81"/>
      <c r="B124" s="437">
        <v>250000</v>
      </c>
      <c r="C124" s="438">
        <v>5000</v>
      </c>
      <c r="D124" s="315"/>
      <c r="E124" s="315"/>
      <c r="F124" s="248">
        <v>0</v>
      </c>
      <c r="G124" s="438">
        <v>2733</v>
      </c>
      <c r="H124" s="439"/>
    </row>
    <row r="125" spans="1:8" ht="12.5" x14ac:dyDescent="0.25">
      <c r="A125" s="81"/>
      <c r="B125" s="87"/>
      <c r="C125" s="87"/>
      <c r="D125" s="88"/>
      <c r="E125" s="88"/>
      <c r="F125" s="81"/>
      <c r="G125" s="87"/>
      <c r="H125" s="81"/>
    </row>
    <row r="126" spans="1:8" ht="15.5" x14ac:dyDescent="0.35">
      <c r="A126" s="89" t="s">
        <v>173</v>
      </c>
      <c r="B126" s="1132" t="s">
        <v>961</v>
      </c>
      <c r="C126" s="1132"/>
      <c r="D126" s="1132"/>
      <c r="E126" s="1132"/>
      <c r="F126" s="1132"/>
      <c r="G126" s="1132"/>
      <c r="H126" s="1132"/>
    </row>
    <row r="127" spans="1:8" x14ac:dyDescent="0.25">
      <c r="A127" s="89" t="s">
        <v>938</v>
      </c>
      <c r="B127" s="86" t="s">
        <v>211</v>
      </c>
      <c r="C127" s="113"/>
      <c r="D127" s="113"/>
      <c r="E127" s="113"/>
      <c r="F127" s="113"/>
      <c r="G127" s="113"/>
      <c r="H127" s="113"/>
    </row>
    <row r="128" spans="1:8" x14ac:dyDescent="0.25">
      <c r="A128" s="89" t="s">
        <v>939</v>
      </c>
      <c r="B128" s="1131" t="s">
        <v>940</v>
      </c>
      <c r="C128" s="1131"/>
      <c r="D128" s="1131"/>
      <c r="E128" s="1131"/>
      <c r="F128" s="1131"/>
      <c r="G128" s="1131"/>
      <c r="H128" s="1131"/>
    </row>
    <row r="129" spans="1:8" x14ac:dyDescent="0.25">
      <c r="A129" s="89" t="s">
        <v>203</v>
      </c>
      <c r="B129" s="1071" t="s">
        <v>941</v>
      </c>
      <c r="C129" s="1071"/>
      <c r="D129" s="113"/>
      <c r="E129" s="113"/>
      <c r="F129" s="113"/>
      <c r="G129" s="113"/>
      <c r="H129" s="113"/>
    </row>
    <row r="130" spans="1:8" x14ac:dyDescent="0.25">
      <c r="A130" s="89" t="s">
        <v>186</v>
      </c>
      <c r="B130" s="431" t="s">
        <v>942</v>
      </c>
      <c r="C130" s="113"/>
      <c r="D130" s="113"/>
      <c r="E130" s="113"/>
      <c r="F130" s="113"/>
      <c r="G130" s="113"/>
      <c r="H130" s="113"/>
    </row>
    <row r="131" spans="1:8" s="21" customFormat="1" x14ac:dyDescent="0.3">
      <c r="A131" s="89" t="s">
        <v>202</v>
      </c>
      <c r="B131" s="256" t="s">
        <v>200</v>
      </c>
      <c r="C131" s="256"/>
      <c r="D131" s="256"/>
      <c r="E131" s="256"/>
      <c r="F131" s="256"/>
      <c r="G131" s="256"/>
      <c r="H131" s="256"/>
    </row>
    <row r="132" spans="1:8" x14ac:dyDescent="0.25">
      <c r="A132" s="89" t="s">
        <v>272</v>
      </c>
      <c r="B132" s="113" t="s">
        <v>286</v>
      </c>
      <c r="C132" s="256"/>
      <c r="D132" s="256"/>
      <c r="E132" s="256"/>
      <c r="F132" s="256"/>
      <c r="G132" s="256"/>
      <c r="H132" s="256"/>
    </row>
    <row r="133" spans="1:8" x14ac:dyDescent="0.25">
      <c r="A133" s="89" t="s">
        <v>274</v>
      </c>
      <c r="B133" s="1130"/>
      <c r="C133" s="1130"/>
      <c r="D133" s="1130"/>
      <c r="E133" s="1130"/>
      <c r="F133" s="1130"/>
      <c r="G133" s="1130"/>
      <c r="H133" s="1130"/>
    </row>
    <row r="134" spans="1:8" ht="13.5" thickBot="1" x14ac:dyDescent="0.35">
      <c r="A134" s="89" t="s">
        <v>184</v>
      </c>
      <c r="B134" s="432">
        <v>500</v>
      </c>
      <c r="C134" s="113"/>
      <c r="D134" s="113"/>
      <c r="E134" s="113"/>
      <c r="F134" s="113"/>
      <c r="G134" s="113"/>
      <c r="H134" s="113"/>
    </row>
    <row r="135" spans="1:8" x14ac:dyDescent="0.3">
      <c r="A135" s="90"/>
      <c r="B135" s="427" t="s">
        <v>943</v>
      </c>
      <c r="C135" s="428" t="s">
        <v>944</v>
      </c>
      <c r="D135" s="429" t="s">
        <v>179</v>
      </c>
      <c r="E135" s="429" t="s">
        <v>177</v>
      </c>
      <c r="F135" s="429" t="s">
        <v>614</v>
      </c>
      <c r="G135" s="428" t="s">
        <v>217</v>
      </c>
      <c r="H135" s="430" t="s">
        <v>219</v>
      </c>
    </row>
    <row r="136" spans="1:8" ht="12.5" x14ac:dyDescent="0.25">
      <c r="A136" s="81"/>
      <c r="B136" s="435">
        <v>1500</v>
      </c>
      <c r="C136" s="410">
        <v>1000</v>
      </c>
      <c r="D136" s="136" t="s">
        <v>945</v>
      </c>
      <c r="E136" s="136" t="s">
        <v>945</v>
      </c>
      <c r="F136" s="135">
        <v>250</v>
      </c>
      <c r="G136" s="410">
        <v>28</v>
      </c>
      <c r="H136" s="436"/>
    </row>
    <row r="137" spans="1:8" ht="12.5" x14ac:dyDescent="0.25">
      <c r="A137" s="81"/>
      <c r="B137" s="435">
        <v>2500</v>
      </c>
      <c r="C137" s="410">
        <v>1000</v>
      </c>
      <c r="D137" s="136" t="s">
        <v>945</v>
      </c>
      <c r="E137" s="136" t="s">
        <v>945</v>
      </c>
      <c r="F137" s="135">
        <v>250</v>
      </c>
      <c r="G137" s="410">
        <v>46</v>
      </c>
      <c r="H137" s="436"/>
    </row>
    <row r="138" spans="1:8" ht="12.5" x14ac:dyDescent="0.25">
      <c r="A138" s="81"/>
      <c r="B138" s="435">
        <v>5000</v>
      </c>
      <c r="C138" s="410">
        <v>1000</v>
      </c>
      <c r="D138" s="136" t="s">
        <v>945</v>
      </c>
      <c r="E138" s="136" t="s">
        <v>945</v>
      </c>
      <c r="F138" s="135">
        <v>250</v>
      </c>
      <c r="G138" s="410">
        <v>89</v>
      </c>
      <c r="H138" s="436"/>
    </row>
    <row r="139" spans="1:8" ht="12.5" x14ac:dyDescent="0.25">
      <c r="A139" s="81"/>
      <c r="B139" s="435">
        <v>10000</v>
      </c>
      <c r="C139" s="410">
        <v>1000</v>
      </c>
      <c r="D139" s="136" t="s">
        <v>945</v>
      </c>
      <c r="E139" s="136" t="s">
        <v>945</v>
      </c>
      <c r="F139" s="135">
        <v>250</v>
      </c>
      <c r="G139" s="410">
        <v>173</v>
      </c>
      <c r="H139" s="436"/>
    </row>
    <row r="140" spans="1:8" ht="12.5" x14ac:dyDescent="0.25">
      <c r="A140" s="81"/>
      <c r="B140" s="435">
        <v>15000</v>
      </c>
      <c r="C140" s="410">
        <v>1000</v>
      </c>
      <c r="D140" s="135"/>
      <c r="E140" s="135"/>
      <c r="F140" s="135">
        <v>250</v>
      </c>
      <c r="G140" s="410">
        <v>257</v>
      </c>
      <c r="H140" s="436"/>
    </row>
    <row r="141" spans="1:8" ht="12.5" x14ac:dyDescent="0.25">
      <c r="A141" s="81"/>
      <c r="B141" s="435">
        <v>20000</v>
      </c>
      <c r="C141" s="410">
        <v>1000</v>
      </c>
      <c r="D141" s="135"/>
      <c r="E141" s="135"/>
      <c r="F141" s="135">
        <v>250</v>
      </c>
      <c r="G141" s="410">
        <v>338</v>
      </c>
      <c r="H141" s="436"/>
    </row>
    <row r="142" spans="1:8" ht="12.5" x14ac:dyDescent="0.25">
      <c r="A142" s="81"/>
      <c r="B142" s="435">
        <v>30000</v>
      </c>
      <c r="C142" s="410">
        <v>1000</v>
      </c>
      <c r="D142" s="135"/>
      <c r="E142" s="135"/>
      <c r="F142" s="135">
        <v>250</v>
      </c>
      <c r="G142" s="410">
        <v>499</v>
      </c>
      <c r="H142" s="436"/>
    </row>
    <row r="143" spans="1:8" ht="12.5" x14ac:dyDescent="0.25">
      <c r="A143" s="81"/>
      <c r="B143" s="435">
        <v>40000</v>
      </c>
      <c r="C143" s="410">
        <v>1000</v>
      </c>
      <c r="D143" s="135"/>
      <c r="E143" s="135"/>
      <c r="F143" s="135">
        <v>250</v>
      </c>
      <c r="G143" s="410">
        <v>656</v>
      </c>
      <c r="H143" s="436"/>
    </row>
    <row r="144" spans="1:8" ht="12.5" x14ac:dyDescent="0.25">
      <c r="A144" s="81"/>
      <c r="B144" s="435">
        <v>50000</v>
      </c>
      <c r="C144" s="410">
        <v>1000</v>
      </c>
      <c r="D144" s="135"/>
      <c r="E144" s="135"/>
      <c r="F144" s="135">
        <v>250</v>
      </c>
      <c r="G144" s="410">
        <v>813</v>
      </c>
      <c r="H144" s="436"/>
    </row>
    <row r="145" spans="1:8" ht="12.5" x14ac:dyDescent="0.25">
      <c r="A145" s="81"/>
      <c r="B145" s="435">
        <v>75000</v>
      </c>
      <c r="C145" s="410">
        <v>1000</v>
      </c>
      <c r="D145" s="136"/>
      <c r="E145" s="136"/>
      <c r="F145" s="135">
        <v>250</v>
      </c>
      <c r="G145" s="410">
        <v>1220</v>
      </c>
      <c r="H145" s="436"/>
    </row>
    <row r="146" spans="1:8" ht="12.5" x14ac:dyDescent="0.25">
      <c r="A146" s="81"/>
      <c r="B146" s="435">
        <v>100000</v>
      </c>
      <c r="C146" s="410">
        <v>1000</v>
      </c>
      <c r="D146" s="136"/>
      <c r="E146" s="136"/>
      <c r="F146" s="135">
        <v>250</v>
      </c>
      <c r="G146" s="410">
        <v>1627</v>
      </c>
      <c r="H146" s="436"/>
    </row>
    <row r="147" spans="1:8" ht="12.5" x14ac:dyDescent="0.25">
      <c r="A147" s="81"/>
      <c r="B147" s="435">
        <v>125000</v>
      </c>
      <c r="C147" s="410">
        <v>1000</v>
      </c>
      <c r="D147" s="136"/>
      <c r="E147" s="136"/>
      <c r="F147" s="135">
        <v>250</v>
      </c>
      <c r="G147" s="410">
        <v>2033</v>
      </c>
      <c r="H147" s="436"/>
    </row>
    <row r="148" spans="1:8" ht="12.5" x14ac:dyDescent="0.25">
      <c r="A148" s="81"/>
      <c r="B148" s="435">
        <v>150000</v>
      </c>
      <c r="C148" s="410">
        <v>1000</v>
      </c>
      <c r="D148" s="136"/>
      <c r="E148" s="136"/>
      <c r="F148" s="135">
        <v>250</v>
      </c>
      <c r="G148" s="410">
        <v>2440</v>
      </c>
      <c r="H148" s="436"/>
    </row>
    <row r="149" spans="1:8" ht="12.5" x14ac:dyDescent="0.25">
      <c r="A149" s="81"/>
      <c r="B149" s="435">
        <v>175000</v>
      </c>
      <c r="C149" s="410">
        <v>1000</v>
      </c>
      <c r="D149" s="136"/>
      <c r="E149" s="136"/>
      <c r="F149" s="135">
        <v>250</v>
      </c>
      <c r="G149" s="410">
        <v>2846</v>
      </c>
      <c r="H149" s="436"/>
    </row>
    <row r="150" spans="1:8" s="55" customFormat="1" ht="12.5" x14ac:dyDescent="0.25">
      <c r="A150" s="81"/>
      <c r="B150" s="435">
        <v>200000</v>
      </c>
      <c r="C150" s="410">
        <v>1000</v>
      </c>
      <c r="D150" s="136"/>
      <c r="E150" s="136"/>
      <c r="F150" s="135">
        <v>250</v>
      </c>
      <c r="G150" s="410">
        <v>3253</v>
      </c>
      <c r="H150" s="436"/>
    </row>
    <row r="151" spans="1:8" s="55" customFormat="1" ht="12.5" x14ac:dyDescent="0.25">
      <c r="A151" s="81"/>
      <c r="B151" s="435">
        <v>225000</v>
      </c>
      <c r="C151" s="410">
        <v>1000</v>
      </c>
      <c r="D151" s="136"/>
      <c r="E151" s="136"/>
      <c r="F151" s="135">
        <v>250</v>
      </c>
      <c r="G151" s="410">
        <v>3660</v>
      </c>
      <c r="H151" s="436"/>
    </row>
    <row r="152" spans="1:8" s="55" customFormat="1" thickBot="1" x14ac:dyDescent="0.3">
      <c r="A152" s="81"/>
      <c r="B152" s="437">
        <v>250000</v>
      </c>
      <c r="C152" s="438">
        <v>1000</v>
      </c>
      <c r="D152" s="315"/>
      <c r="E152" s="315"/>
      <c r="F152" s="248">
        <v>250</v>
      </c>
      <c r="G152" s="438">
        <v>4066</v>
      </c>
      <c r="H152" s="439"/>
    </row>
    <row r="153" spans="1:8" s="55" customFormat="1" ht="12.5" x14ac:dyDescent="0.25">
      <c r="A153" s="81"/>
      <c r="B153" s="87"/>
      <c r="C153" s="87"/>
      <c r="D153" s="88"/>
      <c r="E153" s="88"/>
      <c r="F153" s="81"/>
      <c r="G153" s="87"/>
      <c r="H153" s="81"/>
    </row>
    <row r="154" spans="1:8" s="55" customFormat="1" ht="15.5" x14ac:dyDescent="0.35">
      <c r="A154" s="89" t="s">
        <v>173</v>
      </c>
      <c r="B154" s="1132" t="s">
        <v>962</v>
      </c>
      <c r="C154" s="1132"/>
      <c r="D154" s="1132"/>
      <c r="E154" s="1132"/>
      <c r="F154" s="1132"/>
      <c r="G154" s="1132"/>
      <c r="H154" s="1132"/>
    </row>
    <row r="155" spans="1:8" s="55" customFormat="1" x14ac:dyDescent="0.25">
      <c r="A155" s="89" t="s">
        <v>938</v>
      </c>
      <c r="B155" s="86" t="s">
        <v>211</v>
      </c>
      <c r="C155" s="431"/>
      <c r="D155" s="113"/>
      <c r="E155" s="113"/>
      <c r="F155" s="113"/>
      <c r="G155" s="431"/>
      <c r="H155" s="113"/>
    </row>
    <row r="156" spans="1:8" s="55" customFormat="1" x14ac:dyDescent="0.25">
      <c r="A156" s="89" t="s">
        <v>939</v>
      </c>
      <c r="B156" s="1131" t="s">
        <v>940</v>
      </c>
      <c r="C156" s="1131"/>
      <c r="D156" s="1131"/>
      <c r="E156" s="1131"/>
      <c r="F156" s="1131"/>
      <c r="G156" s="1131"/>
      <c r="H156" s="1131"/>
    </row>
    <row r="157" spans="1:8" s="55" customFormat="1" x14ac:dyDescent="0.25">
      <c r="A157" s="89" t="s">
        <v>203</v>
      </c>
      <c r="B157" s="1071" t="s">
        <v>941</v>
      </c>
      <c r="C157" s="1071"/>
      <c r="D157" s="113"/>
      <c r="E157" s="113"/>
      <c r="F157" s="113"/>
      <c r="G157" s="431"/>
      <c r="H157" s="113"/>
    </row>
    <row r="158" spans="1:8" s="56" customFormat="1" x14ac:dyDescent="0.3">
      <c r="A158" s="89" t="s">
        <v>186</v>
      </c>
      <c r="B158" s="431" t="s">
        <v>942</v>
      </c>
      <c r="C158" s="431"/>
      <c r="D158" s="113"/>
      <c r="E158" s="113"/>
      <c r="F158" s="113"/>
      <c r="G158" s="431"/>
      <c r="H158" s="113"/>
    </row>
    <row r="159" spans="1:8" s="55" customFormat="1" x14ac:dyDescent="0.25">
      <c r="A159" s="89" t="s">
        <v>202</v>
      </c>
      <c r="B159" s="256" t="s">
        <v>200</v>
      </c>
      <c r="C159" s="256"/>
      <c r="D159" s="256"/>
      <c r="E159" s="256"/>
      <c r="F159" s="256"/>
      <c r="G159" s="256"/>
      <c r="H159" s="256"/>
    </row>
    <row r="160" spans="1:8" s="55" customFormat="1" x14ac:dyDescent="0.25">
      <c r="A160" s="89" t="s">
        <v>272</v>
      </c>
      <c r="B160" s="113" t="s">
        <v>942</v>
      </c>
      <c r="C160" s="256"/>
      <c r="D160" s="256"/>
      <c r="E160" s="256"/>
      <c r="F160" s="256"/>
      <c r="G160" s="256"/>
      <c r="H160" s="256"/>
    </row>
    <row r="161" spans="1:8" s="55" customFormat="1" x14ac:dyDescent="0.25">
      <c r="A161" s="89" t="s">
        <v>274</v>
      </c>
      <c r="B161" s="1130"/>
      <c r="C161" s="1130"/>
      <c r="D161" s="1130"/>
      <c r="E161" s="1130"/>
      <c r="F161" s="1130"/>
      <c r="G161" s="1130"/>
      <c r="H161" s="1130"/>
    </row>
    <row r="162" spans="1:8" s="55" customFormat="1" ht="13.5" thickBot="1" x14ac:dyDescent="0.35">
      <c r="A162" s="89" t="s">
        <v>184</v>
      </c>
      <c r="B162" s="432">
        <v>550</v>
      </c>
      <c r="C162" s="431"/>
      <c r="D162" s="113"/>
      <c r="E162" s="113"/>
      <c r="F162" s="113"/>
      <c r="G162" s="431"/>
      <c r="H162" s="113"/>
    </row>
    <row r="163" spans="1:8" s="55" customFormat="1" x14ac:dyDescent="0.3">
      <c r="A163" s="90"/>
      <c r="B163" s="427" t="s">
        <v>943</v>
      </c>
      <c r="C163" s="428" t="s">
        <v>944</v>
      </c>
      <c r="D163" s="429" t="s">
        <v>179</v>
      </c>
      <c r="E163" s="429" t="s">
        <v>177</v>
      </c>
      <c r="F163" s="429" t="s">
        <v>614</v>
      </c>
      <c r="G163" s="428" t="s">
        <v>217</v>
      </c>
      <c r="H163" s="430" t="s">
        <v>219</v>
      </c>
    </row>
    <row r="164" spans="1:8" s="55" customFormat="1" x14ac:dyDescent="0.25">
      <c r="A164" s="89"/>
      <c r="B164" s="435">
        <v>5000</v>
      </c>
      <c r="C164" s="410">
        <v>1000</v>
      </c>
      <c r="D164" s="136"/>
      <c r="E164" s="136"/>
      <c r="F164" s="135">
        <v>0</v>
      </c>
      <c r="G164" s="410">
        <v>89</v>
      </c>
      <c r="H164" s="436"/>
    </row>
    <row r="165" spans="1:8" s="55" customFormat="1" x14ac:dyDescent="0.25">
      <c r="A165" s="89"/>
      <c r="B165" s="435">
        <v>10000</v>
      </c>
      <c r="C165" s="410">
        <v>1000</v>
      </c>
      <c r="D165" s="136"/>
      <c r="E165" s="136"/>
      <c r="F165" s="135">
        <v>0</v>
      </c>
      <c r="G165" s="410">
        <v>173</v>
      </c>
      <c r="H165" s="436"/>
    </row>
    <row r="166" spans="1:8" s="55" customFormat="1" x14ac:dyDescent="0.25">
      <c r="A166" s="89"/>
      <c r="B166" s="435">
        <v>15000</v>
      </c>
      <c r="C166" s="410">
        <v>1000</v>
      </c>
      <c r="D166" s="136"/>
      <c r="E166" s="136"/>
      <c r="F166" s="135">
        <v>0</v>
      </c>
      <c r="G166" s="410">
        <v>257</v>
      </c>
      <c r="H166" s="436"/>
    </row>
    <row r="167" spans="1:8" s="55" customFormat="1" x14ac:dyDescent="0.25">
      <c r="A167" s="89"/>
      <c r="B167" s="435">
        <v>20000</v>
      </c>
      <c r="C167" s="410">
        <v>1000</v>
      </c>
      <c r="D167" s="136"/>
      <c r="E167" s="136"/>
      <c r="F167" s="135">
        <v>0</v>
      </c>
      <c r="G167" s="410">
        <v>338</v>
      </c>
      <c r="H167" s="436"/>
    </row>
    <row r="168" spans="1:8" s="55" customFormat="1" x14ac:dyDescent="0.25">
      <c r="A168" s="89"/>
      <c r="B168" s="435">
        <v>30000</v>
      </c>
      <c r="C168" s="410">
        <v>1000</v>
      </c>
      <c r="D168" s="136"/>
      <c r="E168" s="136"/>
      <c r="F168" s="135">
        <v>0</v>
      </c>
      <c r="G168" s="410">
        <v>499</v>
      </c>
      <c r="H168" s="436"/>
    </row>
    <row r="169" spans="1:8" s="55" customFormat="1" x14ac:dyDescent="0.25">
      <c r="A169" s="89"/>
      <c r="B169" s="435">
        <v>40000</v>
      </c>
      <c r="C169" s="410">
        <v>1000</v>
      </c>
      <c r="D169" s="136"/>
      <c r="E169" s="136"/>
      <c r="F169" s="135">
        <v>0</v>
      </c>
      <c r="G169" s="410">
        <v>656</v>
      </c>
      <c r="H169" s="436"/>
    </row>
    <row r="170" spans="1:8" s="55" customFormat="1" x14ac:dyDescent="0.25">
      <c r="A170" s="89"/>
      <c r="B170" s="435">
        <v>50000</v>
      </c>
      <c r="C170" s="410">
        <v>1000</v>
      </c>
      <c r="D170" s="136"/>
      <c r="E170" s="136"/>
      <c r="F170" s="135">
        <v>0</v>
      </c>
      <c r="G170" s="410">
        <v>813</v>
      </c>
      <c r="H170" s="436"/>
    </row>
    <row r="171" spans="1:8" s="55" customFormat="1" x14ac:dyDescent="0.25">
      <c r="A171" s="89"/>
      <c r="B171" s="435">
        <v>75000</v>
      </c>
      <c r="C171" s="410">
        <v>1000</v>
      </c>
      <c r="D171" s="136"/>
      <c r="E171" s="136"/>
      <c r="F171" s="135">
        <v>0</v>
      </c>
      <c r="G171" s="410">
        <v>1220</v>
      </c>
      <c r="H171" s="436"/>
    </row>
    <row r="172" spans="1:8" s="55" customFormat="1" x14ac:dyDescent="0.25">
      <c r="A172" s="89"/>
      <c r="B172" s="435">
        <v>100000</v>
      </c>
      <c r="C172" s="410">
        <v>1000</v>
      </c>
      <c r="D172" s="136"/>
      <c r="E172" s="136"/>
      <c r="F172" s="135">
        <v>0</v>
      </c>
      <c r="G172" s="410">
        <v>1627</v>
      </c>
      <c r="H172" s="436"/>
    </row>
    <row r="173" spans="1:8" s="55" customFormat="1" x14ac:dyDescent="0.25">
      <c r="A173" s="89"/>
      <c r="B173" s="435">
        <v>125000</v>
      </c>
      <c r="C173" s="410">
        <v>1000</v>
      </c>
      <c r="D173" s="136"/>
      <c r="E173" s="136"/>
      <c r="F173" s="135">
        <v>0</v>
      </c>
      <c r="G173" s="410">
        <v>2033</v>
      </c>
      <c r="H173" s="436"/>
    </row>
    <row r="174" spans="1:8" s="55" customFormat="1" x14ac:dyDescent="0.25">
      <c r="A174" s="89"/>
      <c r="B174" s="435">
        <v>150000</v>
      </c>
      <c r="C174" s="410">
        <v>1000</v>
      </c>
      <c r="D174" s="136"/>
      <c r="E174" s="136"/>
      <c r="F174" s="135">
        <v>0</v>
      </c>
      <c r="G174" s="410">
        <v>2440</v>
      </c>
      <c r="H174" s="436"/>
    </row>
    <row r="175" spans="1:8" s="55" customFormat="1" x14ac:dyDescent="0.25">
      <c r="A175" s="89"/>
      <c r="B175" s="435">
        <v>175000</v>
      </c>
      <c r="C175" s="410">
        <v>1000</v>
      </c>
      <c r="D175" s="136"/>
      <c r="E175" s="136"/>
      <c r="F175" s="135">
        <v>0</v>
      </c>
      <c r="G175" s="410">
        <v>2846</v>
      </c>
      <c r="H175" s="436"/>
    </row>
    <row r="176" spans="1:8" s="55" customFormat="1" x14ac:dyDescent="0.25">
      <c r="A176" s="89"/>
      <c r="B176" s="435">
        <v>200000</v>
      </c>
      <c r="C176" s="410">
        <v>1000</v>
      </c>
      <c r="D176" s="136"/>
      <c r="E176" s="136"/>
      <c r="F176" s="135">
        <v>0</v>
      </c>
      <c r="G176" s="410">
        <v>3253</v>
      </c>
      <c r="H176" s="436"/>
    </row>
    <row r="177" spans="1:8" s="55" customFormat="1" x14ac:dyDescent="0.25">
      <c r="A177" s="89"/>
      <c r="B177" s="435">
        <v>225000</v>
      </c>
      <c r="C177" s="410">
        <v>1000</v>
      </c>
      <c r="D177" s="136"/>
      <c r="E177" s="136"/>
      <c r="F177" s="135">
        <v>0</v>
      </c>
      <c r="G177" s="410">
        <v>3660</v>
      </c>
      <c r="H177" s="436"/>
    </row>
    <row r="178" spans="1:8" s="55" customFormat="1" ht="13.5" thickBot="1" x14ac:dyDescent="0.3">
      <c r="A178" s="89"/>
      <c r="B178" s="437">
        <v>250000</v>
      </c>
      <c r="C178" s="438">
        <v>1000</v>
      </c>
      <c r="D178" s="315"/>
      <c r="E178" s="315"/>
      <c r="F178" s="248">
        <v>0</v>
      </c>
      <c r="G178" s="438">
        <v>4066</v>
      </c>
      <c r="H178" s="439"/>
    </row>
    <row r="179" spans="1:8" s="55" customFormat="1" x14ac:dyDescent="0.25">
      <c r="A179" s="89"/>
      <c r="B179" s="87"/>
      <c r="C179" s="87"/>
      <c r="D179" s="88"/>
      <c r="E179" s="88"/>
      <c r="F179" s="81"/>
      <c r="G179" s="87"/>
      <c r="H179" s="81"/>
    </row>
    <row r="180" spans="1:8" s="55" customFormat="1" ht="15.5" x14ac:dyDescent="0.35">
      <c r="A180" s="89" t="s">
        <v>173</v>
      </c>
      <c r="B180" s="1132" t="s">
        <v>963</v>
      </c>
      <c r="C180" s="1132"/>
      <c r="D180" s="1132"/>
      <c r="E180" s="1132"/>
      <c r="F180" s="1132"/>
      <c r="G180" s="1132"/>
      <c r="H180" s="1132"/>
    </row>
    <row r="181" spans="1:8" s="55" customFormat="1" x14ac:dyDescent="0.25">
      <c r="A181" s="89" t="s">
        <v>938</v>
      </c>
      <c r="B181" s="86" t="s">
        <v>211</v>
      </c>
      <c r="C181" s="431"/>
      <c r="D181" s="113"/>
      <c r="E181" s="113"/>
      <c r="F181" s="113"/>
      <c r="G181" s="431"/>
      <c r="H181" s="113"/>
    </row>
    <row r="182" spans="1:8" s="55" customFormat="1" x14ac:dyDescent="0.25">
      <c r="A182" s="89" t="s">
        <v>939</v>
      </c>
      <c r="B182" s="1131" t="s">
        <v>964</v>
      </c>
      <c r="C182" s="1131"/>
      <c r="D182" s="1131"/>
      <c r="E182" s="1131"/>
      <c r="F182" s="1131"/>
      <c r="G182" s="1131"/>
      <c r="H182" s="1131"/>
    </row>
    <row r="183" spans="1:8" s="56" customFormat="1" x14ac:dyDescent="0.3">
      <c r="A183" s="89" t="s">
        <v>203</v>
      </c>
      <c r="B183" s="1071" t="s">
        <v>941</v>
      </c>
      <c r="C183" s="1071"/>
      <c r="D183" s="113"/>
      <c r="E183" s="113"/>
      <c r="F183" s="113"/>
      <c r="G183" s="431"/>
      <c r="H183" s="113"/>
    </row>
    <row r="184" spans="1:8" s="55" customFormat="1" x14ac:dyDescent="0.25">
      <c r="A184" s="89" t="s">
        <v>186</v>
      </c>
      <c r="B184" s="431" t="s">
        <v>942</v>
      </c>
      <c r="C184" s="431"/>
      <c r="D184" s="113"/>
      <c r="E184" s="113"/>
      <c r="F184" s="113"/>
      <c r="G184" s="431"/>
      <c r="H184" s="113"/>
    </row>
    <row r="185" spans="1:8" s="55" customFormat="1" x14ac:dyDescent="0.25">
      <c r="A185" s="89" t="s">
        <v>202</v>
      </c>
      <c r="B185" s="113" t="s">
        <v>965</v>
      </c>
      <c r="C185" s="256"/>
      <c r="D185" s="256"/>
      <c r="E185" s="256"/>
      <c r="F185" s="256"/>
      <c r="G185" s="256"/>
      <c r="H185" s="256"/>
    </row>
    <row r="186" spans="1:8" s="55" customFormat="1" x14ac:dyDescent="0.25">
      <c r="A186" s="89" t="s">
        <v>274</v>
      </c>
      <c r="B186" s="1130"/>
      <c r="C186" s="1130"/>
      <c r="D186" s="1130"/>
      <c r="E186" s="1130"/>
      <c r="F186" s="1130"/>
      <c r="G186" s="1130"/>
      <c r="H186" s="1130"/>
    </row>
    <row r="187" spans="1:8" s="55" customFormat="1" ht="13.5" thickBot="1" x14ac:dyDescent="0.35">
      <c r="A187" s="89" t="s">
        <v>184</v>
      </c>
      <c r="B187" s="432">
        <v>600</v>
      </c>
      <c r="C187" s="431"/>
      <c r="D187" s="113"/>
      <c r="E187" s="113"/>
      <c r="F187" s="113"/>
      <c r="G187" s="431"/>
      <c r="H187" s="113"/>
    </row>
    <row r="188" spans="1:8" s="55" customFormat="1" x14ac:dyDescent="0.3">
      <c r="A188" s="90"/>
      <c r="B188" s="427" t="s">
        <v>943</v>
      </c>
      <c r="C188" s="428" t="s">
        <v>944</v>
      </c>
      <c r="D188" s="429" t="s">
        <v>179</v>
      </c>
      <c r="E188" s="429" t="s">
        <v>177</v>
      </c>
      <c r="F188" s="429" t="s">
        <v>614</v>
      </c>
      <c r="G188" s="428" t="s">
        <v>217</v>
      </c>
      <c r="H188" s="430" t="s">
        <v>219</v>
      </c>
    </row>
    <row r="189" spans="1:8" s="55" customFormat="1" x14ac:dyDescent="0.25">
      <c r="A189" s="89"/>
      <c r="B189" s="435">
        <v>1500</v>
      </c>
      <c r="C189" s="410">
        <v>1500</v>
      </c>
      <c r="D189" s="136"/>
      <c r="E189" s="136"/>
      <c r="F189" s="135">
        <v>0</v>
      </c>
      <c r="G189" s="410">
        <v>5</v>
      </c>
      <c r="H189" s="436"/>
    </row>
    <row r="190" spans="1:8" s="55" customFormat="1" x14ac:dyDescent="0.25">
      <c r="A190" s="89"/>
      <c r="B190" s="435">
        <v>2500</v>
      </c>
      <c r="C190" s="410">
        <v>2500</v>
      </c>
      <c r="D190" s="136"/>
      <c r="E190" s="136"/>
      <c r="F190" s="135">
        <v>0</v>
      </c>
      <c r="G190" s="410">
        <v>9</v>
      </c>
      <c r="H190" s="436"/>
    </row>
    <row r="191" spans="1:8" s="55" customFormat="1" x14ac:dyDescent="0.25">
      <c r="A191" s="89"/>
      <c r="B191" s="435">
        <v>5000</v>
      </c>
      <c r="C191" s="410">
        <v>5000</v>
      </c>
      <c r="D191" s="136"/>
      <c r="E191" s="136"/>
      <c r="F191" s="135">
        <v>0</v>
      </c>
      <c r="G191" s="410">
        <v>17</v>
      </c>
      <c r="H191" s="436"/>
    </row>
    <row r="192" spans="1:8" s="55" customFormat="1" x14ac:dyDescent="0.25">
      <c r="A192" s="89"/>
      <c r="B192" s="435">
        <v>10000</v>
      </c>
      <c r="C192" s="410">
        <v>5000</v>
      </c>
      <c r="D192" s="136"/>
      <c r="E192" s="136"/>
      <c r="F192" s="135">
        <v>0</v>
      </c>
      <c r="G192" s="410">
        <v>33</v>
      </c>
      <c r="H192" s="436"/>
    </row>
    <row r="193" spans="1:8" s="55" customFormat="1" x14ac:dyDescent="0.25">
      <c r="A193" s="89"/>
      <c r="B193" s="435">
        <v>15000</v>
      </c>
      <c r="C193" s="410">
        <v>5000</v>
      </c>
      <c r="D193" s="136"/>
      <c r="E193" s="136"/>
      <c r="F193" s="135">
        <v>0</v>
      </c>
      <c r="G193" s="410">
        <v>48</v>
      </c>
      <c r="H193" s="436"/>
    </row>
    <row r="194" spans="1:8" s="55" customFormat="1" x14ac:dyDescent="0.25">
      <c r="A194" s="89"/>
      <c r="B194" s="435">
        <v>20000</v>
      </c>
      <c r="C194" s="410">
        <v>5000</v>
      </c>
      <c r="D194" s="136"/>
      <c r="E194" s="136"/>
      <c r="F194" s="135">
        <v>0</v>
      </c>
      <c r="G194" s="410">
        <v>63</v>
      </c>
      <c r="H194" s="436"/>
    </row>
    <row r="195" spans="1:8" s="55" customFormat="1" x14ac:dyDescent="0.25">
      <c r="A195" s="89"/>
      <c r="B195" s="435">
        <v>30000</v>
      </c>
      <c r="C195" s="410">
        <v>5000</v>
      </c>
      <c r="D195" s="136"/>
      <c r="E195" s="136"/>
      <c r="F195" s="135">
        <v>0</v>
      </c>
      <c r="G195" s="410">
        <v>94</v>
      </c>
      <c r="H195" s="436"/>
    </row>
    <row r="196" spans="1:8" s="55" customFormat="1" x14ac:dyDescent="0.25">
      <c r="A196" s="89"/>
      <c r="B196" s="435">
        <v>40000</v>
      </c>
      <c r="C196" s="410">
        <v>5000</v>
      </c>
      <c r="D196" s="136"/>
      <c r="E196" s="136"/>
      <c r="F196" s="135">
        <v>0</v>
      </c>
      <c r="G196" s="410">
        <v>123</v>
      </c>
      <c r="H196" s="436"/>
    </row>
    <row r="197" spans="1:8" s="55" customFormat="1" x14ac:dyDescent="0.25">
      <c r="A197" s="89"/>
      <c r="B197" s="435">
        <v>50000</v>
      </c>
      <c r="C197" s="410">
        <v>5000</v>
      </c>
      <c r="D197" s="136"/>
      <c r="E197" s="136"/>
      <c r="F197" s="135">
        <v>0</v>
      </c>
      <c r="G197" s="410">
        <v>153</v>
      </c>
      <c r="H197" s="436"/>
    </row>
    <row r="198" spans="1:8" s="55" customFormat="1" x14ac:dyDescent="0.25">
      <c r="A198" s="89"/>
      <c r="B198" s="435">
        <v>75000</v>
      </c>
      <c r="C198" s="410">
        <v>5000</v>
      </c>
      <c r="D198" s="136"/>
      <c r="E198" s="136"/>
      <c r="F198" s="135">
        <v>0</v>
      </c>
      <c r="G198" s="410">
        <v>229</v>
      </c>
      <c r="H198" s="436"/>
    </row>
    <row r="199" spans="1:8" s="55" customFormat="1" x14ac:dyDescent="0.25">
      <c r="A199" s="89"/>
      <c r="B199" s="435">
        <v>100000</v>
      </c>
      <c r="C199" s="410">
        <v>5000</v>
      </c>
      <c r="D199" s="136"/>
      <c r="E199" s="136"/>
      <c r="F199" s="135">
        <v>0</v>
      </c>
      <c r="G199" s="410">
        <v>305</v>
      </c>
      <c r="H199" s="436"/>
    </row>
    <row r="200" spans="1:8" s="55" customFormat="1" x14ac:dyDescent="0.25">
      <c r="A200" s="89"/>
      <c r="B200" s="435">
        <v>125000</v>
      </c>
      <c r="C200" s="410">
        <v>5000</v>
      </c>
      <c r="D200" s="136"/>
      <c r="E200" s="136"/>
      <c r="F200" s="135">
        <v>0</v>
      </c>
      <c r="G200" s="410">
        <v>382</v>
      </c>
      <c r="H200" s="436"/>
    </row>
    <row r="201" spans="1:8" x14ac:dyDescent="0.25">
      <c r="A201" s="89"/>
      <c r="B201" s="435">
        <v>150000</v>
      </c>
      <c r="C201" s="410">
        <v>5000</v>
      </c>
      <c r="D201" s="136"/>
      <c r="E201" s="136"/>
      <c r="F201" s="135">
        <v>0</v>
      </c>
      <c r="G201" s="410">
        <v>458</v>
      </c>
      <c r="H201" s="436"/>
    </row>
    <row r="202" spans="1:8" s="55" customFormat="1" x14ac:dyDescent="0.25">
      <c r="A202" s="89"/>
      <c r="B202" s="435">
        <v>175000</v>
      </c>
      <c r="C202" s="410">
        <v>5000</v>
      </c>
      <c r="D202" s="136"/>
      <c r="E202" s="136"/>
      <c r="F202" s="135">
        <v>0</v>
      </c>
      <c r="G202" s="410">
        <v>534</v>
      </c>
      <c r="H202" s="436"/>
    </row>
    <row r="203" spans="1:8" s="55" customFormat="1" x14ac:dyDescent="0.25">
      <c r="A203" s="89"/>
      <c r="B203" s="435">
        <v>200000</v>
      </c>
      <c r="C203" s="410">
        <v>5000</v>
      </c>
      <c r="D203" s="136"/>
      <c r="E203" s="136"/>
      <c r="F203" s="135">
        <v>0</v>
      </c>
      <c r="G203" s="410">
        <v>611</v>
      </c>
      <c r="H203" s="436"/>
    </row>
    <row r="204" spans="1:8" s="55" customFormat="1" x14ac:dyDescent="0.25">
      <c r="A204" s="89"/>
      <c r="B204" s="435">
        <v>225000</v>
      </c>
      <c r="C204" s="410">
        <v>5000</v>
      </c>
      <c r="D204" s="136"/>
      <c r="E204" s="136"/>
      <c r="F204" s="135">
        <v>0</v>
      </c>
      <c r="G204" s="410">
        <v>687</v>
      </c>
      <c r="H204" s="436"/>
    </row>
    <row r="205" spans="1:8" s="55" customFormat="1" ht="13.5" thickBot="1" x14ac:dyDescent="0.3">
      <c r="A205" s="89"/>
      <c r="B205" s="437">
        <v>250000</v>
      </c>
      <c r="C205" s="438">
        <v>5000</v>
      </c>
      <c r="D205" s="315"/>
      <c r="E205" s="315"/>
      <c r="F205" s="248">
        <v>0</v>
      </c>
      <c r="G205" s="438">
        <v>763</v>
      </c>
      <c r="H205" s="439"/>
    </row>
    <row r="206" spans="1:8" s="55" customFormat="1" x14ac:dyDescent="0.25">
      <c r="A206" s="89"/>
      <c r="B206" s="87"/>
      <c r="C206" s="87"/>
      <c r="D206" s="88"/>
      <c r="E206" s="88"/>
      <c r="F206" s="81"/>
      <c r="G206" s="87"/>
      <c r="H206" s="81"/>
    </row>
    <row r="207" spans="1:8" s="55" customFormat="1" ht="15.5" x14ac:dyDescent="0.35">
      <c r="A207" s="89" t="s">
        <v>173</v>
      </c>
      <c r="B207" s="1132" t="s">
        <v>963</v>
      </c>
      <c r="C207" s="1132"/>
      <c r="D207" s="1132"/>
      <c r="E207" s="1132"/>
      <c r="F207" s="1132"/>
      <c r="G207" s="1132"/>
      <c r="H207" s="1132"/>
    </row>
    <row r="208" spans="1:8" s="55" customFormat="1" x14ac:dyDescent="0.25">
      <c r="A208" s="89" t="s">
        <v>938</v>
      </c>
      <c r="B208" s="86" t="s">
        <v>211</v>
      </c>
      <c r="C208" s="431"/>
      <c r="D208" s="113"/>
      <c r="E208" s="113"/>
      <c r="F208" s="113"/>
      <c r="G208" s="431"/>
      <c r="H208" s="113"/>
    </row>
    <row r="209" spans="1:8" s="55" customFormat="1" x14ac:dyDescent="0.25">
      <c r="A209" s="89" t="s">
        <v>939</v>
      </c>
      <c r="B209" s="1131" t="s">
        <v>964</v>
      </c>
      <c r="C209" s="1131"/>
      <c r="D209" s="1131"/>
      <c r="E209" s="1131"/>
      <c r="F209" s="1131"/>
      <c r="G209" s="1131"/>
      <c r="H209" s="1131"/>
    </row>
    <row r="210" spans="1:8" s="56" customFormat="1" x14ac:dyDescent="0.3">
      <c r="A210" s="89" t="s">
        <v>203</v>
      </c>
      <c r="B210" s="1071" t="s">
        <v>941</v>
      </c>
      <c r="C210" s="1071"/>
      <c r="D210" s="113"/>
      <c r="E210" s="113"/>
      <c r="F210" s="113"/>
      <c r="G210" s="431"/>
      <c r="H210" s="113"/>
    </row>
    <row r="211" spans="1:8" s="55" customFormat="1" x14ac:dyDescent="0.25">
      <c r="A211" s="89" t="s">
        <v>186</v>
      </c>
      <c r="B211" s="431" t="s">
        <v>942</v>
      </c>
      <c r="C211" s="431"/>
      <c r="D211" s="113"/>
      <c r="E211" s="113"/>
      <c r="F211" s="113"/>
      <c r="G211" s="431"/>
      <c r="H211" s="113"/>
    </row>
    <row r="212" spans="1:8" s="55" customFormat="1" x14ac:dyDescent="0.25">
      <c r="A212" s="89" t="s">
        <v>202</v>
      </c>
      <c r="B212" s="113" t="s">
        <v>965</v>
      </c>
      <c r="C212" s="256"/>
      <c r="D212" s="256"/>
      <c r="E212" s="256"/>
      <c r="F212" s="256"/>
      <c r="G212" s="256"/>
      <c r="H212" s="256"/>
    </row>
    <row r="213" spans="1:8" s="55" customFormat="1" x14ac:dyDescent="0.25">
      <c r="A213" s="89" t="s">
        <v>274</v>
      </c>
      <c r="B213" s="1130"/>
      <c r="C213" s="1130"/>
      <c r="D213" s="1130"/>
      <c r="E213" s="1130"/>
      <c r="F213" s="1130"/>
      <c r="G213" s="1130"/>
      <c r="H213" s="1130"/>
    </row>
    <row r="214" spans="1:8" s="55" customFormat="1" ht="13.5" thickBot="1" x14ac:dyDescent="0.35">
      <c r="A214" s="89" t="s">
        <v>184</v>
      </c>
      <c r="B214" s="432">
        <v>650</v>
      </c>
      <c r="C214" s="431"/>
      <c r="D214" s="113"/>
      <c r="E214" s="113"/>
      <c r="F214" s="113"/>
      <c r="G214" s="431"/>
      <c r="H214" s="113"/>
    </row>
    <row r="215" spans="1:8" s="55" customFormat="1" x14ac:dyDescent="0.3">
      <c r="A215" s="90"/>
      <c r="B215" s="427" t="s">
        <v>943</v>
      </c>
      <c r="C215" s="428" t="s">
        <v>944</v>
      </c>
      <c r="D215" s="429" t="s">
        <v>179</v>
      </c>
      <c r="E215" s="429" t="s">
        <v>177</v>
      </c>
      <c r="F215" s="429" t="s">
        <v>614</v>
      </c>
      <c r="G215" s="428" t="s">
        <v>217</v>
      </c>
      <c r="H215" s="430" t="s">
        <v>219</v>
      </c>
    </row>
    <row r="216" spans="1:8" s="55" customFormat="1" x14ac:dyDescent="0.25">
      <c r="A216" s="89"/>
      <c r="B216" s="435">
        <v>1500</v>
      </c>
      <c r="C216" s="410">
        <v>1500</v>
      </c>
      <c r="D216" s="136"/>
      <c r="E216" s="136"/>
      <c r="F216" s="135">
        <v>0</v>
      </c>
      <c r="G216" s="410">
        <v>5</v>
      </c>
      <c r="H216" s="436"/>
    </row>
    <row r="217" spans="1:8" s="55" customFormat="1" x14ac:dyDescent="0.25">
      <c r="A217" s="89"/>
      <c r="B217" s="435">
        <v>2500</v>
      </c>
      <c r="C217" s="410">
        <v>2500</v>
      </c>
      <c r="D217" s="136"/>
      <c r="E217" s="136"/>
      <c r="F217" s="135">
        <v>0</v>
      </c>
      <c r="G217" s="410">
        <v>9</v>
      </c>
      <c r="H217" s="436"/>
    </row>
    <row r="218" spans="1:8" s="55" customFormat="1" x14ac:dyDescent="0.25">
      <c r="A218" s="89"/>
      <c r="B218" s="435">
        <v>5000</v>
      </c>
      <c r="C218" s="410">
        <v>5000</v>
      </c>
      <c r="D218" s="136"/>
      <c r="E218" s="136"/>
      <c r="F218" s="135">
        <v>0</v>
      </c>
      <c r="G218" s="410">
        <v>17</v>
      </c>
      <c r="H218" s="436"/>
    </row>
    <row r="219" spans="1:8" s="55" customFormat="1" x14ac:dyDescent="0.25">
      <c r="A219" s="89"/>
      <c r="B219" s="435">
        <v>10000</v>
      </c>
      <c r="C219" s="410">
        <v>5000</v>
      </c>
      <c r="D219" s="136"/>
      <c r="E219" s="136"/>
      <c r="F219" s="135">
        <v>0</v>
      </c>
      <c r="G219" s="410">
        <v>33</v>
      </c>
      <c r="H219" s="436"/>
    </row>
    <row r="220" spans="1:8" s="55" customFormat="1" x14ac:dyDescent="0.25">
      <c r="A220" s="89"/>
      <c r="B220" s="435">
        <v>15000</v>
      </c>
      <c r="C220" s="410">
        <v>5000</v>
      </c>
      <c r="D220" s="136"/>
      <c r="E220" s="136"/>
      <c r="F220" s="135">
        <v>0</v>
      </c>
      <c r="G220" s="410">
        <v>48</v>
      </c>
      <c r="H220" s="436"/>
    </row>
    <row r="221" spans="1:8" s="55" customFormat="1" x14ac:dyDescent="0.25">
      <c r="A221" s="89"/>
      <c r="B221" s="435">
        <v>20000</v>
      </c>
      <c r="C221" s="410">
        <v>5000</v>
      </c>
      <c r="D221" s="136"/>
      <c r="E221" s="136"/>
      <c r="F221" s="135">
        <v>0</v>
      </c>
      <c r="G221" s="410">
        <v>63</v>
      </c>
      <c r="H221" s="436"/>
    </row>
    <row r="222" spans="1:8" s="55" customFormat="1" x14ac:dyDescent="0.25">
      <c r="A222" s="89"/>
      <c r="B222" s="435">
        <v>30000</v>
      </c>
      <c r="C222" s="410">
        <v>5000</v>
      </c>
      <c r="D222" s="136"/>
      <c r="E222" s="136"/>
      <c r="F222" s="135">
        <v>0</v>
      </c>
      <c r="G222" s="410">
        <v>94</v>
      </c>
      <c r="H222" s="436"/>
    </row>
    <row r="223" spans="1:8" s="55" customFormat="1" x14ac:dyDescent="0.25">
      <c r="A223" s="89"/>
      <c r="B223" s="435">
        <v>40000</v>
      </c>
      <c r="C223" s="410">
        <v>5000</v>
      </c>
      <c r="D223" s="136"/>
      <c r="E223" s="136"/>
      <c r="F223" s="135">
        <v>0</v>
      </c>
      <c r="G223" s="410">
        <v>123</v>
      </c>
      <c r="H223" s="436"/>
    </row>
    <row r="224" spans="1:8" s="55" customFormat="1" x14ac:dyDescent="0.25">
      <c r="A224" s="89"/>
      <c r="B224" s="435">
        <v>50000</v>
      </c>
      <c r="C224" s="410">
        <v>5000</v>
      </c>
      <c r="D224" s="136"/>
      <c r="E224" s="136"/>
      <c r="F224" s="135">
        <v>0</v>
      </c>
      <c r="G224" s="410">
        <v>153</v>
      </c>
      <c r="H224" s="436"/>
    </row>
    <row r="225" spans="1:8" s="55" customFormat="1" x14ac:dyDescent="0.25">
      <c r="A225" s="89"/>
      <c r="B225" s="435">
        <v>75000</v>
      </c>
      <c r="C225" s="410">
        <v>5000</v>
      </c>
      <c r="D225" s="136"/>
      <c r="E225" s="136"/>
      <c r="F225" s="135">
        <v>0</v>
      </c>
      <c r="G225" s="410">
        <v>229</v>
      </c>
      <c r="H225" s="436"/>
    </row>
    <row r="226" spans="1:8" s="55" customFormat="1" x14ac:dyDescent="0.25">
      <c r="A226" s="89"/>
      <c r="B226" s="435">
        <v>100000</v>
      </c>
      <c r="C226" s="410">
        <v>5000</v>
      </c>
      <c r="D226" s="136"/>
      <c r="E226" s="136"/>
      <c r="F226" s="135">
        <v>0</v>
      </c>
      <c r="G226" s="410">
        <v>305</v>
      </c>
      <c r="H226" s="436"/>
    </row>
    <row r="227" spans="1:8" s="55" customFormat="1" x14ac:dyDescent="0.25">
      <c r="A227" s="89"/>
      <c r="B227" s="435">
        <v>125000</v>
      </c>
      <c r="C227" s="410">
        <v>5000</v>
      </c>
      <c r="D227" s="136"/>
      <c r="E227" s="136"/>
      <c r="F227" s="135">
        <v>0</v>
      </c>
      <c r="G227" s="410">
        <v>382</v>
      </c>
      <c r="H227" s="436"/>
    </row>
    <row r="228" spans="1:8" x14ac:dyDescent="0.25">
      <c r="A228" s="89"/>
      <c r="B228" s="435">
        <v>150000</v>
      </c>
      <c r="C228" s="410">
        <v>5000</v>
      </c>
      <c r="D228" s="136"/>
      <c r="E228" s="136"/>
      <c r="F228" s="135">
        <v>0</v>
      </c>
      <c r="G228" s="410">
        <v>458</v>
      </c>
      <c r="H228" s="436"/>
    </row>
    <row r="229" spans="1:8" s="55" customFormat="1" x14ac:dyDescent="0.25">
      <c r="A229" s="89"/>
      <c r="B229" s="435">
        <v>175000</v>
      </c>
      <c r="C229" s="410">
        <v>5000</v>
      </c>
      <c r="D229" s="136"/>
      <c r="E229" s="136"/>
      <c r="F229" s="135">
        <v>0</v>
      </c>
      <c r="G229" s="410">
        <v>534</v>
      </c>
      <c r="H229" s="436"/>
    </row>
    <row r="230" spans="1:8" s="55" customFormat="1" x14ac:dyDescent="0.25">
      <c r="A230" s="89"/>
      <c r="B230" s="435">
        <v>200000</v>
      </c>
      <c r="C230" s="410">
        <v>5000</v>
      </c>
      <c r="D230" s="136"/>
      <c r="E230" s="136"/>
      <c r="F230" s="135">
        <v>0</v>
      </c>
      <c r="G230" s="410">
        <v>611</v>
      </c>
      <c r="H230" s="436"/>
    </row>
    <row r="231" spans="1:8" s="55" customFormat="1" x14ac:dyDescent="0.25">
      <c r="A231" s="89"/>
      <c r="B231" s="435">
        <v>225000</v>
      </c>
      <c r="C231" s="410">
        <v>5000</v>
      </c>
      <c r="D231" s="136"/>
      <c r="E231" s="136"/>
      <c r="F231" s="135">
        <v>0</v>
      </c>
      <c r="G231" s="410">
        <v>687</v>
      </c>
      <c r="H231" s="436"/>
    </row>
    <row r="232" spans="1:8" s="55" customFormat="1" ht="13.5" thickBot="1" x14ac:dyDescent="0.3">
      <c r="A232" s="89"/>
      <c r="B232" s="437">
        <v>250000</v>
      </c>
      <c r="C232" s="438">
        <v>5000</v>
      </c>
      <c r="D232" s="315"/>
      <c r="E232" s="315"/>
      <c r="F232" s="248">
        <v>0</v>
      </c>
      <c r="G232" s="438">
        <v>763</v>
      </c>
      <c r="H232" s="439"/>
    </row>
    <row r="233" spans="1:8" s="55" customFormat="1" x14ac:dyDescent="0.25">
      <c r="A233" s="89"/>
      <c r="B233" s="87"/>
      <c r="C233" s="87"/>
      <c r="D233" s="88"/>
      <c r="E233" s="88"/>
      <c r="F233" s="81"/>
      <c r="G233" s="87"/>
      <c r="H233" s="81"/>
    </row>
    <row r="234" spans="1:8" s="55" customFormat="1" ht="15.5" x14ac:dyDescent="0.35">
      <c r="A234" s="89" t="s">
        <v>173</v>
      </c>
      <c r="B234" s="1132" t="s">
        <v>966</v>
      </c>
      <c r="C234" s="1132"/>
      <c r="D234" s="1132"/>
      <c r="E234" s="1132"/>
      <c r="F234" s="1132"/>
      <c r="G234" s="1132"/>
      <c r="H234" s="1132"/>
    </row>
    <row r="235" spans="1:8" s="55" customFormat="1" x14ac:dyDescent="0.25">
      <c r="A235" s="89" t="s">
        <v>938</v>
      </c>
      <c r="B235" s="86" t="s">
        <v>211</v>
      </c>
      <c r="C235" s="431"/>
      <c r="D235" s="113"/>
      <c r="E235" s="113"/>
      <c r="F235" s="113"/>
      <c r="G235" s="431"/>
      <c r="H235" s="113"/>
    </row>
    <row r="236" spans="1:8" s="55" customFormat="1" x14ac:dyDescent="0.25">
      <c r="A236" s="89" t="s">
        <v>939</v>
      </c>
      <c r="B236" s="1131" t="s">
        <v>964</v>
      </c>
      <c r="C236" s="1131"/>
      <c r="D236" s="1131"/>
      <c r="E236" s="1131"/>
      <c r="F236" s="1131"/>
      <c r="G236" s="1131"/>
      <c r="H236" s="1131"/>
    </row>
    <row r="237" spans="1:8" s="56" customFormat="1" x14ac:dyDescent="0.3">
      <c r="A237" s="89" t="s">
        <v>203</v>
      </c>
      <c r="B237" s="1071" t="s">
        <v>941</v>
      </c>
      <c r="C237" s="1071"/>
      <c r="D237" s="113"/>
      <c r="E237" s="113"/>
      <c r="F237" s="113"/>
      <c r="G237" s="431"/>
      <c r="H237" s="113"/>
    </row>
    <row r="238" spans="1:8" s="55" customFormat="1" x14ac:dyDescent="0.25">
      <c r="A238" s="89" t="s">
        <v>186</v>
      </c>
      <c r="B238" s="431" t="s">
        <v>942</v>
      </c>
      <c r="C238" s="431"/>
      <c r="D238" s="113"/>
      <c r="E238" s="113"/>
      <c r="F238" s="113"/>
      <c r="G238" s="431"/>
      <c r="H238" s="113"/>
    </row>
    <row r="239" spans="1:8" s="55" customFormat="1" x14ac:dyDescent="0.25">
      <c r="A239" s="89" t="s">
        <v>202</v>
      </c>
      <c r="B239" s="113" t="s">
        <v>965</v>
      </c>
      <c r="C239" s="256"/>
      <c r="D239" s="256"/>
      <c r="E239" s="256"/>
      <c r="F239" s="256"/>
      <c r="G239" s="256"/>
      <c r="H239" s="256"/>
    </row>
    <row r="240" spans="1:8" s="55" customFormat="1" x14ac:dyDescent="0.25">
      <c r="A240" s="89" t="s">
        <v>274</v>
      </c>
      <c r="B240" s="1130"/>
      <c r="C240" s="1130"/>
      <c r="D240" s="1130"/>
      <c r="E240" s="1130"/>
      <c r="F240" s="1130"/>
      <c r="G240" s="1130"/>
      <c r="H240" s="1130"/>
    </row>
    <row r="241" spans="1:8" s="55" customFormat="1" ht="13.5" thickBot="1" x14ac:dyDescent="0.35">
      <c r="A241" s="89" t="s">
        <v>184</v>
      </c>
      <c r="B241" s="432">
        <v>700</v>
      </c>
      <c r="C241" s="431"/>
      <c r="D241" s="113"/>
      <c r="E241" s="113"/>
      <c r="F241" s="113"/>
      <c r="G241" s="431"/>
      <c r="H241" s="113"/>
    </row>
    <row r="242" spans="1:8" s="55" customFormat="1" x14ac:dyDescent="0.3">
      <c r="A242" s="90"/>
      <c r="B242" s="427" t="s">
        <v>943</v>
      </c>
      <c r="C242" s="428" t="s">
        <v>944</v>
      </c>
      <c r="D242" s="429" t="s">
        <v>179</v>
      </c>
      <c r="E242" s="429" t="s">
        <v>177</v>
      </c>
      <c r="F242" s="429" t="s">
        <v>614</v>
      </c>
      <c r="G242" s="428" t="s">
        <v>217</v>
      </c>
      <c r="H242" s="430" t="s">
        <v>219</v>
      </c>
    </row>
    <row r="243" spans="1:8" s="55" customFormat="1" x14ac:dyDescent="0.25">
      <c r="A243" s="89"/>
      <c r="B243" s="435">
        <v>1500</v>
      </c>
      <c r="C243" s="410">
        <v>1500</v>
      </c>
      <c r="D243" s="136"/>
      <c r="E243" s="136"/>
      <c r="F243" s="135">
        <v>0</v>
      </c>
      <c r="G243" s="410">
        <v>3</v>
      </c>
      <c r="H243" s="436"/>
    </row>
    <row r="244" spans="1:8" s="55" customFormat="1" x14ac:dyDescent="0.25">
      <c r="A244" s="89"/>
      <c r="B244" s="435">
        <v>2500</v>
      </c>
      <c r="C244" s="410">
        <v>2500</v>
      </c>
      <c r="D244" s="136"/>
      <c r="E244" s="136"/>
      <c r="F244" s="135">
        <v>0</v>
      </c>
      <c r="G244" s="410">
        <v>5</v>
      </c>
      <c r="H244" s="436"/>
    </row>
    <row r="245" spans="1:8" s="55" customFormat="1" x14ac:dyDescent="0.25">
      <c r="A245" s="89"/>
      <c r="B245" s="435">
        <v>5000</v>
      </c>
      <c r="C245" s="410">
        <v>5000</v>
      </c>
      <c r="D245" s="136"/>
      <c r="E245" s="136"/>
      <c r="F245" s="135">
        <v>0</v>
      </c>
      <c r="G245" s="410">
        <v>9</v>
      </c>
      <c r="H245" s="436"/>
    </row>
    <row r="246" spans="1:8" s="55" customFormat="1" x14ac:dyDescent="0.25">
      <c r="A246" s="89"/>
      <c r="B246" s="435">
        <v>10000</v>
      </c>
      <c r="C246" s="410">
        <v>5000</v>
      </c>
      <c r="D246" s="136"/>
      <c r="E246" s="136"/>
      <c r="F246" s="135">
        <v>0</v>
      </c>
      <c r="G246" s="410">
        <v>17</v>
      </c>
      <c r="H246" s="436"/>
    </row>
    <row r="247" spans="1:8" s="55" customFormat="1" x14ac:dyDescent="0.25">
      <c r="A247" s="89"/>
      <c r="B247" s="435">
        <v>15000</v>
      </c>
      <c r="C247" s="410">
        <v>5000</v>
      </c>
      <c r="D247" s="136"/>
      <c r="E247" s="136"/>
      <c r="F247" s="135">
        <v>0</v>
      </c>
      <c r="G247" s="410">
        <v>26</v>
      </c>
      <c r="H247" s="436"/>
    </row>
    <row r="248" spans="1:8" s="55" customFormat="1" x14ac:dyDescent="0.25">
      <c r="A248" s="89"/>
      <c r="B248" s="435">
        <v>20000</v>
      </c>
      <c r="C248" s="410">
        <v>5000</v>
      </c>
      <c r="D248" s="136"/>
      <c r="E248" s="136"/>
      <c r="F248" s="135">
        <v>0</v>
      </c>
      <c r="G248" s="410">
        <v>34</v>
      </c>
      <c r="H248" s="436"/>
    </row>
    <row r="249" spans="1:8" s="55" customFormat="1" x14ac:dyDescent="0.25">
      <c r="A249" s="89"/>
      <c r="B249" s="435">
        <v>30000</v>
      </c>
      <c r="C249" s="410">
        <v>5000</v>
      </c>
      <c r="D249" s="136"/>
      <c r="E249" s="136"/>
      <c r="F249" s="135">
        <v>0</v>
      </c>
      <c r="G249" s="410">
        <v>50</v>
      </c>
      <c r="H249" s="436"/>
    </row>
    <row r="250" spans="1:8" s="55" customFormat="1" x14ac:dyDescent="0.25">
      <c r="A250" s="89"/>
      <c r="B250" s="435">
        <v>40000</v>
      </c>
      <c r="C250" s="410">
        <v>5000</v>
      </c>
      <c r="D250" s="136"/>
      <c r="E250" s="136"/>
      <c r="F250" s="135">
        <v>0</v>
      </c>
      <c r="G250" s="410">
        <v>65</v>
      </c>
      <c r="H250" s="436"/>
    </row>
    <row r="251" spans="1:8" s="55" customFormat="1" x14ac:dyDescent="0.25">
      <c r="A251" s="89"/>
      <c r="B251" s="435">
        <v>50000</v>
      </c>
      <c r="C251" s="410">
        <v>5000</v>
      </c>
      <c r="D251" s="136"/>
      <c r="E251" s="136"/>
      <c r="F251" s="135">
        <v>0</v>
      </c>
      <c r="G251" s="410">
        <v>81</v>
      </c>
      <c r="H251" s="436"/>
    </row>
    <row r="252" spans="1:8" s="55" customFormat="1" x14ac:dyDescent="0.25">
      <c r="A252" s="89"/>
      <c r="B252" s="435">
        <v>75000</v>
      </c>
      <c r="C252" s="410">
        <v>5000</v>
      </c>
      <c r="D252" s="136"/>
      <c r="E252" s="136"/>
      <c r="F252" s="135">
        <v>0</v>
      </c>
      <c r="G252" s="410">
        <v>122</v>
      </c>
      <c r="H252" s="436"/>
    </row>
    <row r="253" spans="1:8" s="55" customFormat="1" x14ac:dyDescent="0.25">
      <c r="A253" s="89"/>
      <c r="B253" s="435">
        <v>100000</v>
      </c>
      <c r="C253" s="410">
        <v>5000</v>
      </c>
      <c r="D253" s="136"/>
      <c r="E253" s="136"/>
      <c r="F253" s="135">
        <v>0</v>
      </c>
      <c r="G253" s="410">
        <v>162</v>
      </c>
      <c r="H253" s="436"/>
    </row>
    <row r="254" spans="1:8" s="55" customFormat="1" x14ac:dyDescent="0.25">
      <c r="A254" s="89"/>
      <c r="B254" s="435">
        <v>125000</v>
      </c>
      <c r="C254" s="410">
        <v>5000</v>
      </c>
      <c r="D254" s="136"/>
      <c r="E254" s="136"/>
      <c r="F254" s="135">
        <v>0</v>
      </c>
      <c r="G254" s="410">
        <v>203</v>
      </c>
      <c r="H254" s="436"/>
    </row>
    <row r="255" spans="1:8" s="55" customFormat="1" x14ac:dyDescent="0.25">
      <c r="A255" s="89"/>
      <c r="B255" s="435">
        <v>150000</v>
      </c>
      <c r="C255" s="410">
        <v>5000</v>
      </c>
      <c r="D255" s="136"/>
      <c r="E255" s="136"/>
      <c r="F255" s="135">
        <v>0</v>
      </c>
      <c r="G255" s="410">
        <v>243</v>
      </c>
      <c r="H255" s="436"/>
    </row>
    <row r="256" spans="1:8" s="55" customFormat="1" x14ac:dyDescent="0.25">
      <c r="A256" s="89"/>
      <c r="B256" s="435">
        <v>175000</v>
      </c>
      <c r="C256" s="410">
        <v>5000</v>
      </c>
      <c r="D256" s="136"/>
      <c r="E256" s="136"/>
      <c r="F256" s="135">
        <v>0</v>
      </c>
      <c r="G256" s="410">
        <v>284</v>
      </c>
      <c r="H256" s="436"/>
    </row>
    <row r="257" spans="1:8" s="55" customFormat="1" x14ac:dyDescent="0.25">
      <c r="A257" s="89"/>
      <c r="B257" s="435">
        <v>200000</v>
      </c>
      <c r="C257" s="410">
        <v>5000</v>
      </c>
      <c r="D257" s="136"/>
      <c r="E257" s="136"/>
      <c r="F257" s="135">
        <v>0</v>
      </c>
      <c r="G257" s="410">
        <v>324</v>
      </c>
      <c r="H257" s="436"/>
    </row>
    <row r="258" spans="1:8" s="55" customFormat="1" x14ac:dyDescent="0.25">
      <c r="A258" s="89"/>
      <c r="B258" s="435">
        <v>225000</v>
      </c>
      <c r="C258" s="410">
        <v>5000</v>
      </c>
      <c r="D258" s="136"/>
      <c r="E258" s="136"/>
      <c r="F258" s="135">
        <v>0</v>
      </c>
      <c r="G258" s="410">
        <v>365</v>
      </c>
      <c r="H258" s="436"/>
    </row>
    <row r="259" spans="1:8" s="55" customFormat="1" ht="13.5" thickBot="1" x14ac:dyDescent="0.3">
      <c r="A259" s="89"/>
      <c r="B259" s="437">
        <v>250000</v>
      </c>
      <c r="C259" s="438">
        <v>5000</v>
      </c>
      <c r="D259" s="315"/>
      <c r="E259" s="315"/>
      <c r="F259" s="248">
        <v>0</v>
      </c>
      <c r="G259" s="438">
        <v>406</v>
      </c>
      <c r="H259" s="439"/>
    </row>
    <row r="260" spans="1:8" s="55" customFormat="1" x14ac:dyDescent="0.25">
      <c r="A260" s="54"/>
      <c r="B260" s="25"/>
      <c r="C260" s="25"/>
      <c r="D260" s="77"/>
      <c r="E260" s="77"/>
      <c r="F260" s="67"/>
      <c r="G260" s="25"/>
      <c r="H260" s="67"/>
    </row>
    <row r="261" spans="1:8" s="55" customFormat="1" ht="15.5" x14ac:dyDescent="0.35">
      <c r="A261" s="89" t="s">
        <v>173</v>
      </c>
      <c r="B261" s="1132" t="s">
        <v>966</v>
      </c>
      <c r="C261" s="1132"/>
      <c r="D261" s="1132"/>
      <c r="E261" s="1132"/>
      <c r="F261" s="1132"/>
      <c r="G261" s="1132"/>
      <c r="H261" s="1132"/>
    </row>
    <row r="262" spans="1:8" s="55" customFormat="1" x14ac:dyDescent="0.25">
      <c r="A262" s="89" t="s">
        <v>938</v>
      </c>
      <c r="B262" s="86" t="s">
        <v>211</v>
      </c>
      <c r="C262" s="431"/>
      <c r="D262" s="113"/>
      <c r="E262" s="113"/>
      <c r="F262" s="113"/>
      <c r="G262" s="431"/>
      <c r="H262" s="113"/>
    </row>
    <row r="263" spans="1:8" s="55" customFormat="1" x14ac:dyDescent="0.25">
      <c r="A263" s="89" t="s">
        <v>939</v>
      </c>
      <c r="B263" s="1131" t="s">
        <v>964</v>
      </c>
      <c r="C263" s="1131"/>
      <c r="D263" s="1131"/>
      <c r="E263" s="1131"/>
      <c r="F263" s="1131"/>
      <c r="G263" s="1131"/>
      <c r="H263" s="1131"/>
    </row>
    <row r="264" spans="1:8" s="56" customFormat="1" x14ac:dyDescent="0.3">
      <c r="A264" s="89" t="s">
        <v>203</v>
      </c>
      <c r="B264" s="1071" t="s">
        <v>941</v>
      </c>
      <c r="C264" s="1071"/>
      <c r="D264" s="113"/>
      <c r="E264" s="113"/>
      <c r="F264" s="113"/>
      <c r="G264" s="431"/>
      <c r="H264" s="113"/>
    </row>
    <row r="265" spans="1:8" s="55" customFormat="1" x14ac:dyDescent="0.25">
      <c r="A265" s="89" t="s">
        <v>186</v>
      </c>
      <c r="B265" s="431" t="s">
        <v>942</v>
      </c>
      <c r="C265" s="431"/>
      <c r="D265" s="113"/>
      <c r="E265" s="113"/>
      <c r="F265" s="113"/>
      <c r="G265" s="431"/>
      <c r="H265" s="113"/>
    </row>
    <row r="266" spans="1:8" s="55" customFormat="1" x14ac:dyDescent="0.25">
      <c r="A266" s="89" t="s">
        <v>202</v>
      </c>
      <c r="B266" s="113" t="s">
        <v>965</v>
      </c>
      <c r="C266" s="256"/>
      <c r="D266" s="256"/>
      <c r="E266" s="256"/>
      <c r="F266" s="256"/>
      <c r="G266" s="256"/>
      <c r="H266" s="256"/>
    </row>
    <row r="267" spans="1:8" s="55" customFormat="1" x14ac:dyDescent="0.25">
      <c r="A267" s="89" t="s">
        <v>274</v>
      </c>
      <c r="B267" s="1130"/>
      <c r="C267" s="1130"/>
      <c r="D267" s="1130"/>
      <c r="E267" s="1130"/>
      <c r="F267" s="1130"/>
      <c r="G267" s="1130"/>
      <c r="H267" s="1130"/>
    </row>
    <row r="268" spans="1:8" s="55" customFormat="1" ht="13.5" thickBot="1" x14ac:dyDescent="0.35">
      <c r="A268" s="89" t="s">
        <v>184</v>
      </c>
      <c r="B268" s="432">
        <v>750</v>
      </c>
      <c r="C268" s="431"/>
      <c r="D268" s="113"/>
      <c r="E268" s="113"/>
      <c r="F268" s="113"/>
      <c r="G268" s="431"/>
      <c r="H268" s="113"/>
    </row>
    <row r="269" spans="1:8" s="55" customFormat="1" x14ac:dyDescent="0.3">
      <c r="A269" s="90"/>
      <c r="B269" s="427" t="s">
        <v>943</v>
      </c>
      <c r="C269" s="428" t="s">
        <v>944</v>
      </c>
      <c r="D269" s="429" t="s">
        <v>179</v>
      </c>
      <c r="E269" s="429" t="s">
        <v>177</v>
      </c>
      <c r="F269" s="429" t="s">
        <v>614</v>
      </c>
      <c r="G269" s="428" t="s">
        <v>217</v>
      </c>
      <c r="H269" s="430" t="s">
        <v>219</v>
      </c>
    </row>
    <row r="270" spans="1:8" s="55" customFormat="1" x14ac:dyDescent="0.25">
      <c r="A270" s="89"/>
      <c r="B270" s="435">
        <v>1500</v>
      </c>
      <c r="C270" s="410">
        <v>1500</v>
      </c>
      <c r="D270" s="136"/>
      <c r="E270" s="136"/>
      <c r="F270" s="135">
        <v>0</v>
      </c>
      <c r="G270" s="410">
        <v>3</v>
      </c>
      <c r="H270" s="436"/>
    </row>
    <row r="271" spans="1:8" s="55" customFormat="1" x14ac:dyDescent="0.25">
      <c r="A271" s="89"/>
      <c r="B271" s="435">
        <v>2500</v>
      </c>
      <c r="C271" s="410">
        <v>2500</v>
      </c>
      <c r="D271" s="136"/>
      <c r="E271" s="136"/>
      <c r="F271" s="135">
        <v>0</v>
      </c>
      <c r="G271" s="410">
        <v>5</v>
      </c>
      <c r="H271" s="436"/>
    </row>
    <row r="272" spans="1:8" s="55" customFormat="1" x14ac:dyDescent="0.25">
      <c r="A272" s="89"/>
      <c r="B272" s="435">
        <v>5000</v>
      </c>
      <c r="C272" s="410">
        <v>5000</v>
      </c>
      <c r="D272" s="136"/>
      <c r="E272" s="136"/>
      <c r="F272" s="135">
        <v>0</v>
      </c>
      <c r="G272" s="410">
        <v>9</v>
      </c>
      <c r="H272" s="436"/>
    </row>
    <row r="273" spans="1:8" s="55" customFormat="1" x14ac:dyDescent="0.25">
      <c r="A273" s="89"/>
      <c r="B273" s="435">
        <v>10000</v>
      </c>
      <c r="C273" s="410">
        <v>5000</v>
      </c>
      <c r="D273" s="136"/>
      <c r="E273" s="136"/>
      <c r="F273" s="135">
        <v>0</v>
      </c>
      <c r="G273" s="410">
        <v>17</v>
      </c>
      <c r="H273" s="436"/>
    </row>
    <row r="274" spans="1:8" s="55" customFormat="1" x14ac:dyDescent="0.25">
      <c r="A274" s="89"/>
      <c r="B274" s="435">
        <v>15000</v>
      </c>
      <c r="C274" s="410">
        <v>5000</v>
      </c>
      <c r="D274" s="136"/>
      <c r="E274" s="136"/>
      <c r="F274" s="135">
        <v>0</v>
      </c>
      <c r="G274" s="410">
        <v>26</v>
      </c>
      <c r="H274" s="436"/>
    </row>
    <row r="275" spans="1:8" s="55" customFormat="1" x14ac:dyDescent="0.25">
      <c r="A275" s="89"/>
      <c r="B275" s="435">
        <v>20000</v>
      </c>
      <c r="C275" s="410">
        <v>5000</v>
      </c>
      <c r="D275" s="136"/>
      <c r="E275" s="136"/>
      <c r="F275" s="135">
        <v>0</v>
      </c>
      <c r="G275" s="410">
        <v>34</v>
      </c>
      <c r="H275" s="436"/>
    </row>
    <row r="276" spans="1:8" s="55" customFormat="1" x14ac:dyDescent="0.25">
      <c r="A276" s="89"/>
      <c r="B276" s="435">
        <v>30000</v>
      </c>
      <c r="C276" s="410">
        <v>5000</v>
      </c>
      <c r="D276" s="136"/>
      <c r="E276" s="136"/>
      <c r="F276" s="135">
        <v>0</v>
      </c>
      <c r="G276" s="410">
        <v>50</v>
      </c>
      <c r="H276" s="436"/>
    </row>
    <row r="277" spans="1:8" s="55" customFormat="1" x14ac:dyDescent="0.25">
      <c r="A277" s="89"/>
      <c r="B277" s="435">
        <v>40000</v>
      </c>
      <c r="C277" s="410">
        <v>5000</v>
      </c>
      <c r="D277" s="136"/>
      <c r="E277" s="136"/>
      <c r="F277" s="135">
        <v>0</v>
      </c>
      <c r="G277" s="410">
        <v>65</v>
      </c>
      <c r="H277" s="436"/>
    </row>
    <row r="278" spans="1:8" s="55" customFormat="1" x14ac:dyDescent="0.25">
      <c r="A278" s="89"/>
      <c r="B278" s="435">
        <v>50000</v>
      </c>
      <c r="C278" s="410">
        <v>5000</v>
      </c>
      <c r="D278" s="136"/>
      <c r="E278" s="136"/>
      <c r="F278" s="135">
        <v>0</v>
      </c>
      <c r="G278" s="410">
        <v>81</v>
      </c>
      <c r="H278" s="436"/>
    </row>
    <row r="279" spans="1:8" s="55" customFormat="1" x14ac:dyDescent="0.25">
      <c r="A279" s="89"/>
      <c r="B279" s="435">
        <v>75000</v>
      </c>
      <c r="C279" s="410">
        <v>5000</v>
      </c>
      <c r="D279" s="136"/>
      <c r="E279" s="136"/>
      <c r="F279" s="135">
        <v>0</v>
      </c>
      <c r="G279" s="410">
        <v>122</v>
      </c>
      <c r="H279" s="436"/>
    </row>
    <row r="280" spans="1:8" s="55" customFormat="1" x14ac:dyDescent="0.25">
      <c r="A280" s="89"/>
      <c r="B280" s="435">
        <v>100000</v>
      </c>
      <c r="C280" s="410">
        <v>5000</v>
      </c>
      <c r="D280" s="136"/>
      <c r="E280" s="136"/>
      <c r="F280" s="135">
        <v>0</v>
      </c>
      <c r="G280" s="410">
        <v>162</v>
      </c>
      <c r="H280" s="436"/>
    </row>
    <row r="281" spans="1:8" s="55" customFormat="1" x14ac:dyDescent="0.25">
      <c r="A281" s="89"/>
      <c r="B281" s="435">
        <v>125000</v>
      </c>
      <c r="C281" s="410">
        <v>5000</v>
      </c>
      <c r="D281" s="136"/>
      <c r="E281" s="136"/>
      <c r="F281" s="135">
        <v>0</v>
      </c>
      <c r="G281" s="410">
        <v>203</v>
      </c>
      <c r="H281" s="436"/>
    </row>
    <row r="282" spans="1:8" s="55" customFormat="1" x14ac:dyDescent="0.25">
      <c r="A282" s="89"/>
      <c r="B282" s="435">
        <v>150000</v>
      </c>
      <c r="C282" s="410">
        <v>5000</v>
      </c>
      <c r="D282" s="136"/>
      <c r="E282" s="136"/>
      <c r="F282" s="135">
        <v>0</v>
      </c>
      <c r="G282" s="410">
        <v>243</v>
      </c>
      <c r="H282" s="436"/>
    </row>
    <row r="283" spans="1:8" s="55" customFormat="1" x14ac:dyDescent="0.25">
      <c r="A283" s="89"/>
      <c r="B283" s="435">
        <v>175000</v>
      </c>
      <c r="C283" s="410">
        <v>5000</v>
      </c>
      <c r="D283" s="136"/>
      <c r="E283" s="136"/>
      <c r="F283" s="135">
        <v>0</v>
      </c>
      <c r="G283" s="410">
        <v>284</v>
      </c>
      <c r="H283" s="436"/>
    </row>
    <row r="284" spans="1:8" s="55" customFormat="1" x14ac:dyDescent="0.25">
      <c r="A284" s="89"/>
      <c r="B284" s="435">
        <v>200000</v>
      </c>
      <c r="C284" s="410">
        <v>5000</v>
      </c>
      <c r="D284" s="136"/>
      <c r="E284" s="136"/>
      <c r="F284" s="135">
        <v>0</v>
      </c>
      <c r="G284" s="410">
        <v>324</v>
      </c>
      <c r="H284" s="436"/>
    </row>
    <row r="285" spans="1:8" s="55" customFormat="1" x14ac:dyDescent="0.25">
      <c r="A285" s="89"/>
      <c r="B285" s="435">
        <v>225000</v>
      </c>
      <c r="C285" s="410">
        <v>5000</v>
      </c>
      <c r="D285" s="136"/>
      <c r="E285" s="136"/>
      <c r="F285" s="135">
        <v>0</v>
      </c>
      <c r="G285" s="410">
        <v>365</v>
      </c>
      <c r="H285" s="436"/>
    </row>
    <row r="286" spans="1:8" s="55" customFormat="1" ht="13.5" thickBot="1" x14ac:dyDescent="0.3">
      <c r="A286" s="89"/>
      <c r="B286" s="437">
        <v>250000</v>
      </c>
      <c r="C286" s="438">
        <v>5000</v>
      </c>
      <c r="D286" s="315"/>
      <c r="E286" s="315"/>
      <c r="F286" s="248">
        <v>0</v>
      </c>
      <c r="G286" s="438">
        <v>406</v>
      </c>
      <c r="H286" s="439"/>
    </row>
    <row r="287" spans="1:8" s="55" customFormat="1" x14ac:dyDescent="0.25">
      <c r="A287" s="89"/>
      <c r="B287" s="87"/>
      <c r="C287" s="87"/>
      <c r="D287" s="88"/>
      <c r="E287" s="88"/>
      <c r="F287" s="81"/>
      <c r="G287" s="87"/>
      <c r="H287" s="81"/>
    </row>
    <row r="288" spans="1:8" s="55" customFormat="1" ht="15.5" x14ac:dyDescent="0.35">
      <c r="A288" s="89" t="s">
        <v>173</v>
      </c>
      <c r="B288" s="1132" t="s">
        <v>967</v>
      </c>
      <c r="C288" s="1132"/>
      <c r="D288" s="1132"/>
      <c r="E288" s="1132"/>
      <c r="F288" s="1132"/>
      <c r="G288" s="1132"/>
      <c r="H288" s="1132"/>
    </row>
    <row r="289" spans="1:8" s="55" customFormat="1" x14ac:dyDescent="0.25">
      <c r="A289" s="89" t="s">
        <v>938</v>
      </c>
      <c r="B289" s="86" t="s">
        <v>211</v>
      </c>
      <c r="C289" s="431"/>
      <c r="D289" s="113"/>
      <c r="E289" s="113"/>
      <c r="F289" s="113"/>
      <c r="G289" s="431"/>
      <c r="H289" s="113"/>
    </row>
    <row r="290" spans="1:8" s="55" customFormat="1" x14ac:dyDescent="0.25">
      <c r="A290" s="89" t="s">
        <v>939</v>
      </c>
      <c r="B290" s="1131" t="s">
        <v>964</v>
      </c>
      <c r="C290" s="1131"/>
      <c r="D290" s="1131"/>
      <c r="E290" s="1131"/>
      <c r="F290" s="1131"/>
      <c r="G290" s="1131"/>
      <c r="H290" s="1131"/>
    </row>
    <row r="291" spans="1:8" s="56" customFormat="1" x14ac:dyDescent="0.3">
      <c r="A291" s="89" t="s">
        <v>203</v>
      </c>
      <c r="B291" s="1071" t="s">
        <v>941</v>
      </c>
      <c r="C291" s="1071"/>
      <c r="D291" s="113"/>
      <c r="E291" s="113"/>
      <c r="F291" s="113"/>
      <c r="G291" s="431"/>
      <c r="H291" s="113"/>
    </row>
    <row r="292" spans="1:8" s="55" customFormat="1" x14ac:dyDescent="0.25">
      <c r="A292" s="89" t="s">
        <v>186</v>
      </c>
      <c r="B292" s="431" t="s">
        <v>942</v>
      </c>
      <c r="C292" s="431"/>
      <c r="D292" s="113"/>
      <c r="E292" s="113"/>
      <c r="F292" s="113"/>
      <c r="G292" s="431"/>
      <c r="H292" s="113"/>
    </row>
    <row r="293" spans="1:8" s="55" customFormat="1" x14ac:dyDescent="0.25">
      <c r="A293" s="89" t="s">
        <v>202</v>
      </c>
      <c r="B293" s="113" t="s">
        <v>965</v>
      </c>
      <c r="C293" s="256"/>
      <c r="D293" s="256"/>
      <c r="E293" s="256"/>
      <c r="F293" s="256"/>
      <c r="G293" s="256"/>
      <c r="H293" s="256"/>
    </row>
    <row r="294" spans="1:8" s="55" customFormat="1" x14ac:dyDescent="0.25">
      <c r="A294" s="89" t="s">
        <v>274</v>
      </c>
      <c r="B294" s="1130"/>
      <c r="C294" s="1130"/>
      <c r="D294" s="1130"/>
      <c r="E294" s="1130"/>
      <c r="F294" s="1130"/>
      <c r="G294" s="1130"/>
      <c r="H294" s="1130"/>
    </row>
    <row r="295" spans="1:8" s="55" customFormat="1" ht="13.5" thickBot="1" x14ac:dyDescent="0.35">
      <c r="A295" s="89" t="s">
        <v>184</v>
      </c>
      <c r="B295" s="432">
        <v>800</v>
      </c>
      <c r="C295" s="431"/>
      <c r="D295" s="113"/>
      <c r="E295" s="113"/>
      <c r="F295" s="113"/>
      <c r="G295" s="431"/>
      <c r="H295" s="113"/>
    </row>
    <row r="296" spans="1:8" s="55" customFormat="1" x14ac:dyDescent="0.3">
      <c r="A296" s="90"/>
      <c r="B296" s="427" t="s">
        <v>943</v>
      </c>
      <c r="C296" s="428" t="s">
        <v>944</v>
      </c>
      <c r="D296" s="429" t="s">
        <v>179</v>
      </c>
      <c r="E296" s="429" t="s">
        <v>177</v>
      </c>
      <c r="F296" s="429" t="s">
        <v>614</v>
      </c>
      <c r="G296" s="428" t="s">
        <v>217</v>
      </c>
      <c r="H296" s="430" t="s">
        <v>219</v>
      </c>
    </row>
    <row r="297" spans="1:8" s="55" customFormat="1" x14ac:dyDescent="0.25">
      <c r="A297" s="89"/>
      <c r="B297" s="435">
        <v>1500</v>
      </c>
      <c r="C297" s="410">
        <v>1500</v>
      </c>
      <c r="D297" s="136"/>
      <c r="E297" s="136"/>
      <c r="F297" s="135">
        <v>0</v>
      </c>
      <c r="G297" s="410">
        <v>10</v>
      </c>
      <c r="H297" s="436"/>
    </row>
    <row r="298" spans="1:8" s="55" customFormat="1" x14ac:dyDescent="0.25">
      <c r="A298" s="89"/>
      <c r="B298" s="435">
        <v>2500</v>
      </c>
      <c r="C298" s="410">
        <v>2500</v>
      </c>
      <c r="D298" s="136"/>
      <c r="E298" s="136"/>
      <c r="F298" s="135">
        <v>0</v>
      </c>
      <c r="G298" s="410">
        <v>16</v>
      </c>
      <c r="H298" s="436"/>
    </row>
    <row r="299" spans="1:8" s="55" customFormat="1" x14ac:dyDescent="0.25">
      <c r="A299" s="89"/>
      <c r="B299" s="435">
        <v>5000</v>
      </c>
      <c r="C299" s="410">
        <v>5000</v>
      </c>
      <c r="D299" s="136"/>
      <c r="E299" s="136"/>
      <c r="F299" s="135">
        <v>0</v>
      </c>
      <c r="G299" s="410">
        <v>30</v>
      </c>
      <c r="H299" s="436"/>
    </row>
    <row r="300" spans="1:8" s="55" customFormat="1" x14ac:dyDescent="0.25">
      <c r="A300" s="89"/>
      <c r="B300" s="435">
        <v>10000</v>
      </c>
      <c r="C300" s="410">
        <v>5000</v>
      </c>
      <c r="D300" s="136"/>
      <c r="E300" s="136"/>
      <c r="F300" s="135">
        <v>0</v>
      </c>
      <c r="G300" s="410">
        <v>58</v>
      </c>
      <c r="H300" s="436"/>
    </row>
    <row r="301" spans="1:8" s="55" customFormat="1" x14ac:dyDescent="0.25">
      <c r="A301" s="89"/>
      <c r="B301" s="435">
        <v>15000</v>
      </c>
      <c r="C301" s="410">
        <v>5000</v>
      </c>
      <c r="D301" s="136"/>
      <c r="E301" s="136"/>
      <c r="F301" s="135">
        <v>0</v>
      </c>
      <c r="G301" s="410">
        <v>85</v>
      </c>
      <c r="H301" s="436"/>
    </row>
    <row r="302" spans="1:8" s="55" customFormat="1" x14ac:dyDescent="0.25">
      <c r="A302" s="89"/>
      <c r="B302" s="435">
        <v>20000</v>
      </c>
      <c r="C302" s="410">
        <v>5000</v>
      </c>
      <c r="D302" s="136"/>
      <c r="E302" s="136"/>
      <c r="F302" s="135">
        <v>0</v>
      </c>
      <c r="G302" s="410">
        <v>113</v>
      </c>
      <c r="H302" s="436"/>
    </row>
    <row r="303" spans="1:8" s="55" customFormat="1" x14ac:dyDescent="0.25">
      <c r="A303" s="89"/>
      <c r="B303" s="435">
        <v>30000</v>
      </c>
      <c r="C303" s="410">
        <v>5000</v>
      </c>
      <c r="D303" s="136"/>
      <c r="E303" s="136"/>
      <c r="F303" s="135">
        <v>0</v>
      </c>
      <c r="G303" s="410">
        <v>167</v>
      </c>
      <c r="H303" s="436"/>
    </row>
    <row r="304" spans="1:8" s="55" customFormat="1" x14ac:dyDescent="0.25">
      <c r="A304" s="89"/>
      <c r="B304" s="435">
        <v>40000</v>
      </c>
      <c r="C304" s="410">
        <v>5000</v>
      </c>
      <c r="D304" s="136"/>
      <c r="E304" s="136"/>
      <c r="F304" s="135">
        <v>0</v>
      </c>
      <c r="G304" s="410">
        <v>221</v>
      </c>
      <c r="H304" s="436"/>
    </row>
    <row r="305" spans="1:20" s="55" customFormat="1" x14ac:dyDescent="0.25">
      <c r="A305" s="89"/>
      <c r="B305" s="435">
        <v>50000</v>
      </c>
      <c r="C305" s="410">
        <v>5000</v>
      </c>
      <c r="D305" s="136"/>
      <c r="E305" s="136"/>
      <c r="F305" s="135">
        <v>0</v>
      </c>
      <c r="G305" s="410">
        <v>272</v>
      </c>
      <c r="H305" s="436"/>
    </row>
    <row r="306" spans="1:20" s="55" customFormat="1" x14ac:dyDescent="0.25">
      <c r="A306" s="89"/>
      <c r="B306" s="435">
        <v>75000</v>
      </c>
      <c r="C306" s="410">
        <v>7500</v>
      </c>
      <c r="D306" s="136"/>
      <c r="E306" s="136"/>
      <c r="F306" s="135">
        <v>0</v>
      </c>
      <c r="G306" s="410">
        <v>409</v>
      </c>
      <c r="H306" s="436"/>
    </row>
    <row r="307" spans="1:20" s="55" customFormat="1" x14ac:dyDescent="0.25">
      <c r="A307" s="89"/>
      <c r="B307" s="435">
        <v>100000</v>
      </c>
      <c r="C307" s="410">
        <v>10000</v>
      </c>
      <c r="D307" s="136"/>
      <c r="E307" s="136"/>
      <c r="F307" s="135">
        <v>0</v>
      </c>
      <c r="G307" s="410">
        <v>544</v>
      </c>
      <c r="H307" s="436"/>
    </row>
    <row r="308" spans="1:20" s="55" customFormat="1" x14ac:dyDescent="0.25">
      <c r="A308" s="89"/>
      <c r="B308" s="435">
        <v>125000</v>
      </c>
      <c r="C308" s="410">
        <v>12500</v>
      </c>
      <c r="D308" s="136"/>
      <c r="E308" s="136"/>
      <c r="F308" s="135">
        <v>0</v>
      </c>
      <c r="G308" s="410">
        <v>681</v>
      </c>
      <c r="H308" s="436"/>
    </row>
    <row r="309" spans="1:20" x14ac:dyDescent="0.25">
      <c r="A309" s="89"/>
      <c r="B309" s="435">
        <v>150000</v>
      </c>
      <c r="C309" s="410">
        <v>15000</v>
      </c>
      <c r="D309" s="136"/>
      <c r="E309" s="136"/>
      <c r="F309" s="135">
        <v>0</v>
      </c>
      <c r="G309" s="410">
        <v>816</v>
      </c>
      <c r="H309" s="436"/>
    </row>
    <row r="310" spans="1:20" x14ac:dyDescent="0.25">
      <c r="A310" s="89"/>
      <c r="B310" s="435">
        <v>175000</v>
      </c>
      <c r="C310" s="410">
        <v>17500</v>
      </c>
      <c r="D310" s="136"/>
      <c r="E310" s="136"/>
      <c r="F310" s="135">
        <v>0</v>
      </c>
      <c r="G310" s="410">
        <v>953</v>
      </c>
      <c r="H310" s="436"/>
      <c r="Q310" s="22"/>
      <c r="R310" s="22"/>
    </row>
    <row r="311" spans="1:20" x14ac:dyDescent="0.25">
      <c r="A311" s="89"/>
      <c r="B311" s="435">
        <v>200000</v>
      </c>
      <c r="C311" s="410">
        <v>20000</v>
      </c>
      <c r="D311" s="136"/>
      <c r="E311" s="136"/>
      <c r="F311" s="135">
        <v>0</v>
      </c>
      <c r="G311" s="410">
        <v>1093</v>
      </c>
      <c r="H311" s="436"/>
      <c r="Q311" s="22"/>
      <c r="R311" s="22"/>
    </row>
    <row r="312" spans="1:20" s="14" customFormat="1" x14ac:dyDescent="0.3">
      <c r="A312" s="89"/>
      <c r="B312" s="435">
        <v>225000</v>
      </c>
      <c r="C312" s="410">
        <v>22500</v>
      </c>
      <c r="D312" s="136"/>
      <c r="E312" s="136"/>
      <c r="F312" s="135">
        <v>0</v>
      </c>
      <c r="G312" s="410">
        <v>1229</v>
      </c>
      <c r="H312" s="436"/>
      <c r="I312" s="9"/>
      <c r="J312" s="9"/>
      <c r="K312" s="9"/>
      <c r="L312" s="9"/>
      <c r="M312" s="9"/>
      <c r="N312" s="9"/>
      <c r="O312" s="9"/>
      <c r="P312" s="9"/>
      <c r="Q312" s="959"/>
      <c r="R312" s="959"/>
      <c r="S312" s="9"/>
      <c r="T312" s="9"/>
    </row>
    <row r="313" spans="1:20" s="26" customFormat="1" ht="13.5" thickBot="1" x14ac:dyDescent="0.3">
      <c r="A313" s="89"/>
      <c r="B313" s="437">
        <v>250000</v>
      </c>
      <c r="C313" s="438">
        <v>25000</v>
      </c>
      <c r="D313" s="315"/>
      <c r="E313" s="315"/>
      <c r="F313" s="248">
        <v>0</v>
      </c>
      <c r="G313" s="438">
        <v>1367</v>
      </c>
      <c r="H313" s="439"/>
      <c r="I313" s="77"/>
      <c r="J313" s="77"/>
      <c r="K313" s="77"/>
      <c r="L313" s="77"/>
      <c r="M313" s="77"/>
      <c r="N313" s="77"/>
      <c r="O313" s="77"/>
      <c r="P313" s="77"/>
      <c r="Q313" s="960"/>
      <c r="R313" s="960"/>
      <c r="S313" s="77"/>
      <c r="T313" s="77"/>
    </row>
    <row r="314" spans="1:20" x14ac:dyDescent="0.25">
      <c r="A314" s="89"/>
      <c r="B314" s="87"/>
      <c r="C314" s="87"/>
      <c r="D314" s="88"/>
      <c r="E314" s="88"/>
      <c r="F314" s="81"/>
      <c r="G314" s="87"/>
      <c r="H314" s="81"/>
      <c r="Q314" s="22"/>
      <c r="R314" s="22"/>
    </row>
    <row r="315" spans="1:20" ht="15.5" x14ac:dyDescent="0.35">
      <c r="A315" s="89" t="s">
        <v>173</v>
      </c>
      <c r="B315" s="1132" t="s">
        <v>968</v>
      </c>
      <c r="C315" s="1132"/>
      <c r="D315" s="1132"/>
      <c r="E315" s="1132"/>
      <c r="F315" s="1132"/>
      <c r="G315" s="1132"/>
      <c r="H315" s="1132"/>
      <c r="I315" s="961"/>
      <c r="J315" s="70"/>
      <c r="K315" s="70"/>
      <c r="L315" s="70"/>
      <c r="M315" s="36"/>
      <c r="N315" s="36"/>
      <c r="O315" s="70"/>
      <c r="P315" s="70"/>
      <c r="Q315" s="70"/>
      <c r="R315" s="962"/>
      <c r="S315" s="962"/>
      <c r="T315" s="70"/>
    </row>
    <row r="316" spans="1:20" x14ac:dyDescent="0.25">
      <c r="A316" s="89" t="s">
        <v>938</v>
      </c>
      <c r="B316" s="86" t="s">
        <v>211</v>
      </c>
      <c r="C316" s="431"/>
      <c r="D316" s="113"/>
      <c r="E316" s="113"/>
      <c r="F316" s="113"/>
      <c r="G316" s="431"/>
      <c r="H316" s="113"/>
      <c r="I316" s="20"/>
      <c r="J316" s="20"/>
      <c r="K316" s="20"/>
      <c r="L316" s="20"/>
      <c r="M316" s="20"/>
      <c r="N316" s="20"/>
      <c r="O316" s="20"/>
      <c r="P316" s="20"/>
      <c r="Q316" s="27"/>
      <c r="R316" s="23"/>
      <c r="S316" s="23"/>
      <c r="T316" s="20"/>
    </row>
    <row r="317" spans="1:20" x14ac:dyDescent="0.25">
      <c r="A317" s="89" t="s">
        <v>939</v>
      </c>
      <c r="B317" s="1131" t="s">
        <v>964</v>
      </c>
      <c r="C317" s="1131"/>
      <c r="D317" s="1131"/>
      <c r="E317" s="1131"/>
      <c r="F317" s="1131"/>
      <c r="G317" s="1131"/>
      <c r="H317" s="1131"/>
      <c r="I317" s="20"/>
      <c r="J317" s="20"/>
      <c r="K317" s="20"/>
      <c r="L317" s="20"/>
      <c r="M317" s="20"/>
      <c r="N317" s="20"/>
      <c r="O317" s="20"/>
      <c r="P317" s="20"/>
      <c r="Q317" s="27"/>
      <c r="R317" s="23"/>
      <c r="S317" s="23"/>
      <c r="T317" s="20"/>
    </row>
    <row r="318" spans="1:20" x14ac:dyDescent="0.25">
      <c r="A318" s="89" t="s">
        <v>203</v>
      </c>
      <c r="B318" s="1071" t="s">
        <v>941</v>
      </c>
      <c r="C318" s="1071"/>
      <c r="D318" s="113"/>
      <c r="E318" s="113"/>
      <c r="F318" s="113"/>
      <c r="G318" s="431"/>
      <c r="H318" s="113"/>
      <c r="I318" s="20"/>
      <c r="J318" s="20"/>
      <c r="K318" s="20"/>
      <c r="L318" s="20"/>
      <c r="M318" s="20"/>
      <c r="N318" s="20"/>
      <c r="O318" s="20"/>
      <c r="P318" s="20"/>
      <c r="Q318" s="27"/>
      <c r="R318" s="23"/>
      <c r="S318" s="23"/>
      <c r="T318" s="20"/>
    </row>
    <row r="319" spans="1:20" x14ac:dyDescent="0.25">
      <c r="A319" s="89" t="s">
        <v>186</v>
      </c>
      <c r="B319" s="431" t="s">
        <v>942</v>
      </c>
      <c r="C319" s="431"/>
      <c r="D319" s="113"/>
      <c r="E319" s="113"/>
      <c r="F319" s="113"/>
      <c r="G319" s="431"/>
      <c r="H319" s="113"/>
      <c r="I319" s="20"/>
      <c r="J319" s="20"/>
      <c r="K319" s="20"/>
      <c r="L319" s="20"/>
      <c r="M319" s="20"/>
      <c r="N319" s="20"/>
      <c r="O319" s="20"/>
      <c r="P319" s="20"/>
      <c r="Q319" s="27"/>
      <c r="R319" s="23"/>
      <c r="S319" s="23"/>
      <c r="T319" s="20"/>
    </row>
    <row r="320" spans="1:20" x14ac:dyDescent="0.25">
      <c r="A320" s="89" t="s">
        <v>202</v>
      </c>
      <c r="B320" s="113" t="s">
        <v>965</v>
      </c>
      <c r="C320" s="256"/>
      <c r="D320" s="256"/>
      <c r="E320" s="256"/>
      <c r="F320" s="256"/>
      <c r="G320" s="256"/>
      <c r="H320" s="256"/>
      <c r="I320" s="20"/>
      <c r="J320" s="20"/>
      <c r="K320" s="20"/>
      <c r="L320" s="20"/>
      <c r="M320" s="20"/>
      <c r="N320" s="20"/>
      <c r="O320" s="20"/>
      <c r="P320" s="20"/>
      <c r="Q320" s="27"/>
      <c r="R320" s="23"/>
      <c r="S320" s="23"/>
      <c r="T320" s="20"/>
    </row>
    <row r="321" spans="1:20" x14ac:dyDescent="0.25">
      <c r="A321" s="89" t="s">
        <v>274</v>
      </c>
      <c r="B321" s="1130"/>
      <c r="C321" s="1130"/>
      <c r="D321" s="1130"/>
      <c r="E321" s="1130"/>
      <c r="F321" s="1130"/>
      <c r="G321" s="1130"/>
      <c r="H321" s="1130"/>
      <c r="I321" s="20"/>
      <c r="J321" s="20"/>
      <c r="K321" s="20"/>
      <c r="L321" s="20"/>
      <c r="M321" s="20"/>
      <c r="N321" s="20"/>
      <c r="O321" s="20"/>
      <c r="P321" s="20"/>
      <c r="Q321" s="27"/>
      <c r="R321" s="23"/>
      <c r="S321" s="23"/>
      <c r="T321" s="20"/>
    </row>
    <row r="322" spans="1:20" ht="13.5" thickBot="1" x14ac:dyDescent="0.35">
      <c r="A322" s="89" t="s">
        <v>184</v>
      </c>
      <c r="B322" s="432">
        <v>900</v>
      </c>
      <c r="C322" s="431"/>
      <c r="D322" s="113"/>
      <c r="E322" s="113"/>
      <c r="F322" s="113"/>
      <c r="G322" s="431"/>
      <c r="H322" s="113"/>
      <c r="I322" s="76"/>
      <c r="J322" s="77"/>
      <c r="K322" s="77"/>
      <c r="L322" s="76"/>
      <c r="M322" s="77"/>
      <c r="N322" s="77"/>
      <c r="O322" s="77"/>
      <c r="P322" s="77"/>
      <c r="Q322" s="57"/>
      <c r="R322" s="58"/>
      <c r="S322" s="58"/>
      <c r="T322" s="77"/>
    </row>
    <row r="323" spans="1:20" x14ac:dyDescent="0.3">
      <c r="A323" s="90"/>
      <c r="B323" s="427" t="s">
        <v>943</v>
      </c>
      <c r="C323" s="428" t="s">
        <v>944</v>
      </c>
      <c r="D323" s="429" t="s">
        <v>179</v>
      </c>
      <c r="E323" s="429" t="s">
        <v>177</v>
      </c>
      <c r="F323" s="429" t="s">
        <v>614</v>
      </c>
      <c r="G323" s="428" t="s">
        <v>217</v>
      </c>
      <c r="H323" s="430" t="s">
        <v>219</v>
      </c>
      <c r="I323" s="76"/>
      <c r="J323" s="77"/>
      <c r="K323" s="77"/>
      <c r="L323" s="76"/>
      <c r="M323" s="77"/>
      <c r="N323" s="77"/>
      <c r="O323" s="77"/>
      <c r="P323" s="77"/>
      <c r="Q323" s="57"/>
      <c r="R323" s="58"/>
      <c r="S323" s="58"/>
      <c r="T323" s="77"/>
    </row>
    <row r="324" spans="1:20" x14ac:dyDescent="0.25">
      <c r="A324" s="89"/>
      <c r="B324" s="435">
        <v>1500</v>
      </c>
      <c r="C324" s="410">
        <v>1500</v>
      </c>
      <c r="D324" s="136"/>
      <c r="E324" s="136"/>
      <c r="F324" s="135">
        <v>0</v>
      </c>
      <c r="G324" s="410">
        <v>8</v>
      </c>
      <c r="H324" s="436"/>
      <c r="I324" s="76"/>
      <c r="J324" s="77"/>
      <c r="K324" s="77"/>
      <c r="L324" s="76"/>
      <c r="M324" s="77"/>
      <c r="N324" s="77"/>
      <c r="O324" s="77"/>
      <c r="P324" s="77"/>
      <c r="Q324" s="57"/>
      <c r="R324" s="58"/>
      <c r="S324" s="58"/>
      <c r="T324" s="77"/>
    </row>
    <row r="325" spans="1:20" x14ac:dyDescent="0.25">
      <c r="A325" s="89"/>
      <c r="B325" s="435">
        <v>2500</v>
      </c>
      <c r="C325" s="410">
        <v>2500</v>
      </c>
      <c r="D325" s="136"/>
      <c r="E325" s="136"/>
      <c r="F325" s="135">
        <v>0</v>
      </c>
      <c r="G325" s="410">
        <v>12</v>
      </c>
      <c r="H325" s="436"/>
      <c r="I325" s="76"/>
      <c r="J325" s="77"/>
      <c r="K325" s="77"/>
      <c r="L325" s="76"/>
      <c r="M325" s="77"/>
      <c r="N325" s="77"/>
      <c r="O325" s="77"/>
      <c r="P325" s="77"/>
      <c r="Q325" s="57"/>
      <c r="R325" s="58"/>
      <c r="S325" s="58"/>
      <c r="T325" s="77"/>
    </row>
    <row r="326" spans="1:20" x14ac:dyDescent="0.25">
      <c r="A326" s="89"/>
      <c r="B326" s="435">
        <v>5000</v>
      </c>
      <c r="C326" s="410">
        <v>5000</v>
      </c>
      <c r="D326" s="136"/>
      <c r="E326" s="136"/>
      <c r="F326" s="135">
        <v>0</v>
      </c>
      <c r="G326" s="410">
        <v>24</v>
      </c>
      <c r="H326" s="436"/>
    </row>
    <row r="327" spans="1:20" x14ac:dyDescent="0.25">
      <c r="A327" s="89"/>
      <c r="B327" s="435">
        <v>10000</v>
      </c>
      <c r="C327" s="410">
        <v>5000</v>
      </c>
      <c r="D327" s="136"/>
      <c r="E327" s="136"/>
      <c r="F327" s="135">
        <v>0</v>
      </c>
      <c r="G327" s="410">
        <v>46</v>
      </c>
      <c r="H327" s="436"/>
    </row>
    <row r="328" spans="1:20" x14ac:dyDescent="0.25">
      <c r="A328" s="89"/>
      <c r="B328" s="435">
        <v>15000</v>
      </c>
      <c r="C328" s="410">
        <v>5000</v>
      </c>
      <c r="D328" s="136"/>
      <c r="E328" s="136"/>
      <c r="F328" s="135">
        <v>0</v>
      </c>
      <c r="G328" s="410">
        <v>67</v>
      </c>
      <c r="H328" s="436"/>
    </row>
    <row r="329" spans="1:20" x14ac:dyDescent="0.25">
      <c r="A329" s="89"/>
      <c r="B329" s="435">
        <v>20000</v>
      </c>
      <c r="C329" s="410">
        <v>5000</v>
      </c>
      <c r="D329" s="136"/>
      <c r="E329" s="136"/>
      <c r="F329" s="135">
        <v>0</v>
      </c>
      <c r="G329" s="410">
        <v>89</v>
      </c>
      <c r="H329" s="436"/>
    </row>
    <row r="330" spans="1:20" x14ac:dyDescent="0.25">
      <c r="A330" s="89"/>
      <c r="B330" s="435">
        <v>30000</v>
      </c>
      <c r="C330" s="410">
        <v>5000</v>
      </c>
      <c r="D330" s="136"/>
      <c r="E330" s="136"/>
      <c r="F330" s="135">
        <v>0</v>
      </c>
      <c r="G330" s="410">
        <v>131</v>
      </c>
      <c r="H330" s="436"/>
    </row>
    <row r="331" spans="1:20" x14ac:dyDescent="0.25">
      <c r="A331" s="89"/>
      <c r="B331" s="435">
        <v>40000</v>
      </c>
      <c r="C331" s="410">
        <v>5000</v>
      </c>
      <c r="D331" s="136"/>
      <c r="E331" s="136"/>
      <c r="F331" s="135">
        <v>0</v>
      </c>
      <c r="G331" s="410">
        <v>174</v>
      </c>
      <c r="H331" s="436"/>
    </row>
    <row r="332" spans="1:20" x14ac:dyDescent="0.25">
      <c r="A332" s="89"/>
      <c r="B332" s="435">
        <v>50000</v>
      </c>
      <c r="C332" s="410">
        <v>5000</v>
      </c>
      <c r="D332" s="136"/>
      <c r="E332" s="136"/>
      <c r="F332" s="135">
        <v>0</v>
      </c>
      <c r="G332" s="410">
        <v>213</v>
      </c>
      <c r="H332" s="436"/>
    </row>
    <row r="333" spans="1:20" x14ac:dyDescent="0.25">
      <c r="A333" s="89"/>
      <c r="B333" s="435">
        <v>75000</v>
      </c>
      <c r="C333" s="410">
        <v>7500</v>
      </c>
      <c r="D333" s="136"/>
      <c r="E333" s="136"/>
      <c r="F333" s="135">
        <v>0</v>
      </c>
      <c r="G333" s="410">
        <v>321</v>
      </c>
      <c r="H333" s="436"/>
    </row>
    <row r="334" spans="1:20" x14ac:dyDescent="0.25">
      <c r="A334" s="89"/>
      <c r="B334" s="435">
        <v>100000</v>
      </c>
      <c r="C334" s="410">
        <v>10000</v>
      </c>
      <c r="D334" s="136"/>
      <c r="E334" s="136"/>
      <c r="F334" s="135">
        <v>0</v>
      </c>
      <c r="G334" s="410">
        <v>428</v>
      </c>
      <c r="H334" s="436"/>
    </row>
    <row r="335" spans="1:20" x14ac:dyDescent="0.25">
      <c r="A335" s="89"/>
      <c r="B335" s="435">
        <v>125000</v>
      </c>
      <c r="C335" s="410">
        <v>12500</v>
      </c>
      <c r="D335" s="136"/>
      <c r="E335" s="136"/>
      <c r="F335" s="135">
        <v>0</v>
      </c>
      <c r="G335" s="410">
        <v>535</v>
      </c>
      <c r="H335" s="436"/>
    </row>
    <row r="336" spans="1:20" x14ac:dyDescent="0.25">
      <c r="A336" s="89"/>
      <c r="B336" s="435">
        <v>150000</v>
      </c>
      <c r="C336" s="410">
        <v>15000</v>
      </c>
      <c r="D336" s="136"/>
      <c r="E336" s="136"/>
      <c r="F336" s="135">
        <v>0</v>
      </c>
      <c r="G336" s="410">
        <v>641</v>
      </c>
      <c r="H336" s="436"/>
      <c r="I336" s="94"/>
      <c r="J336" s="94"/>
      <c r="K336" s="94"/>
      <c r="L336" s="94"/>
      <c r="M336" s="94"/>
      <c r="N336" s="94"/>
      <c r="O336" s="94"/>
      <c r="P336" s="94"/>
      <c r="Q336" s="94"/>
      <c r="R336" s="94"/>
      <c r="S336" s="94"/>
      <c r="T336" s="94"/>
    </row>
    <row r="337" spans="1:20" x14ac:dyDescent="0.25">
      <c r="A337" s="89"/>
      <c r="B337" s="435">
        <v>175000</v>
      </c>
      <c r="C337" s="410">
        <v>17500</v>
      </c>
      <c r="D337" s="136"/>
      <c r="E337" s="136"/>
      <c r="F337" s="135">
        <v>0</v>
      </c>
      <c r="G337" s="410">
        <v>749</v>
      </c>
      <c r="H337" s="436"/>
      <c r="I337" s="94"/>
      <c r="J337" s="94"/>
      <c r="K337" s="94"/>
      <c r="L337" s="94"/>
      <c r="M337" s="94"/>
      <c r="N337" s="94"/>
      <c r="O337" s="94"/>
      <c r="P337" s="94"/>
      <c r="Q337" s="94"/>
      <c r="R337" s="94"/>
      <c r="S337" s="94"/>
      <c r="T337" s="94"/>
    </row>
    <row r="338" spans="1:20" x14ac:dyDescent="0.25">
      <c r="A338" s="89"/>
      <c r="B338" s="435">
        <v>200000</v>
      </c>
      <c r="C338" s="410">
        <v>20000</v>
      </c>
      <c r="D338" s="136"/>
      <c r="E338" s="136"/>
      <c r="F338" s="135">
        <v>0</v>
      </c>
      <c r="G338" s="410">
        <v>859</v>
      </c>
      <c r="H338" s="436"/>
      <c r="I338" s="94"/>
      <c r="J338" s="94"/>
      <c r="K338" s="94"/>
      <c r="L338" s="94"/>
      <c r="M338" s="94"/>
      <c r="N338" s="94"/>
      <c r="O338" s="94"/>
      <c r="P338" s="94"/>
      <c r="Q338" s="94"/>
      <c r="R338" s="94"/>
      <c r="S338" s="94"/>
      <c r="T338" s="94"/>
    </row>
    <row r="339" spans="1:20" x14ac:dyDescent="0.25">
      <c r="A339" s="89"/>
      <c r="B339" s="435">
        <v>225000</v>
      </c>
      <c r="C339" s="410">
        <v>22500</v>
      </c>
      <c r="D339" s="136"/>
      <c r="E339" s="136"/>
      <c r="F339" s="135">
        <v>0</v>
      </c>
      <c r="G339" s="410">
        <v>966</v>
      </c>
      <c r="H339" s="436"/>
      <c r="I339" s="94"/>
      <c r="J339" s="94"/>
      <c r="K339" s="94"/>
      <c r="L339" s="94"/>
      <c r="M339" s="94"/>
      <c r="N339" s="94"/>
      <c r="O339" s="94"/>
      <c r="P339" s="94"/>
      <c r="Q339" s="94"/>
      <c r="R339" s="94"/>
      <c r="S339" s="94"/>
      <c r="T339" s="94"/>
    </row>
    <row r="340" spans="1:20" ht="13.5" thickBot="1" x14ac:dyDescent="0.3">
      <c r="A340" s="89"/>
      <c r="B340" s="437">
        <v>250000</v>
      </c>
      <c r="C340" s="438">
        <v>25000</v>
      </c>
      <c r="D340" s="315"/>
      <c r="E340" s="315"/>
      <c r="F340" s="248">
        <v>0</v>
      </c>
      <c r="G340" s="438">
        <v>1074</v>
      </c>
      <c r="H340" s="439"/>
      <c r="I340" s="94"/>
      <c r="J340" s="94"/>
      <c r="K340" s="94"/>
      <c r="L340" s="94"/>
      <c r="M340" s="94"/>
      <c r="N340" s="94"/>
      <c r="O340" s="94"/>
      <c r="P340" s="94"/>
      <c r="Q340" s="94"/>
      <c r="R340" s="94"/>
      <c r="S340" s="94"/>
      <c r="T340" s="94"/>
    </row>
    <row r="341" spans="1:20" x14ac:dyDescent="0.25">
      <c r="A341" s="89"/>
      <c r="B341" s="87"/>
      <c r="C341" s="87"/>
      <c r="D341" s="88"/>
      <c r="E341" s="88"/>
      <c r="F341" s="81"/>
      <c r="G341" s="87"/>
      <c r="H341" s="81"/>
      <c r="I341" s="94"/>
      <c r="J341" s="94"/>
      <c r="K341" s="94"/>
      <c r="L341" s="94"/>
      <c r="M341" s="94"/>
      <c r="N341" s="94"/>
      <c r="O341" s="94"/>
      <c r="P341" s="94"/>
      <c r="Q341" s="94"/>
      <c r="R341" s="94"/>
      <c r="S341" s="94"/>
      <c r="T341" s="94"/>
    </row>
    <row r="342" spans="1:20" ht="15.5" x14ac:dyDescent="0.35">
      <c r="A342" s="89" t="s">
        <v>173</v>
      </c>
      <c r="B342" s="1128" t="s">
        <v>969</v>
      </c>
      <c r="C342" s="1128"/>
      <c r="D342" s="1128"/>
      <c r="E342" s="1128"/>
      <c r="F342" s="1128"/>
      <c r="G342" s="1128"/>
      <c r="H342" s="1128"/>
      <c r="I342" s="1128"/>
      <c r="J342" s="1128"/>
      <c r="K342" s="1128"/>
      <c r="L342" s="1128"/>
      <c r="M342" s="1128"/>
      <c r="N342" s="1128"/>
      <c r="O342" s="1128"/>
      <c r="P342" s="1128"/>
      <c r="Q342" s="1128"/>
      <c r="R342" s="1128"/>
      <c r="S342" s="1128"/>
      <c r="T342" s="1128"/>
    </row>
    <row r="343" spans="1:20" ht="13.5" thickBot="1" x14ac:dyDescent="0.3">
      <c r="A343" s="89" t="s">
        <v>184</v>
      </c>
      <c r="B343" s="113">
        <v>1000</v>
      </c>
      <c r="C343" s="81"/>
      <c r="D343" s="81"/>
      <c r="E343" s="81"/>
      <c r="F343" s="81"/>
      <c r="G343" s="81"/>
      <c r="H343" s="81"/>
      <c r="I343" s="81"/>
      <c r="J343" s="81"/>
      <c r="K343" s="81"/>
      <c r="L343" s="81"/>
      <c r="M343" s="81"/>
      <c r="N343" s="81"/>
      <c r="O343" s="81"/>
      <c r="P343" s="81"/>
      <c r="Q343" s="92"/>
      <c r="R343" s="92"/>
      <c r="S343" s="81"/>
      <c r="T343" s="81"/>
    </row>
    <row r="344" spans="1:20" x14ac:dyDescent="0.3">
      <c r="A344" s="89" t="s">
        <v>970</v>
      </c>
      <c r="B344" s="421" t="s">
        <v>202</v>
      </c>
      <c r="C344" s="422" t="s">
        <v>971</v>
      </c>
      <c r="D344" s="422" t="s">
        <v>972</v>
      </c>
      <c r="E344" s="422" t="s">
        <v>184</v>
      </c>
      <c r="F344" s="422" t="s">
        <v>973</v>
      </c>
      <c r="G344" s="422" t="s">
        <v>974</v>
      </c>
      <c r="H344" s="422" t="s">
        <v>975</v>
      </c>
      <c r="I344" s="306" t="s">
        <v>219</v>
      </c>
      <c r="J344" s="306" t="s">
        <v>976</v>
      </c>
      <c r="K344" s="250" t="s">
        <v>977</v>
      </c>
      <c r="L344" s="84"/>
      <c r="M344" s="84"/>
      <c r="N344" s="84"/>
      <c r="O344" s="84"/>
      <c r="P344" s="84"/>
      <c r="Q344" s="95"/>
      <c r="R344" s="95"/>
      <c r="S344" s="84"/>
      <c r="T344" s="84"/>
    </row>
    <row r="345" spans="1:20" thickBot="1" x14ac:dyDescent="0.3">
      <c r="A345" s="96"/>
      <c r="B345" s="419" t="s">
        <v>200</v>
      </c>
      <c r="C345" s="420" t="s">
        <v>303</v>
      </c>
      <c r="D345" s="420" t="s">
        <v>206</v>
      </c>
      <c r="E345" s="315">
        <v>1000</v>
      </c>
      <c r="F345" s="420">
        <v>1</v>
      </c>
      <c r="G345" s="230">
        <v>15</v>
      </c>
      <c r="H345" s="420" t="s">
        <v>978</v>
      </c>
      <c r="I345" s="315" t="s">
        <v>978</v>
      </c>
      <c r="J345" s="315" t="s">
        <v>978</v>
      </c>
      <c r="K345" s="316" t="s">
        <v>978</v>
      </c>
      <c r="L345" s="88"/>
      <c r="M345" s="88"/>
      <c r="N345" s="88"/>
      <c r="O345" s="88"/>
      <c r="P345" s="88"/>
      <c r="Q345" s="93"/>
      <c r="R345" s="93"/>
      <c r="S345" s="88"/>
      <c r="T345" s="88"/>
    </row>
    <row r="346" spans="1:20" x14ac:dyDescent="0.25">
      <c r="A346" s="89" t="s">
        <v>272</v>
      </c>
      <c r="B346" s="81" t="s">
        <v>979</v>
      </c>
      <c r="C346" s="85"/>
      <c r="D346" s="85"/>
      <c r="E346" s="85"/>
      <c r="F346" s="85"/>
      <c r="G346" s="85"/>
      <c r="H346" s="85"/>
      <c r="I346" s="81"/>
      <c r="J346" s="81"/>
      <c r="K346" s="81"/>
      <c r="L346" s="81"/>
      <c r="M346" s="81"/>
      <c r="N346" s="81"/>
      <c r="O346" s="81"/>
      <c r="P346" s="81"/>
      <c r="Q346" s="81"/>
      <c r="R346" s="81"/>
      <c r="S346" s="81"/>
      <c r="T346" s="81"/>
    </row>
    <row r="347" spans="1:20" ht="15.5" x14ac:dyDescent="0.35">
      <c r="A347" s="81"/>
      <c r="B347" s="97"/>
      <c r="C347" s="97"/>
      <c r="D347" s="97"/>
      <c r="E347" s="97"/>
      <c r="F347" s="97"/>
      <c r="G347" s="97"/>
      <c r="H347" s="97"/>
      <c r="I347" s="81"/>
      <c r="J347" s="81"/>
      <c r="K347" s="81"/>
      <c r="L347" s="81"/>
      <c r="M347" s="81"/>
      <c r="N347" s="81"/>
      <c r="O347" s="81"/>
      <c r="P347" s="81"/>
      <c r="Q347" s="92"/>
      <c r="R347" s="92"/>
      <c r="S347" s="81"/>
      <c r="T347" s="81"/>
    </row>
    <row r="348" spans="1:20" ht="39" x14ac:dyDescent="0.3">
      <c r="A348" s="415" t="s">
        <v>980</v>
      </c>
      <c r="B348" s="416" t="s">
        <v>981</v>
      </c>
      <c r="C348" s="417" t="s">
        <v>982</v>
      </c>
      <c r="D348" s="242" t="s">
        <v>983</v>
      </c>
      <c r="E348" s="242" t="s">
        <v>983</v>
      </c>
      <c r="F348" s="242" t="s">
        <v>984</v>
      </c>
      <c r="G348" s="242" t="s">
        <v>985</v>
      </c>
      <c r="H348" s="242" t="s">
        <v>986</v>
      </c>
      <c r="I348" s="417" t="s">
        <v>987</v>
      </c>
      <c r="J348" s="242" t="s">
        <v>988</v>
      </c>
      <c r="K348" s="242" t="s">
        <v>989</v>
      </c>
      <c r="L348" s="242" t="s">
        <v>990</v>
      </c>
      <c r="M348" s="342" t="s">
        <v>991</v>
      </c>
      <c r="N348" s="342" t="s">
        <v>992</v>
      </c>
      <c r="O348" s="242" t="s">
        <v>993</v>
      </c>
      <c r="P348" s="242" t="s">
        <v>994</v>
      </c>
      <c r="Q348" s="242" t="s">
        <v>995</v>
      </c>
      <c r="R348" s="418" t="s">
        <v>996</v>
      </c>
      <c r="S348" s="418" t="s">
        <v>958</v>
      </c>
      <c r="T348" s="242" t="s">
        <v>997</v>
      </c>
    </row>
    <row r="349" spans="1:20" ht="12.5" x14ac:dyDescent="0.25">
      <c r="A349" s="135"/>
      <c r="B349" s="1125" t="s">
        <v>998</v>
      </c>
      <c r="C349" s="1126"/>
      <c r="D349" s="1126"/>
      <c r="E349" s="1127"/>
      <c r="F349" s="136">
        <v>9999999</v>
      </c>
      <c r="G349" s="136">
        <v>9999999</v>
      </c>
      <c r="H349" s="411" t="s">
        <v>978</v>
      </c>
      <c r="I349" s="136">
        <v>1</v>
      </c>
      <c r="J349" s="136" t="s">
        <v>978</v>
      </c>
      <c r="K349" s="136" t="s">
        <v>978</v>
      </c>
      <c r="L349" s="136" t="s">
        <v>978</v>
      </c>
      <c r="M349" s="136" t="s">
        <v>978</v>
      </c>
      <c r="N349" s="136">
        <v>0</v>
      </c>
      <c r="O349" s="136">
        <v>1</v>
      </c>
      <c r="P349" s="136">
        <v>1</v>
      </c>
      <c r="Q349" s="292">
        <v>999999999</v>
      </c>
      <c r="R349" s="412">
        <v>0.7</v>
      </c>
      <c r="S349" s="412">
        <v>0.7</v>
      </c>
      <c r="T349" s="136" t="s">
        <v>29</v>
      </c>
    </row>
    <row r="350" spans="1:20" ht="12.5" x14ac:dyDescent="0.25">
      <c r="A350" s="135"/>
      <c r="B350" s="1125" t="s">
        <v>999</v>
      </c>
      <c r="C350" s="1126"/>
      <c r="D350" s="1126"/>
      <c r="E350" s="1127"/>
      <c r="F350" s="136">
        <v>9999999</v>
      </c>
      <c r="G350" s="136">
        <v>9999999</v>
      </c>
      <c r="H350" s="411" t="s">
        <v>978</v>
      </c>
      <c r="I350" s="136">
        <v>2</v>
      </c>
      <c r="J350" s="136" t="s">
        <v>978</v>
      </c>
      <c r="K350" s="136" t="s">
        <v>978</v>
      </c>
      <c r="L350" s="136" t="s">
        <v>29</v>
      </c>
      <c r="M350" s="136" t="s">
        <v>978</v>
      </c>
      <c r="N350" s="136">
        <v>0</v>
      </c>
      <c r="O350" s="136">
        <v>1</v>
      </c>
      <c r="P350" s="136">
        <v>1</v>
      </c>
      <c r="Q350" s="292">
        <v>999999999</v>
      </c>
      <c r="R350" s="412">
        <v>0.55000000000000004</v>
      </c>
      <c r="S350" s="412">
        <v>0.55000000000000004</v>
      </c>
      <c r="T350" s="136" t="s">
        <v>29</v>
      </c>
    </row>
    <row r="351" spans="1:20" ht="12.5" x14ac:dyDescent="0.25">
      <c r="A351" s="135"/>
      <c r="B351" s="1125" t="s">
        <v>1000</v>
      </c>
      <c r="C351" s="1126"/>
      <c r="D351" s="1126"/>
      <c r="E351" s="1127"/>
      <c r="F351" s="136">
        <v>9999999</v>
      </c>
      <c r="G351" s="136">
        <v>9999999</v>
      </c>
      <c r="H351" s="411" t="s">
        <v>978</v>
      </c>
      <c r="I351" s="136">
        <v>3</v>
      </c>
      <c r="J351" s="136" t="s">
        <v>978</v>
      </c>
      <c r="K351" s="136" t="s">
        <v>978</v>
      </c>
      <c r="L351" s="136" t="s">
        <v>978</v>
      </c>
      <c r="M351" s="136" t="s">
        <v>978</v>
      </c>
      <c r="N351" s="136">
        <v>0</v>
      </c>
      <c r="O351" s="136">
        <v>1</v>
      </c>
      <c r="P351" s="136">
        <v>1</v>
      </c>
      <c r="Q351" s="292">
        <v>999999999</v>
      </c>
      <c r="R351" s="412">
        <v>1.05</v>
      </c>
      <c r="S351" s="412">
        <v>1.05</v>
      </c>
      <c r="T351" s="136" t="s">
        <v>29</v>
      </c>
    </row>
    <row r="352" spans="1:20" x14ac:dyDescent="0.25">
      <c r="A352" s="413"/>
      <c r="B352" s="1125" t="s">
        <v>1001</v>
      </c>
      <c r="C352" s="1126"/>
      <c r="D352" s="1126"/>
      <c r="E352" s="1127"/>
      <c r="F352" s="136">
        <v>9999999</v>
      </c>
      <c r="G352" s="136">
        <v>9999999</v>
      </c>
      <c r="H352" s="411" t="s">
        <v>978</v>
      </c>
      <c r="I352" s="136">
        <v>4</v>
      </c>
      <c r="J352" s="136" t="s">
        <v>978</v>
      </c>
      <c r="K352" s="136" t="s">
        <v>978</v>
      </c>
      <c r="L352" s="136" t="s">
        <v>978</v>
      </c>
      <c r="M352" s="136" t="s">
        <v>978</v>
      </c>
      <c r="N352" s="136">
        <v>0</v>
      </c>
      <c r="O352" s="136">
        <v>1</v>
      </c>
      <c r="P352" s="136">
        <v>1</v>
      </c>
      <c r="Q352" s="292">
        <v>999999999</v>
      </c>
      <c r="R352" s="412">
        <v>1.5</v>
      </c>
      <c r="S352" s="412">
        <v>1.5</v>
      </c>
      <c r="T352" s="136" t="s">
        <v>29</v>
      </c>
    </row>
    <row r="353" spans="1:20" ht="12.5" x14ac:dyDescent="0.25">
      <c r="A353" s="135"/>
      <c r="B353" s="1125" t="s">
        <v>1002</v>
      </c>
      <c r="C353" s="1126"/>
      <c r="D353" s="1126"/>
      <c r="E353" s="1127"/>
      <c r="F353" s="136">
        <v>9999999</v>
      </c>
      <c r="G353" s="136">
        <v>9999999</v>
      </c>
      <c r="H353" s="136" t="s">
        <v>978</v>
      </c>
      <c r="I353" s="136">
        <v>5</v>
      </c>
      <c r="J353" s="136" t="s">
        <v>978</v>
      </c>
      <c r="K353" s="136" t="s">
        <v>978</v>
      </c>
      <c r="L353" s="136" t="s">
        <v>978</v>
      </c>
      <c r="M353" s="136" t="s">
        <v>978</v>
      </c>
      <c r="N353" s="136">
        <v>0</v>
      </c>
      <c r="O353" s="136">
        <v>1</v>
      </c>
      <c r="P353" s="136">
        <v>1</v>
      </c>
      <c r="Q353" s="292">
        <v>999999999</v>
      </c>
      <c r="R353" s="412">
        <v>0.75</v>
      </c>
      <c r="S353" s="412">
        <v>0.75</v>
      </c>
      <c r="T353" s="136" t="s">
        <v>29</v>
      </c>
    </row>
    <row r="354" spans="1:20" ht="12.5" x14ac:dyDescent="0.25">
      <c r="A354" s="135"/>
      <c r="B354" s="1125" t="s">
        <v>1003</v>
      </c>
      <c r="C354" s="1126"/>
      <c r="D354" s="1126"/>
      <c r="E354" s="1127"/>
      <c r="F354" s="136">
        <v>9999999</v>
      </c>
      <c r="G354" s="136">
        <v>9999999</v>
      </c>
      <c r="H354" s="136" t="s">
        <v>978</v>
      </c>
      <c r="I354" s="136">
        <v>6</v>
      </c>
      <c r="J354" s="136" t="s">
        <v>978</v>
      </c>
      <c r="K354" s="136" t="s">
        <v>978</v>
      </c>
      <c r="L354" s="136" t="s">
        <v>29</v>
      </c>
      <c r="M354" s="136" t="s">
        <v>978</v>
      </c>
      <c r="N354" s="136">
        <v>0</v>
      </c>
      <c r="O354" s="136">
        <v>1</v>
      </c>
      <c r="P354" s="136">
        <v>1</v>
      </c>
      <c r="Q354" s="292">
        <v>999999999</v>
      </c>
      <c r="R354" s="412">
        <v>0.6</v>
      </c>
      <c r="S354" s="412">
        <v>0.6</v>
      </c>
      <c r="T354" s="136" t="s">
        <v>29</v>
      </c>
    </row>
    <row r="355" spans="1:20" x14ac:dyDescent="0.25">
      <c r="A355" s="413" t="s">
        <v>1004</v>
      </c>
      <c r="B355" s="1125" t="s">
        <v>1005</v>
      </c>
      <c r="C355" s="1126"/>
      <c r="D355" s="1126"/>
      <c r="E355" s="1127"/>
      <c r="F355" s="136">
        <v>9999999</v>
      </c>
      <c r="G355" s="136">
        <v>9999999</v>
      </c>
      <c r="H355" s="136" t="s">
        <v>978</v>
      </c>
      <c r="I355" s="138">
        <v>7</v>
      </c>
      <c r="J355" s="136" t="s">
        <v>978</v>
      </c>
      <c r="K355" s="136" t="s">
        <v>978</v>
      </c>
      <c r="L355" s="138" t="s">
        <v>978</v>
      </c>
      <c r="M355" s="136" t="s">
        <v>978</v>
      </c>
      <c r="N355" s="136">
        <v>0</v>
      </c>
      <c r="O355" s="136">
        <v>1</v>
      </c>
      <c r="P355" s="136">
        <v>1</v>
      </c>
      <c r="Q355" s="292">
        <v>999999999</v>
      </c>
      <c r="R355" s="414">
        <v>0.32</v>
      </c>
      <c r="S355" s="414">
        <v>0.32</v>
      </c>
      <c r="T355" s="136" t="s">
        <v>29</v>
      </c>
    </row>
    <row r="356" spans="1:20" x14ac:dyDescent="0.25">
      <c r="A356" s="413" t="s">
        <v>1004</v>
      </c>
      <c r="B356" s="1125" t="s">
        <v>1006</v>
      </c>
      <c r="C356" s="1126"/>
      <c r="D356" s="1126"/>
      <c r="E356" s="1127"/>
      <c r="F356" s="136">
        <v>9999999</v>
      </c>
      <c r="G356" s="136">
        <v>9999999</v>
      </c>
      <c r="H356" s="136" t="s">
        <v>978</v>
      </c>
      <c r="I356" s="138">
        <v>8</v>
      </c>
      <c r="J356" s="136" t="s">
        <v>978</v>
      </c>
      <c r="K356" s="136" t="s">
        <v>978</v>
      </c>
      <c r="L356" s="138" t="s">
        <v>29</v>
      </c>
      <c r="M356" s="136" t="s">
        <v>978</v>
      </c>
      <c r="N356" s="136">
        <v>0</v>
      </c>
      <c r="O356" s="136">
        <v>1</v>
      </c>
      <c r="P356" s="136">
        <v>1</v>
      </c>
      <c r="Q356" s="292">
        <v>999999999</v>
      </c>
      <c r="R356" s="414">
        <v>0.17</v>
      </c>
      <c r="S356" s="414">
        <v>0.17</v>
      </c>
      <c r="T356" s="136" t="s">
        <v>29</v>
      </c>
    </row>
    <row r="357" spans="1:20" x14ac:dyDescent="0.25">
      <c r="A357" s="413" t="s">
        <v>1004</v>
      </c>
      <c r="B357" s="1125" t="s">
        <v>1007</v>
      </c>
      <c r="C357" s="1126"/>
      <c r="D357" s="1126"/>
      <c r="E357" s="1127"/>
      <c r="F357" s="136">
        <v>9999999</v>
      </c>
      <c r="G357" s="136">
        <v>9999999</v>
      </c>
      <c r="H357" s="136" t="s">
        <v>978</v>
      </c>
      <c r="I357" s="138">
        <v>9</v>
      </c>
      <c r="J357" s="136" t="s">
        <v>978</v>
      </c>
      <c r="K357" s="136" t="s">
        <v>978</v>
      </c>
      <c r="L357" s="138" t="s">
        <v>978</v>
      </c>
      <c r="M357" s="136" t="s">
        <v>978</v>
      </c>
      <c r="N357" s="136">
        <v>0</v>
      </c>
      <c r="O357" s="136">
        <v>1</v>
      </c>
      <c r="P357" s="136">
        <v>1</v>
      </c>
      <c r="Q357" s="292">
        <v>999999999</v>
      </c>
      <c r="R357" s="414">
        <v>0.56000000000000005</v>
      </c>
      <c r="S357" s="414">
        <v>0.56000000000000005</v>
      </c>
      <c r="T357" s="136" t="s">
        <v>29</v>
      </c>
    </row>
    <row r="358" spans="1:20" x14ac:dyDescent="0.25">
      <c r="A358" s="413" t="s">
        <v>1004</v>
      </c>
      <c r="B358" s="1125" t="s">
        <v>1008</v>
      </c>
      <c r="C358" s="1126"/>
      <c r="D358" s="1126"/>
      <c r="E358" s="1127"/>
      <c r="F358" s="136">
        <v>9999999</v>
      </c>
      <c r="G358" s="136">
        <v>9999999</v>
      </c>
      <c r="H358" s="136" t="s">
        <v>978</v>
      </c>
      <c r="I358" s="138">
        <v>10</v>
      </c>
      <c r="J358" s="136" t="s">
        <v>978</v>
      </c>
      <c r="K358" s="136" t="s">
        <v>978</v>
      </c>
      <c r="L358" s="138" t="s">
        <v>29</v>
      </c>
      <c r="M358" s="136" t="s">
        <v>978</v>
      </c>
      <c r="N358" s="136">
        <v>0</v>
      </c>
      <c r="O358" s="136">
        <v>1</v>
      </c>
      <c r="P358" s="136">
        <v>1</v>
      </c>
      <c r="Q358" s="292">
        <v>999999999</v>
      </c>
      <c r="R358" s="414">
        <v>0.44</v>
      </c>
      <c r="S358" s="414">
        <v>0.44</v>
      </c>
      <c r="T358" s="136" t="s">
        <v>29</v>
      </c>
    </row>
    <row r="359" spans="1:20" x14ac:dyDescent="0.25">
      <c r="A359" s="413" t="s">
        <v>1004</v>
      </c>
      <c r="B359" s="1125" t="s">
        <v>1009</v>
      </c>
      <c r="C359" s="1126"/>
      <c r="D359" s="1126"/>
      <c r="E359" s="1127"/>
      <c r="F359" s="136">
        <v>9999999</v>
      </c>
      <c r="G359" s="136">
        <v>9999999</v>
      </c>
      <c r="H359" s="136" t="s">
        <v>978</v>
      </c>
      <c r="I359" s="138">
        <v>11</v>
      </c>
      <c r="J359" s="136" t="s">
        <v>978</v>
      </c>
      <c r="K359" s="136" t="s">
        <v>978</v>
      </c>
      <c r="L359" s="138" t="s">
        <v>978</v>
      </c>
      <c r="M359" s="136" t="s">
        <v>978</v>
      </c>
      <c r="N359" s="136">
        <v>0</v>
      </c>
      <c r="O359" s="136">
        <v>1</v>
      </c>
      <c r="P359" s="136">
        <v>1</v>
      </c>
      <c r="Q359" s="292">
        <v>999999999</v>
      </c>
      <c r="R359" s="414">
        <v>0.32</v>
      </c>
      <c r="S359" s="414">
        <v>0.32</v>
      </c>
      <c r="T359" s="136" t="s">
        <v>29</v>
      </c>
    </row>
    <row r="360" spans="1:20" x14ac:dyDescent="0.25">
      <c r="A360" s="413" t="s">
        <v>1004</v>
      </c>
      <c r="B360" s="1125" t="s">
        <v>1010</v>
      </c>
      <c r="C360" s="1126"/>
      <c r="D360" s="1126"/>
      <c r="E360" s="1127"/>
      <c r="F360" s="136">
        <v>9999999</v>
      </c>
      <c r="G360" s="136">
        <v>9999999</v>
      </c>
      <c r="H360" s="136" t="s">
        <v>978</v>
      </c>
      <c r="I360" s="138">
        <v>12</v>
      </c>
      <c r="J360" s="136" t="s">
        <v>978</v>
      </c>
      <c r="K360" s="136" t="s">
        <v>978</v>
      </c>
      <c r="L360" s="138" t="s">
        <v>29</v>
      </c>
      <c r="M360" s="136" t="s">
        <v>978</v>
      </c>
      <c r="N360" s="136">
        <v>0</v>
      </c>
      <c r="O360" s="136">
        <v>1</v>
      </c>
      <c r="P360" s="136">
        <v>1</v>
      </c>
      <c r="Q360" s="292">
        <v>999999999</v>
      </c>
      <c r="R360" s="414">
        <v>0.17</v>
      </c>
      <c r="S360" s="414">
        <v>0.17</v>
      </c>
      <c r="T360" s="136" t="s">
        <v>29</v>
      </c>
    </row>
    <row r="361" spans="1:20" x14ac:dyDescent="0.25">
      <c r="A361" s="413" t="s">
        <v>1004</v>
      </c>
      <c r="B361" s="1125" t="s">
        <v>1011</v>
      </c>
      <c r="C361" s="1126"/>
      <c r="D361" s="1126"/>
      <c r="E361" s="1127"/>
      <c r="F361" s="136">
        <v>9999999</v>
      </c>
      <c r="G361" s="136">
        <v>9999999</v>
      </c>
      <c r="H361" s="136" t="s">
        <v>978</v>
      </c>
      <c r="I361" s="138">
        <v>13</v>
      </c>
      <c r="J361" s="136" t="s">
        <v>978</v>
      </c>
      <c r="K361" s="136" t="s">
        <v>978</v>
      </c>
      <c r="L361" s="138" t="s">
        <v>978</v>
      </c>
      <c r="M361" s="136" t="s">
        <v>978</v>
      </c>
      <c r="N361" s="136">
        <v>0</v>
      </c>
      <c r="O361" s="136">
        <v>1</v>
      </c>
      <c r="P361" s="136">
        <v>1</v>
      </c>
      <c r="Q361" s="292">
        <v>999999999</v>
      </c>
      <c r="R361" s="414">
        <v>0.75</v>
      </c>
      <c r="S361" s="414">
        <v>0.75</v>
      </c>
      <c r="T361" s="136" t="s">
        <v>29</v>
      </c>
    </row>
    <row r="362" spans="1:20" x14ac:dyDescent="0.25">
      <c r="A362" s="413" t="s">
        <v>1004</v>
      </c>
      <c r="B362" s="1125" t="s">
        <v>1012</v>
      </c>
      <c r="C362" s="1126"/>
      <c r="D362" s="1126"/>
      <c r="E362" s="1127"/>
      <c r="F362" s="136">
        <v>9999999</v>
      </c>
      <c r="G362" s="136">
        <v>9999999</v>
      </c>
      <c r="H362" s="136" t="s">
        <v>978</v>
      </c>
      <c r="I362" s="138">
        <v>14</v>
      </c>
      <c r="J362" s="136" t="s">
        <v>978</v>
      </c>
      <c r="K362" s="136" t="s">
        <v>978</v>
      </c>
      <c r="L362" s="138" t="s">
        <v>29</v>
      </c>
      <c r="M362" s="136" t="s">
        <v>978</v>
      </c>
      <c r="N362" s="136">
        <v>0</v>
      </c>
      <c r="O362" s="136">
        <v>1</v>
      </c>
      <c r="P362" s="136">
        <v>1</v>
      </c>
      <c r="Q362" s="292">
        <v>999999999</v>
      </c>
      <c r="R362" s="414">
        <v>0.6</v>
      </c>
      <c r="S362" s="414">
        <v>0.6</v>
      </c>
      <c r="T362" s="136" t="s">
        <v>29</v>
      </c>
    </row>
    <row r="363" spans="1:20" x14ac:dyDescent="0.25">
      <c r="A363" s="413" t="s">
        <v>1004</v>
      </c>
      <c r="B363" s="1125" t="s">
        <v>1013</v>
      </c>
      <c r="C363" s="1126"/>
      <c r="D363" s="1126"/>
      <c r="E363" s="1127"/>
      <c r="F363" s="136">
        <v>9999999</v>
      </c>
      <c r="G363" s="136">
        <v>9999999</v>
      </c>
      <c r="H363" s="136" t="s">
        <v>978</v>
      </c>
      <c r="I363" s="138">
        <v>15</v>
      </c>
      <c r="J363" s="136" t="s">
        <v>978</v>
      </c>
      <c r="K363" s="136" t="s">
        <v>978</v>
      </c>
      <c r="L363" s="136" t="s">
        <v>978</v>
      </c>
      <c r="M363" s="136" t="s">
        <v>978</v>
      </c>
      <c r="N363" s="136">
        <v>0</v>
      </c>
      <c r="O363" s="136">
        <v>1</v>
      </c>
      <c r="P363" s="136">
        <v>1</v>
      </c>
      <c r="Q363" s="292">
        <v>999999999</v>
      </c>
      <c r="R363" s="414">
        <v>1.05</v>
      </c>
      <c r="S363" s="414">
        <v>1.05</v>
      </c>
      <c r="T363" s="136" t="s">
        <v>29</v>
      </c>
    </row>
    <row r="364" spans="1:20" x14ac:dyDescent="0.25">
      <c r="A364" s="413" t="s">
        <v>1004</v>
      </c>
      <c r="B364" s="1125" t="s">
        <v>1014</v>
      </c>
      <c r="C364" s="1126"/>
      <c r="D364" s="1126"/>
      <c r="E364" s="1127"/>
      <c r="F364" s="136">
        <v>9999999</v>
      </c>
      <c r="G364" s="136">
        <v>9999999</v>
      </c>
      <c r="H364" s="136" t="s">
        <v>978</v>
      </c>
      <c r="I364" s="138">
        <v>16</v>
      </c>
      <c r="J364" s="136" t="s">
        <v>978</v>
      </c>
      <c r="K364" s="136" t="s">
        <v>978</v>
      </c>
      <c r="L364" s="136" t="s">
        <v>978</v>
      </c>
      <c r="M364" s="136" t="s">
        <v>978</v>
      </c>
      <c r="N364" s="136">
        <v>0</v>
      </c>
      <c r="O364" s="136">
        <v>1</v>
      </c>
      <c r="P364" s="136">
        <v>1</v>
      </c>
      <c r="Q364" s="292">
        <v>999999999</v>
      </c>
      <c r="R364" s="414">
        <v>1.5</v>
      </c>
      <c r="S364" s="414">
        <v>1.5</v>
      </c>
      <c r="T364" s="136" t="s">
        <v>29</v>
      </c>
    </row>
  </sheetData>
  <mergeCells count="72">
    <mergeCell ref="B264:C264"/>
    <mergeCell ref="B267:H267"/>
    <mergeCell ref="B209:H209"/>
    <mergeCell ref="B210:C210"/>
    <mergeCell ref="B213:H213"/>
    <mergeCell ref="B261:H261"/>
    <mergeCell ref="B263:H263"/>
    <mergeCell ref="B321:H321"/>
    <mergeCell ref="B288:H288"/>
    <mergeCell ref="B290:H290"/>
    <mergeCell ref="B291:C291"/>
    <mergeCell ref="B294:H294"/>
    <mergeCell ref="B315:H315"/>
    <mergeCell ref="B317:H317"/>
    <mergeCell ref="B318:C318"/>
    <mergeCell ref="B207:H207"/>
    <mergeCell ref="B77:H77"/>
    <mergeCell ref="B126:H126"/>
    <mergeCell ref="B128:H128"/>
    <mergeCell ref="B101:C101"/>
    <mergeCell ref="B105:H105"/>
    <mergeCell ref="B133:H133"/>
    <mergeCell ref="B183:C183"/>
    <mergeCell ref="B154:H154"/>
    <mergeCell ref="B73:C73"/>
    <mergeCell ref="B129:C129"/>
    <mergeCell ref="B1:H1"/>
    <mergeCell ref="B3:H3"/>
    <mergeCell ref="B70:H70"/>
    <mergeCell ref="B35:H35"/>
    <mergeCell ref="B29:H29"/>
    <mergeCell ref="B31:H31"/>
    <mergeCell ref="B4:C4"/>
    <mergeCell ref="B32:C32"/>
    <mergeCell ref="B59:C59"/>
    <mergeCell ref="B56:H56"/>
    <mergeCell ref="B58:H58"/>
    <mergeCell ref="B61:H61"/>
    <mergeCell ref="B65:H65"/>
    <mergeCell ref="B63:H63"/>
    <mergeCell ref="B64:H64"/>
    <mergeCell ref="B62:H62"/>
    <mergeCell ref="B353:E353"/>
    <mergeCell ref="B72:H72"/>
    <mergeCell ref="B237:C237"/>
    <mergeCell ref="B240:H240"/>
    <mergeCell ref="B156:H156"/>
    <mergeCell ref="B157:C157"/>
    <mergeCell ref="B161:H161"/>
    <mergeCell ref="B180:H180"/>
    <mergeCell ref="B182:H182"/>
    <mergeCell ref="B186:H186"/>
    <mergeCell ref="B234:H234"/>
    <mergeCell ref="B236:H236"/>
    <mergeCell ref="B98:H98"/>
    <mergeCell ref="B100:H100"/>
    <mergeCell ref="B364:E364"/>
    <mergeCell ref="B342:T342"/>
    <mergeCell ref="B359:E359"/>
    <mergeCell ref="B360:E360"/>
    <mergeCell ref="B361:E361"/>
    <mergeCell ref="B362:E362"/>
    <mergeCell ref="B363:E363"/>
    <mergeCell ref="B354:E354"/>
    <mergeCell ref="B355:E355"/>
    <mergeCell ref="B356:E356"/>
    <mergeCell ref="B357:E357"/>
    <mergeCell ref="B358:E358"/>
    <mergeCell ref="B349:E349"/>
    <mergeCell ref="B350:E350"/>
    <mergeCell ref="B351:E351"/>
    <mergeCell ref="B352:E352"/>
  </mergeCells>
  <phoneticPr fontId="13" type="noConversion"/>
  <dataValidations count="1">
    <dataValidation type="list" allowBlank="1" showInputMessage="1" showErrorMessage="1" sqref="B55 B69 B96 B203 B28 B176 B151 B257 B124:B125 B230 B284" xr:uid="{00000000-0002-0000-0C00-000000000000}">
      <formula1>"Policy, Vehicle"</formula1>
    </dataValidation>
  </dataValidations>
  <printOptions gridLines="1"/>
  <pageMargins left="0.75" right="0.75" top="0.4" bottom="0.46" header="0.16" footer="0.17"/>
  <pageSetup scale="53" fitToHeight="100" orientation="landscape" r:id="rId1"/>
  <headerFooter alignWithMargins="0">
    <oddHeader>&amp;C&amp;"Arial,Bold"&amp;16&amp;A</oddHeader>
    <oddFooter>&amp;F&amp;RPage &amp;P</oddFooter>
  </headerFooter>
  <rowBreaks count="3" manualBreakCount="3">
    <brk id="68" max="8" man="1"/>
    <brk id="178" max="8" man="1"/>
    <brk id="313" max="8"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O208"/>
  <sheetViews>
    <sheetView topLeftCell="A49" zoomScale="145" zoomScaleNormal="145" zoomScaleSheetLayoutView="80" workbookViewId="0">
      <selection activeCell="B52" sqref="B52:D52"/>
    </sheetView>
  </sheetViews>
  <sheetFormatPr defaultColWidth="9.26953125" defaultRowHeight="12.5" x14ac:dyDescent="0.25"/>
  <cols>
    <col min="1" max="1" width="29.26953125" style="2" customWidth="1"/>
    <col min="2" max="2" width="23" customWidth="1"/>
    <col min="3" max="3" width="21.7265625" customWidth="1"/>
    <col min="4" max="4" width="42.453125" customWidth="1"/>
    <col min="5" max="5" width="18.453125" customWidth="1"/>
  </cols>
  <sheetData>
    <row r="1" spans="1:15" ht="18" x14ac:dyDescent="0.25">
      <c r="A1" s="1149" t="s">
        <v>1015</v>
      </c>
      <c r="B1" s="1149"/>
      <c r="C1" s="1149"/>
      <c r="D1" s="1149"/>
    </row>
    <row r="2" spans="1:15" ht="18.5" thickBot="1" x14ac:dyDescent="0.3">
      <c r="A2" s="47" t="s">
        <v>1016</v>
      </c>
      <c r="B2" s="152"/>
      <c r="C2" s="152"/>
      <c r="D2" s="152"/>
    </row>
    <row r="3" spans="1:15" ht="15.5" x14ac:dyDescent="0.25">
      <c r="A3" s="442" t="s">
        <v>1017</v>
      </c>
      <c r="B3" s="443" t="s">
        <v>583</v>
      </c>
      <c r="C3" s="443" t="s">
        <v>1018</v>
      </c>
      <c r="D3" s="444" t="s">
        <v>1019</v>
      </c>
    </row>
    <row r="4" spans="1:15" ht="45.75" customHeight="1" x14ac:dyDescent="0.25">
      <c r="A4" s="440" t="s">
        <v>1020</v>
      </c>
      <c r="B4" s="963">
        <v>0.25</v>
      </c>
      <c r="C4" s="286" t="s">
        <v>673</v>
      </c>
      <c r="D4" s="441" t="s">
        <v>1021</v>
      </c>
    </row>
    <row r="5" spans="1:15" x14ac:dyDescent="0.25">
      <c r="A5" s="440" t="s">
        <v>1022</v>
      </c>
      <c r="B5" s="963">
        <v>0.1</v>
      </c>
      <c r="C5" s="286" t="s">
        <v>1023</v>
      </c>
      <c r="D5" s="441" t="s">
        <v>1024</v>
      </c>
    </row>
    <row r="6" spans="1:15" x14ac:dyDescent="0.25">
      <c r="A6" s="440" t="s">
        <v>886</v>
      </c>
      <c r="B6" s="963">
        <v>0.1</v>
      </c>
      <c r="C6" s="286" t="s">
        <v>1023</v>
      </c>
      <c r="D6" s="441" t="s">
        <v>1024</v>
      </c>
    </row>
    <row r="7" spans="1:15" ht="13" thickBot="1" x14ac:dyDescent="0.3">
      <c r="A7" s="964" t="s">
        <v>1025</v>
      </c>
      <c r="B7" s="965">
        <v>0.1</v>
      </c>
      <c r="C7" s="966" t="s">
        <v>1023</v>
      </c>
      <c r="D7" s="967" t="s">
        <v>1024</v>
      </c>
    </row>
    <row r="8" spans="1:15" x14ac:dyDescent="0.25">
      <c r="A8" s="968"/>
      <c r="B8" s="969"/>
      <c r="C8" s="968"/>
      <c r="D8" s="51"/>
    </row>
    <row r="9" spans="1:15" s="131" customFormat="1" ht="15.5" x14ac:dyDescent="0.35">
      <c r="A9" s="1154" t="s">
        <v>1026</v>
      </c>
      <c r="B9" s="1155"/>
      <c r="C9" s="1155"/>
      <c r="D9" s="1155"/>
      <c r="E9" s="712" t="s">
        <v>1027</v>
      </c>
      <c r="F9" s="713"/>
      <c r="G9" s="713"/>
      <c r="H9" s="713"/>
      <c r="I9" s="713"/>
      <c r="J9" s="713"/>
      <c r="K9" s="713"/>
      <c r="L9" s="713"/>
      <c r="M9" s="713"/>
      <c r="N9" s="713"/>
      <c r="O9" s="713"/>
    </row>
    <row r="10" spans="1:15" s="151" customFormat="1" ht="12.75" customHeight="1" x14ac:dyDescent="0.3">
      <c r="A10" s="1151" t="s">
        <v>1028</v>
      </c>
      <c r="B10" s="1151"/>
      <c r="C10" s="1151"/>
      <c r="D10" s="127">
        <v>0.1</v>
      </c>
    </row>
    <row r="11" spans="1:15" s="131" customFormat="1" x14ac:dyDescent="0.25">
      <c r="A11" s="1153" t="s">
        <v>1029</v>
      </c>
      <c r="B11" s="1153"/>
      <c r="C11" s="1153"/>
      <c r="D11" s="1153"/>
    </row>
    <row r="12" spans="1:15" s="151" customFormat="1" ht="12.75" customHeight="1" x14ac:dyDescent="0.3">
      <c r="A12" s="1151" t="s">
        <v>1030</v>
      </c>
      <c r="B12" s="1158"/>
      <c r="C12" s="1158"/>
      <c r="D12" s="127">
        <v>0.02</v>
      </c>
    </row>
    <row r="13" spans="1:15" s="131" customFormat="1" ht="25.5" customHeight="1" x14ac:dyDescent="0.25">
      <c r="A13" s="1153" t="s">
        <v>1031</v>
      </c>
      <c r="B13" s="1153"/>
      <c r="C13" s="1153"/>
      <c r="D13" s="1156"/>
    </row>
    <row r="14" spans="1:15" s="151" customFormat="1" ht="12.75" customHeight="1" x14ac:dyDescent="0.3">
      <c r="A14" s="1151" t="s">
        <v>1032</v>
      </c>
      <c r="B14" s="1151"/>
      <c r="C14" s="1151"/>
      <c r="D14" s="127">
        <v>0.1</v>
      </c>
    </row>
    <row r="15" spans="1:15" x14ac:dyDescent="0.25">
      <c r="A15" s="1153" t="s">
        <v>1033</v>
      </c>
      <c r="B15" s="1153"/>
      <c r="C15" s="1153"/>
      <c r="D15" s="1156"/>
    </row>
    <row r="16" spans="1:15" s="132" customFormat="1" ht="13" x14ac:dyDescent="0.3">
      <c r="A16" s="1151" t="s">
        <v>1034</v>
      </c>
      <c r="B16" s="1151"/>
      <c r="C16" s="1151"/>
      <c r="D16" s="127">
        <v>0.02</v>
      </c>
    </row>
    <row r="17" spans="1:15" s="131" customFormat="1" x14ac:dyDescent="0.25">
      <c r="A17" s="1153" t="s">
        <v>1035</v>
      </c>
      <c r="B17" s="1153"/>
      <c r="C17" s="1153"/>
      <c r="D17" s="1156"/>
    </row>
    <row r="18" spans="1:15" s="151" customFormat="1" ht="13" x14ac:dyDescent="0.3">
      <c r="A18" s="1151" t="s">
        <v>1036</v>
      </c>
      <c r="B18" s="1151"/>
      <c r="C18" s="1151"/>
      <c r="D18" s="127">
        <v>0.02</v>
      </c>
    </row>
    <row r="19" spans="1:15" s="131" customFormat="1" ht="12.75" customHeight="1" x14ac:dyDescent="0.25">
      <c r="A19" s="1159" t="s">
        <v>1037</v>
      </c>
      <c r="B19" s="1159"/>
      <c r="C19" s="1159"/>
      <c r="D19" s="1160"/>
    </row>
    <row r="20" spans="1:15" s="151" customFormat="1" ht="13" x14ac:dyDescent="0.25">
      <c r="A20" s="4"/>
      <c r="B20" s="42"/>
      <c r="C20"/>
      <c r="D20"/>
    </row>
    <row r="21" spans="1:15" s="131" customFormat="1" ht="15.5" x14ac:dyDescent="0.35">
      <c r="A21" s="1154" t="s">
        <v>1038</v>
      </c>
      <c r="B21" s="1155"/>
      <c r="C21" s="1155"/>
      <c r="D21" s="1155"/>
      <c r="E21" s="713" t="s">
        <v>1027</v>
      </c>
      <c r="F21" s="713"/>
      <c r="G21" s="713"/>
      <c r="H21" s="713"/>
      <c r="I21" s="713"/>
      <c r="J21" s="713"/>
      <c r="K21" s="713"/>
      <c r="L21" s="713"/>
      <c r="M21" s="713"/>
      <c r="N21" s="713"/>
      <c r="O21" s="713"/>
    </row>
    <row r="22" spans="1:15" s="151" customFormat="1" ht="13" x14ac:dyDescent="0.3">
      <c r="A22" s="1151" t="s">
        <v>1039</v>
      </c>
      <c r="B22" s="1151"/>
      <c r="C22" s="1151"/>
      <c r="D22" s="127">
        <v>0.1</v>
      </c>
    </row>
    <row r="23" spans="1:15" s="131" customFormat="1" ht="24.75" customHeight="1" x14ac:dyDescent="0.25">
      <c r="A23" s="1153" t="s">
        <v>1040</v>
      </c>
      <c r="B23" s="1153"/>
      <c r="C23" s="1153"/>
      <c r="D23" s="1153"/>
    </row>
    <row r="24" spans="1:15" s="151" customFormat="1" ht="13" x14ac:dyDescent="0.3">
      <c r="A24" s="1151" t="s">
        <v>1041</v>
      </c>
      <c r="B24" s="1151"/>
      <c r="C24" s="1151"/>
      <c r="D24" s="127">
        <v>0.08</v>
      </c>
    </row>
    <row r="25" spans="1:15" s="131" customFormat="1" ht="24.75" customHeight="1" x14ac:dyDescent="0.25">
      <c r="A25" s="1153" t="s">
        <v>1042</v>
      </c>
      <c r="B25" s="1153"/>
      <c r="C25" s="1153"/>
      <c r="D25" s="1153"/>
    </row>
    <row r="26" spans="1:15" s="151" customFormat="1" ht="13" x14ac:dyDescent="0.3">
      <c r="A26" s="1151" t="s">
        <v>1043</v>
      </c>
      <c r="B26" s="1151"/>
      <c r="C26" s="1151"/>
      <c r="D26" s="127">
        <v>0.06</v>
      </c>
    </row>
    <row r="27" spans="1:15" ht="25.5" customHeight="1" x14ac:dyDescent="0.25">
      <c r="A27" s="1153" t="s">
        <v>1044</v>
      </c>
      <c r="B27" s="1153"/>
      <c r="C27" s="1153"/>
      <c r="D27" s="1153"/>
    </row>
    <row r="28" spans="1:15" s="132" customFormat="1" ht="13" x14ac:dyDescent="0.3">
      <c r="A28" s="1151" t="s">
        <v>1045</v>
      </c>
      <c r="B28" s="1151"/>
      <c r="C28" s="1151"/>
      <c r="D28" s="127">
        <v>0.02</v>
      </c>
    </row>
    <row r="29" spans="1:15" x14ac:dyDescent="0.25">
      <c r="A29" s="1153" t="s">
        <v>1046</v>
      </c>
      <c r="B29" s="1153"/>
      <c r="C29" s="1153"/>
      <c r="D29" s="1153"/>
    </row>
    <row r="30" spans="1:15" ht="13" x14ac:dyDescent="0.3">
      <c r="A30" s="1151" t="s">
        <v>1047</v>
      </c>
      <c r="B30" s="1151"/>
      <c r="C30" s="1151"/>
      <c r="D30" s="127">
        <v>0.04</v>
      </c>
      <c r="E30" s="67"/>
    </row>
    <row r="31" spans="1:15" x14ac:dyDescent="0.25">
      <c r="A31" s="1144" t="s">
        <v>1048</v>
      </c>
      <c r="B31" s="1145"/>
      <c r="C31" s="1145"/>
      <c r="D31" s="1145"/>
      <c r="E31" s="67"/>
    </row>
    <row r="32" spans="1:15" ht="12.75" customHeight="1" x14ac:dyDescent="0.25">
      <c r="A32" s="4"/>
      <c r="B32" s="42"/>
    </row>
    <row r="33" spans="1:15" ht="15.5" x14ac:dyDescent="0.25">
      <c r="A33" s="1154" t="s">
        <v>1049</v>
      </c>
      <c r="B33" s="1154"/>
      <c r="C33" s="1154"/>
      <c r="D33" s="1154"/>
      <c r="E33" s="713" t="s">
        <v>1027</v>
      </c>
      <c r="F33" s="712"/>
      <c r="G33" s="712"/>
      <c r="H33" s="712"/>
      <c r="I33" s="712"/>
      <c r="J33" s="712"/>
      <c r="K33" s="712"/>
      <c r="L33" s="712"/>
      <c r="M33" s="712"/>
      <c r="N33" s="712"/>
      <c r="O33" s="712"/>
    </row>
    <row r="34" spans="1:15" ht="12.75" customHeight="1" x14ac:dyDescent="0.3">
      <c r="A34" s="1151" t="s">
        <v>1050</v>
      </c>
      <c r="B34" s="1151"/>
      <c r="C34" s="1151"/>
      <c r="D34" s="127">
        <v>0.03</v>
      </c>
    </row>
    <row r="35" spans="1:15" ht="13.5" customHeight="1" x14ac:dyDescent="0.25">
      <c r="A35" s="1152" t="s">
        <v>1051</v>
      </c>
      <c r="B35" s="1153"/>
      <c r="C35" s="1153"/>
      <c r="D35" s="1153"/>
    </row>
    <row r="36" spans="1:15" ht="12.75" customHeight="1" x14ac:dyDescent="0.3">
      <c r="A36" s="1151" t="s">
        <v>1052</v>
      </c>
      <c r="B36" s="1151"/>
      <c r="C36" s="1151"/>
      <c r="D36" s="128">
        <v>0.06</v>
      </c>
    </row>
    <row r="37" spans="1:15" x14ac:dyDescent="0.25">
      <c r="A37" s="1152" t="s">
        <v>1053</v>
      </c>
      <c r="B37" s="1153"/>
      <c r="C37" s="1153"/>
      <c r="D37" s="1153"/>
    </row>
    <row r="38" spans="1:15" ht="12.75" customHeight="1" x14ac:dyDescent="0.3">
      <c r="A38" s="1151" t="s">
        <v>1054</v>
      </c>
      <c r="B38" s="1151"/>
      <c r="C38" s="1151"/>
      <c r="D38" s="128">
        <v>0.1</v>
      </c>
    </row>
    <row r="39" spans="1:15" x14ac:dyDescent="0.25">
      <c r="A39" s="1152" t="s">
        <v>1055</v>
      </c>
      <c r="B39" s="1153"/>
      <c r="C39" s="1153"/>
      <c r="D39" s="1153"/>
    </row>
    <row r="40" spans="1:15" x14ac:dyDescent="0.25">
      <c r="A40" s="150"/>
      <c r="B40" s="150"/>
      <c r="C40" s="150"/>
      <c r="D40" s="150"/>
    </row>
    <row r="41" spans="1:15" ht="18" x14ac:dyDescent="0.25">
      <c r="A41" s="1149" t="s">
        <v>1056</v>
      </c>
      <c r="B41" s="1149"/>
      <c r="C41" s="1149"/>
      <c r="D41" s="1149"/>
    </row>
    <row r="42" spans="1:15" s="131" customFormat="1" ht="13" x14ac:dyDescent="0.25">
      <c r="A42" s="32"/>
      <c r="B42" s="1157"/>
      <c r="C42" s="1157"/>
      <c r="D42" s="1157"/>
    </row>
    <row r="43" spans="1:15" ht="15.5" x14ac:dyDescent="0.35">
      <c r="A43" s="4" t="s">
        <v>594</v>
      </c>
      <c r="B43" s="1136" t="s">
        <v>1057</v>
      </c>
      <c r="C43" s="1136"/>
      <c r="D43" s="1136"/>
    </row>
    <row r="44" spans="1:15" ht="13" x14ac:dyDescent="0.25">
      <c r="A44" s="4" t="s">
        <v>598</v>
      </c>
      <c r="B44" s="1150" t="s">
        <v>942</v>
      </c>
      <c r="C44" s="1150"/>
      <c r="D44" s="1150"/>
    </row>
    <row r="45" spans="1:15" ht="13" x14ac:dyDescent="0.25">
      <c r="A45" s="4" t="s">
        <v>610</v>
      </c>
      <c r="B45" s="1" t="s">
        <v>1058</v>
      </c>
      <c r="C45" s="1"/>
      <c r="D45" s="1"/>
    </row>
    <row r="46" spans="1:15" ht="13" x14ac:dyDescent="0.25">
      <c r="A46" s="4" t="s">
        <v>604</v>
      </c>
      <c r="B46" s="1" t="s">
        <v>1059</v>
      </c>
      <c r="C46" s="1"/>
      <c r="D46" s="1"/>
    </row>
    <row r="47" spans="1:15" ht="40.5" customHeight="1" x14ac:dyDescent="0.25">
      <c r="A47" s="4" t="s">
        <v>1060</v>
      </c>
      <c r="B47" s="1145" t="s">
        <v>1061</v>
      </c>
      <c r="C47" s="1145"/>
      <c r="D47" s="1145"/>
    </row>
    <row r="48" spans="1:15" ht="25.5" customHeight="1" x14ac:dyDescent="0.25">
      <c r="A48" s="5" t="s">
        <v>270</v>
      </c>
      <c r="B48" s="1141" t="s">
        <v>1062</v>
      </c>
      <c r="C48" s="1150"/>
      <c r="D48" s="1150"/>
    </row>
    <row r="49" spans="1:4" ht="13" x14ac:dyDescent="0.25">
      <c r="A49" s="32" t="s">
        <v>274</v>
      </c>
      <c r="B49" s="1157" t="s">
        <v>942</v>
      </c>
      <c r="C49" s="1157"/>
      <c r="D49" s="1157"/>
    </row>
    <row r="50" spans="1:4" ht="13.5" customHeight="1" x14ac:dyDescent="0.25"/>
    <row r="51" spans="1:4" ht="18" x14ac:dyDescent="0.25">
      <c r="A51" s="1149" t="s">
        <v>1063</v>
      </c>
      <c r="B51" s="1149"/>
      <c r="C51" s="1149"/>
      <c r="D51" s="1149"/>
    </row>
    <row r="52" spans="1:4" ht="15.5" x14ac:dyDescent="0.35">
      <c r="A52" s="4" t="s">
        <v>594</v>
      </c>
      <c r="B52" s="1136" t="s">
        <v>1064</v>
      </c>
      <c r="C52" s="1136"/>
      <c r="D52" s="1136"/>
    </row>
    <row r="53" spans="1:4" ht="13" x14ac:dyDescent="0.25">
      <c r="A53" s="4" t="s">
        <v>598</v>
      </c>
      <c r="B53" s="1150" t="s">
        <v>942</v>
      </c>
      <c r="C53" s="1150"/>
      <c r="D53" s="1150"/>
    </row>
    <row r="54" spans="1:4" ht="13" x14ac:dyDescent="0.25">
      <c r="A54" s="4" t="s">
        <v>610</v>
      </c>
      <c r="B54" s="161">
        <v>0.1</v>
      </c>
      <c r="C54" s="1"/>
      <c r="D54" s="1"/>
    </row>
    <row r="55" spans="1:4" ht="13" x14ac:dyDescent="0.25">
      <c r="A55" s="4" t="s">
        <v>1060</v>
      </c>
      <c r="B55" s="1145" t="s">
        <v>1065</v>
      </c>
      <c r="C55" s="1145"/>
      <c r="D55" s="1145"/>
    </row>
    <row r="56" spans="1:4" ht="13" x14ac:dyDescent="0.25">
      <c r="A56" s="4" t="s">
        <v>604</v>
      </c>
      <c r="B56" s="147" t="s">
        <v>605</v>
      </c>
      <c r="C56" s="147"/>
      <c r="D56" s="147"/>
    </row>
    <row r="57" spans="1:4" ht="29.25" customHeight="1" x14ac:dyDescent="0.25">
      <c r="A57" s="5" t="s">
        <v>270</v>
      </c>
      <c r="B57" s="1148" t="s">
        <v>1066</v>
      </c>
      <c r="C57" s="1148"/>
      <c r="D57" s="1148"/>
    </row>
    <row r="58" spans="1:4" ht="13" x14ac:dyDescent="0.25">
      <c r="A58" s="4" t="s">
        <v>274</v>
      </c>
      <c r="B58" s="1148" t="s">
        <v>1067</v>
      </c>
      <c r="C58" s="1148"/>
      <c r="D58" s="1148"/>
    </row>
    <row r="59" spans="1:4" ht="13" x14ac:dyDescent="0.25">
      <c r="A59" s="4"/>
      <c r="B59" s="162"/>
      <c r="C59" s="162"/>
      <c r="D59" s="162"/>
    </row>
    <row r="60" spans="1:4" ht="15.5" x14ac:dyDescent="0.35">
      <c r="A60" s="4" t="s">
        <v>594</v>
      </c>
      <c r="B60" s="1136" t="s">
        <v>1068</v>
      </c>
      <c r="C60" s="1136"/>
      <c r="D60" s="1136"/>
    </row>
    <row r="61" spans="1:4" ht="13" x14ac:dyDescent="0.25">
      <c r="A61" s="4" t="s">
        <v>1069</v>
      </c>
      <c r="B61" s="1144"/>
      <c r="C61" s="1144"/>
      <c r="D61" s="1144"/>
    </row>
    <row r="62" spans="1:4" ht="13" x14ac:dyDescent="0.25">
      <c r="A62" s="4" t="s">
        <v>1070</v>
      </c>
      <c r="B62" s="1144" t="s">
        <v>1071</v>
      </c>
      <c r="C62" s="1144"/>
      <c r="D62" s="1144"/>
    </row>
    <row r="63" spans="1:4" ht="13" x14ac:dyDescent="0.25">
      <c r="A63" s="4" t="s">
        <v>598</v>
      </c>
      <c r="B63" s="1141" t="s">
        <v>942</v>
      </c>
      <c r="C63" s="1141"/>
      <c r="D63" s="1141"/>
    </row>
    <row r="64" spans="1:4" ht="13" x14ac:dyDescent="0.25">
      <c r="A64" s="4" t="s">
        <v>610</v>
      </c>
      <c r="B64" s="133">
        <v>0.05</v>
      </c>
      <c r="C64" s="121"/>
      <c r="D64" s="121"/>
    </row>
    <row r="65" spans="1:4" ht="13" x14ac:dyDescent="0.25">
      <c r="A65" s="4" t="s">
        <v>1060</v>
      </c>
      <c r="B65" s="1144" t="s">
        <v>1072</v>
      </c>
      <c r="C65" s="1144"/>
      <c r="D65" s="1144"/>
    </row>
    <row r="66" spans="1:4" ht="13" x14ac:dyDescent="0.25">
      <c r="A66" s="5" t="s">
        <v>270</v>
      </c>
      <c r="B66" s="1059" t="s">
        <v>1073</v>
      </c>
      <c r="C66" s="1059"/>
      <c r="D66" s="1059"/>
    </row>
    <row r="67" spans="1:4" ht="54.75" customHeight="1" x14ac:dyDescent="0.25">
      <c r="A67" s="4" t="s">
        <v>274</v>
      </c>
      <c r="B67" s="1059" t="s">
        <v>1074</v>
      </c>
      <c r="C67" s="1059"/>
      <c r="D67" s="1059"/>
    </row>
    <row r="69" spans="1:4" ht="15.5" x14ac:dyDescent="0.35">
      <c r="A69" s="35" t="s">
        <v>594</v>
      </c>
      <c r="B69" s="1143" t="s">
        <v>1075</v>
      </c>
      <c r="C69" s="1143"/>
      <c r="D69" s="1143"/>
    </row>
    <row r="70" spans="1:4" ht="13" x14ac:dyDescent="0.3">
      <c r="A70" s="35" t="s">
        <v>598</v>
      </c>
      <c r="B70" s="1040" t="s">
        <v>942</v>
      </c>
      <c r="C70" s="1040"/>
      <c r="D70" s="1040"/>
    </row>
    <row r="71" spans="1:4" ht="13" x14ac:dyDescent="0.3">
      <c r="A71" s="35" t="s">
        <v>1076</v>
      </c>
      <c r="B71" s="28">
        <v>-0.05</v>
      </c>
    </row>
    <row r="72" spans="1:4" ht="13" x14ac:dyDescent="0.3">
      <c r="A72" s="35" t="s">
        <v>1077</v>
      </c>
      <c r="B72" s="1040" t="s">
        <v>1059</v>
      </c>
      <c r="C72" s="1040"/>
      <c r="D72" s="1040"/>
    </row>
    <row r="73" spans="1:4" ht="13" x14ac:dyDescent="0.3">
      <c r="A73" s="35" t="s">
        <v>1078</v>
      </c>
      <c r="B73" s="1144" t="s">
        <v>1079</v>
      </c>
      <c r="C73" s="1144"/>
      <c r="D73" s="1144"/>
    </row>
    <row r="74" spans="1:4" ht="26.25" customHeight="1" x14ac:dyDescent="0.25">
      <c r="A74" s="54" t="s">
        <v>270</v>
      </c>
      <c r="B74" s="1145" t="s">
        <v>1080</v>
      </c>
      <c r="C74" s="1145"/>
      <c r="D74" s="1145"/>
    </row>
    <row r="75" spans="1:4" ht="13" x14ac:dyDescent="0.3">
      <c r="A75" s="35" t="s">
        <v>274</v>
      </c>
      <c r="B75" s="1145"/>
      <c r="C75" s="1145"/>
      <c r="D75" s="1145"/>
    </row>
    <row r="76" spans="1:4" ht="13" x14ac:dyDescent="0.3">
      <c r="A76" s="35"/>
      <c r="B76" s="147"/>
      <c r="C76" s="147"/>
      <c r="D76" s="147"/>
    </row>
    <row r="77" spans="1:4" ht="15.5" x14ac:dyDescent="0.35">
      <c r="A77" s="163" t="s">
        <v>594</v>
      </c>
      <c r="B77" s="1137" t="s">
        <v>1081</v>
      </c>
      <c r="C77" s="1137"/>
      <c r="D77" s="1137"/>
    </row>
    <row r="78" spans="1:4" ht="13" x14ac:dyDescent="0.25">
      <c r="A78" s="163" t="s">
        <v>598</v>
      </c>
      <c r="B78" s="1138" t="s">
        <v>942</v>
      </c>
      <c r="C78" s="1138"/>
      <c r="D78" s="1138"/>
    </row>
    <row r="79" spans="1:4" ht="15.75" customHeight="1" x14ac:dyDescent="0.25">
      <c r="A79" s="163" t="s">
        <v>610</v>
      </c>
      <c r="B79" s="164" t="s">
        <v>1082</v>
      </c>
      <c r="C79" s="165"/>
      <c r="D79" s="165"/>
    </row>
    <row r="80" spans="1:4" ht="13" x14ac:dyDescent="0.25">
      <c r="A80" s="163" t="s">
        <v>1060</v>
      </c>
      <c r="B80" s="1146" t="s">
        <v>1083</v>
      </c>
      <c r="C80" s="1146"/>
      <c r="D80" s="1146"/>
    </row>
    <row r="81" spans="1:4" ht="30.75" customHeight="1" x14ac:dyDescent="0.25">
      <c r="A81" s="166" t="s">
        <v>270</v>
      </c>
      <c r="B81" s="1135" t="s">
        <v>1084</v>
      </c>
      <c r="C81" s="1135"/>
      <c r="D81" s="1135"/>
    </row>
    <row r="82" spans="1:4" ht="27.75" customHeight="1" x14ac:dyDescent="0.25">
      <c r="A82" s="163" t="s">
        <v>274</v>
      </c>
      <c r="B82" s="1135" t="s">
        <v>1085</v>
      </c>
      <c r="C82" s="1135"/>
      <c r="D82" s="1135"/>
    </row>
    <row r="85" spans="1:4" ht="15.75" customHeight="1" x14ac:dyDescent="0.35">
      <c r="A85" s="4" t="s">
        <v>594</v>
      </c>
      <c r="B85" s="1136" t="s">
        <v>1086</v>
      </c>
      <c r="C85" s="1136"/>
      <c r="D85" s="1136"/>
    </row>
    <row r="86" spans="1:4" ht="13" x14ac:dyDescent="0.25">
      <c r="A86" s="4" t="s">
        <v>598</v>
      </c>
      <c r="B86" s="1141" t="s">
        <v>942</v>
      </c>
      <c r="C86" s="1141"/>
      <c r="D86" s="1141"/>
    </row>
    <row r="87" spans="1:4" ht="13" x14ac:dyDescent="0.25">
      <c r="A87" s="4" t="s">
        <v>604</v>
      </c>
      <c r="B87" s="121" t="s">
        <v>1059</v>
      </c>
      <c r="C87" s="121"/>
      <c r="D87" s="121"/>
    </row>
    <row r="88" spans="1:4" ht="13.5" thickBot="1" x14ac:dyDescent="0.3">
      <c r="A88" s="4" t="s">
        <v>205</v>
      </c>
      <c r="B88" s="1142"/>
      <c r="C88" s="1142"/>
      <c r="D88" s="1142"/>
    </row>
    <row r="89" spans="1:4" ht="13" x14ac:dyDescent="0.3">
      <c r="A89" s="4"/>
      <c r="B89" s="801" t="s">
        <v>1087</v>
      </c>
      <c r="C89" s="802" t="s">
        <v>1088</v>
      </c>
      <c r="D89" s="803" t="s">
        <v>1089</v>
      </c>
    </row>
    <row r="90" spans="1:4" ht="13" x14ac:dyDescent="0.25">
      <c r="A90" s="4"/>
      <c r="B90" s="246" t="s">
        <v>1090</v>
      </c>
      <c r="C90" s="136">
        <v>1.0249999999999999</v>
      </c>
      <c r="D90" s="283">
        <v>435</v>
      </c>
    </row>
    <row r="91" spans="1:4" ht="13" x14ac:dyDescent="0.25">
      <c r="A91" s="4"/>
      <c r="B91" s="246" t="s">
        <v>1091</v>
      </c>
      <c r="C91" s="136">
        <v>1.05</v>
      </c>
      <c r="D91" s="283">
        <v>236</v>
      </c>
    </row>
    <row r="92" spans="1:4" ht="12.75" customHeight="1" x14ac:dyDescent="0.25">
      <c r="A92" s="4"/>
      <c r="B92" s="246" t="s">
        <v>1092</v>
      </c>
      <c r="C92" s="136">
        <v>1.1499999999999999</v>
      </c>
      <c r="D92" s="283">
        <v>235</v>
      </c>
    </row>
    <row r="93" spans="1:4" ht="13" x14ac:dyDescent="0.25">
      <c r="A93" s="4"/>
      <c r="B93" s="804" t="s">
        <v>1093</v>
      </c>
      <c r="C93" s="136">
        <v>1.25</v>
      </c>
      <c r="D93" s="283">
        <v>234</v>
      </c>
    </row>
    <row r="94" spans="1:4" ht="13" x14ac:dyDescent="0.25">
      <c r="A94" s="4"/>
      <c r="B94" s="246">
        <v>29</v>
      </c>
      <c r="C94" s="136">
        <v>1.6020000000000001</v>
      </c>
      <c r="D94" s="283">
        <v>513</v>
      </c>
    </row>
    <row r="95" spans="1:4" ht="13" x14ac:dyDescent="0.25">
      <c r="A95" s="4"/>
      <c r="B95" s="246">
        <v>28</v>
      </c>
      <c r="C95" s="136">
        <v>1.889</v>
      </c>
      <c r="D95" s="283">
        <v>512</v>
      </c>
    </row>
    <row r="96" spans="1:4" ht="13" x14ac:dyDescent="0.25">
      <c r="A96" s="4"/>
      <c r="B96" s="246">
        <v>27</v>
      </c>
      <c r="C96" s="136">
        <v>2.105</v>
      </c>
      <c r="D96" s="283">
        <v>511</v>
      </c>
    </row>
    <row r="97" spans="1:4" ht="13" x14ac:dyDescent="0.25">
      <c r="A97" s="4"/>
      <c r="B97" s="246">
        <v>26</v>
      </c>
      <c r="C97" s="136">
        <v>2.25</v>
      </c>
      <c r="D97" s="283">
        <v>510</v>
      </c>
    </row>
    <row r="98" spans="1:4" ht="13" x14ac:dyDescent="0.25">
      <c r="A98" s="4"/>
      <c r="B98" s="246">
        <v>25</v>
      </c>
      <c r="C98" s="136">
        <v>2.3420000000000001</v>
      </c>
      <c r="D98" s="283">
        <v>509</v>
      </c>
    </row>
    <row r="99" spans="1:4" ht="13" x14ac:dyDescent="0.25">
      <c r="A99" s="4"/>
      <c r="B99" s="246">
        <v>24</v>
      </c>
      <c r="C99" s="136">
        <v>2.4470000000000001</v>
      </c>
      <c r="D99" s="283">
        <v>508</v>
      </c>
    </row>
    <row r="100" spans="1:4" ht="13" x14ac:dyDescent="0.25">
      <c r="A100" s="4"/>
      <c r="B100" s="246">
        <v>23</v>
      </c>
      <c r="C100" s="136">
        <v>2.5670000000000002</v>
      </c>
      <c r="D100" s="283">
        <v>507</v>
      </c>
    </row>
    <row r="101" spans="1:4" ht="13" x14ac:dyDescent="0.25">
      <c r="A101" s="4"/>
      <c r="B101" s="246">
        <v>22</v>
      </c>
      <c r="C101" s="136">
        <v>2.7010000000000001</v>
      </c>
      <c r="D101" s="283">
        <v>506</v>
      </c>
    </row>
    <row r="102" spans="1:4" ht="13" x14ac:dyDescent="0.25">
      <c r="A102" s="4"/>
      <c r="B102" s="246">
        <v>21</v>
      </c>
      <c r="C102" s="136">
        <v>2.8460000000000001</v>
      </c>
      <c r="D102" s="283">
        <v>505</v>
      </c>
    </row>
    <row r="103" spans="1:4" ht="13" x14ac:dyDescent="0.25">
      <c r="A103" s="4"/>
      <c r="B103" s="246">
        <v>20</v>
      </c>
      <c r="C103" s="136">
        <v>3.004</v>
      </c>
      <c r="D103" s="283">
        <v>504</v>
      </c>
    </row>
    <row r="104" spans="1:4" ht="13" x14ac:dyDescent="0.25">
      <c r="A104" s="4"/>
      <c r="B104" s="246">
        <v>19</v>
      </c>
      <c r="C104" s="136">
        <v>3.222</v>
      </c>
      <c r="D104" s="283">
        <v>503</v>
      </c>
    </row>
    <row r="105" spans="1:4" ht="13.5" thickBot="1" x14ac:dyDescent="0.3">
      <c r="A105" s="4"/>
      <c r="B105" s="247">
        <v>18</v>
      </c>
      <c r="C105" s="315">
        <v>3.4910000000000001</v>
      </c>
      <c r="D105" s="800">
        <v>502</v>
      </c>
    </row>
    <row r="106" spans="1:4" ht="13" x14ac:dyDescent="0.25">
      <c r="A106" s="4" t="s">
        <v>1060</v>
      </c>
      <c r="B106" s="1139" t="s">
        <v>1094</v>
      </c>
      <c r="C106" s="1139"/>
      <c r="D106" s="1139"/>
    </row>
    <row r="107" spans="1:4" ht="13" x14ac:dyDescent="0.25">
      <c r="A107" s="5" t="s">
        <v>270</v>
      </c>
      <c r="B107" s="1140" t="s">
        <v>1095</v>
      </c>
      <c r="C107" s="1140"/>
      <c r="D107" s="1140"/>
    </row>
    <row r="108" spans="1:4" ht="13" x14ac:dyDescent="0.25">
      <c r="A108" s="5" t="s">
        <v>274</v>
      </c>
      <c r="B108" s="1140"/>
      <c r="C108" s="1140"/>
      <c r="D108" s="1140"/>
    </row>
    <row r="109" spans="1:4" ht="13" x14ac:dyDescent="0.25">
      <c r="A109" s="5"/>
      <c r="B109" s="143"/>
      <c r="C109" s="143"/>
      <c r="D109" s="143"/>
    </row>
    <row r="110" spans="1:4" ht="15.5" x14ac:dyDescent="0.35">
      <c r="A110" s="35" t="s">
        <v>594</v>
      </c>
      <c r="B110" s="1143" t="s">
        <v>1096</v>
      </c>
      <c r="C110" s="1143"/>
      <c r="D110" s="1143"/>
    </row>
    <row r="111" spans="1:4" ht="13" x14ac:dyDescent="0.3">
      <c r="A111" s="35" t="s">
        <v>598</v>
      </c>
      <c r="B111" s="1040" t="s">
        <v>942</v>
      </c>
      <c r="C111" s="1040"/>
      <c r="D111" s="1040"/>
    </row>
    <row r="112" spans="1:4" ht="13" x14ac:dyDescent="0.3">
      <c r="A112" s="35" t="s">
        <v>1076</v>
      </c>
      <c r="B112" s="53">
        <v>-20</v>
      </c>
    </row>
    <row r="113" spans="1:4" ht="13" x14ac:dyDescent="0.3">
      <c r="A113" s="35" t="s">
        <v>604</v>
      </c>
      <c r="B113" s="1030" t="s">
        <v>1097</v>
      </c>
      <c r="C113" s="1040"/>
      <c r="D113" s="1040"/>
    </row>
    <row r="114" spans="1:4" ht="13" x14ac:dyDescent="0.3">
      <c r="A114" s="35" t="s">
        <v>1078</v>
      </c>
      <c r="B114" s="1144" t="s">
        <v>1098</v>
      </c>
      <c r="C114" s="1145"/>
      <c r="D114" s="1145"/>
    </row>
    <row r="115" spans="1:4" ht="46.5" customHeight="1" x14ac:dyDescent="0.25">
      <c r="A115" s="54" t="s">
        <v>270</v>
      </c>
      <c r="B115" s="1057" t="s">
        <v>1099</v>
      </c>
      <c r="C115" s="1058"/>
      <c r="D115" s="1058"/>
    </row>
    <row r="116" spans="1:4" ht="54.75" customHeight="1" x14ac:dyDescent="0.25">
      <c r="A116" s="8" t="s">
        <v>274</v>
      </c>
      <c r="B116" s="1057" t="s">
        <v>1100</v>
      </c>
      <c r="C116" s="1057"/>
      <c r="D116" s="1057"/>
    </row>
    <row r="117" spans="1:4" ht="13" x14ac:dyDescent="0.25">
      <c r="A117" s="8"/>
      <c r="B117" s="148"/>
      <c r="C117" s="148"/>
      <c r="D117" s="148"/>
    </row>
    <row r="118" spans="1:4" ht="15.5" x14ac:dyDescent="0.35">
      <c r="A118" s="4" t="s">
        <v>594</v>
      </c>
      <c r="B118" s="1136" t="s">
        <v>1101</v>
      </c>
      <c r="C118" s="1136"/>
      <c r="D118" s="1136"/>
    </row>
    <row r="119" spans="1:4" ht="13" x14ac:dyDescent="0.25">
      <c r="A119" s="4" t="s">
        <v>1069</v>
      </c>
      <c r="B119" s="1144"/>
      <c r="C119" s="1144"/>
      <c r="D119" s="1144"/>
    </row>
    <row r="120" spans="1:4" ht="13" x14ac:dyDescent="0.25">
      <c r="A120" s="4" t="s">
        <v>598</v>
      </c>
      <c r="B120" s="1141" t="s">
        <v>206</v>
      </c>
      <c r="C120" s="1141"/>
      <c r="D120" s="1141"/>
    </row>
    <row r="121" spans="1:4" ht="13" x14ac:dyDescent="0.25">
      <c r="A121" s="4" t="s">
        <v>610</v>
      </c>
      <c r="B121" s="126">
        <v>1.1499999999999999</v>
      </c>
      <c r="C121" s="121"/>
      <c r="D121" s="121"/>
    </row>
    <row r="122" spans="1:4" ht="13" x14ac:dyDescent="0.25">
      <c r="A122" s="5" t="s">
        <v>1102</v>
      </c>
      <c r="B122" s="51" t="s">
        <v>1103</v>
      </c>
      <c r="C122" s="121"/>
      <c r="D122" s="121"/>
    </row>
    <row r="123" spans="1:4" ht="13" x14ac:dyDescent="0.25">
      <c r="A123" s="5" t="s">
        <v>1104</v>
      </c>
      <c r="B123" s="51">
        <v>1</v>
      </c>
      <c r="C123" s="121"/>
      <c r="D123" s="121"/>
    </row>
    <row r="124" spans="1:4" ht="13" x14ac:dyDescent="0.25">
      <c r="A124" s="4" t="s">
        <v>1105</v>
      </c>
      <c r="B124" s="126" t="s">
        <v>605</v>
      </c>
      <c r="C124" s="121"/>
      <c r="D124" s="121"/>
    </row>
    <row r="125" spans="1:4" ht="40.5" customHeight="1" x14ac:dyDescent="0.25">
      <c r="A125" s="4" t="s">
        <v>1060</v>
      </c>
      <c r="B125" s="1144" t="s">
        <v>1106</v>
      </c>
      <c r="C125" s="1144"/>
      <c r="D125" s="1144"/>
    </row>
    <row r="126" spans="1:4" ht="32.25" customHeight="1" x14ac:dyDescent="0.25">
      <c r="A126" s="5" t="s">
        <v>270</v>
      </c>
      <c r="B126" s="1059" t="s">
        <v>1107</v>
      </c>
      <c r="C126" s="1059"/>
      <c r="D126" s="1059"/>
    </row>
    <row r="127" spans="1:4" ht="13" x14ac:dyDescent="0.25">
      <c r="A127" s="4" t="s">
        <v>274</v>
      </c>
      <c r="B127" s="1059"/>
      <c r="C127" s="1059"/>
      <c r="D127" s="1059"/>
    </row>
    <row r="128" spans="1:4" ht="13" x14ac:dyDescent="0.25">
      <c r="A128" s="8"/>
      <c r="B128" s="148"/>
      <c r="C128" s="148"/>
      <c r="D128" s="148"/>
    </row>
    <row r="129" spans="1:4" ht="15.5" x14ac:dyDescent="0.35">
      <c r="A129" s="35" t="s">
        <v>594</v>
      </c>
      <c r="B129" s="1143" t="s">
        <v>1108</v>
      </c>
      <c r="C129" s="1143"/>
      <c r="D129" s="1143"/>
    </row>
    <row r="130" spans="1:4" ht="13" x14ac:dyDescent="0.3">
      <c r="A130" s="35" t="s">
        <v>598</v>
      </c>
      <c r="B130" s="1030" t="s">
        <v>942</v>
      </c>
      <c r="C130" s="1030"/>
      <c r="D130" s="1030"/>
    </row>
    <row r="131" spans="1:4" ht="13" x14ac:dyDescent="0.3">
      <c r="A131" s="35" t="s">
        <v>1076</v>
      </c>
      <c r="B131" s="167">
        <v>-0.1</v>
      </c>
      <c r="C131" s="67" t="s">
        <v>1109</v>
      </c>
      <c r="D131" s="67"/>
    </row>
    <row r="132" spans="1:4" ht="13" x14ac:dyDescent="0.3">
      <c r="A132" s="35" t="s">
        <v>1077</v>
      </c>
      <c r="B132" s="1030" t="s">
        <v>1059</v>
      </c>
      <c r="C132" s="1030"/>
      <c r="D132" s="1030"/>
    </row>
    <row r="133" spans="1:4" ht="27" customHeight="1" x14ac:dyDescent="0.25">
      <c r="A133" s="54" t="s">
        <v>1078</v>
      </c>
      <c r="B133" s="1144" t="s">
        <v>1110</v>
      </c>
      <c r="C133" s="1144"/>
      <c r="D133" s="1144"/>
    </row>
    <row r="134" spans="1:4" ht="26.25" customHeight="1" x14ac:dyDescent="0.25">
      <c r="A134" s="54" t="s">
        <v>270</v>
      </c>
      <c r="B134" s="1144" t="s">
        <v>1111</v>
      </c>
      <c r="C134" s="1144"/>
      <c r="D134" s="1144"/>
    </row>
    <row r="135" spans="1:4" ht="13" x14ac:dyDescent="0.3">
      <c r="A135" s="35" t="s">
        <v>274</v>
      </c>
      <c r="B135" s="1144"/>
      <c r="C135" s="1144"/>
      <c r="D135" s="1144"/>
    </row>
    <row r="136" spans="1:4" ht="13" x14ac:dyDescent="0.3">
      <c r="A136" s="35"/>
      <c r="B136" s="126"/>
      <c r="C136" s="126"/>
      <c r="D136" s="126"/>
    </row>
    <row r="137" spans="1:4" ht="15.5" x14ac:dyDescent="0.35">
      <c r="A137" s="35" t="s">
        <v>594</v>
      </c>
      <c r="B137" s="1143" t="s">
        <v>1112</v>
      </c>
      <c r="C137" s="1143"/>
      <c r="D137" s="1143"/>
    </row>
    <row r="138" spans="1:4" ht="13" x14ac:dyDescent="0.3">
      <c r="A138" s="35" t="s">
        <v>598</v>
      </c>
      <c r="B138" s="1030" t="s">
        <v>942</v>
      </c>
      <c r="C138" s="1030"/>
      <c r="D138" s="1030"/>
    </row>
    <row r="139" spans="1:4" ht="13" x14ac:dyDescent="0.3">
      <c r="A139" s="35" t="s">
        <v>1076</v>
      </c>
      <c r="B139" s="167">
        <v>-0.05</v>
      </c>
      <c r="C139" s="67" t="s">
        <v>1113</v>
      </c>
      <c r="D139" s="67"/>
    </row>
    <row r="140" spans="1:4" ht="13" x14ac:dyDescent="0.3">
      <c r="A140" s="35" t="s">
        <v>1077</v>
      </c>
      <c r="B140" s="1030" t="s">
        <v>1059</v>
      </c>
      <c r="C140" s="1030"/>
      <c r="D140" s="1030"/>
    </row>
    <row r="141" spans="1:4" ht="28.5" customHeight="1" x14ac:dyDescent="0.25">
      <c r="A141" s="54" t="s">
        <v>1078</v>
      </c>
      <c r="B141" s="1144" t="s">
        <v>1110</v>
      </c>
      <c r="C141" s="1144"/>
      <c r="D141" s="1144"/>
    </row>
    <row r="142" spans="1:4" ht="26.25" customHeight="1" x14ac:dyDescent="0.25">
      <c r="A142" s="54" t="s">
        <v>270</v>
      </c>
      <c r="B142" s="1144" t="s">
        <v>1111</v>
      </c>
      <c r="C142" s="1144"/>
      <c r="D142" s="1144"/>
    </row>
    <row r="143" spans="1:4" ht="13" x14ac:dyDescent="0.3">
      <c r="A143" s="35" t="s">
        <v>274</v>
      </c>
      <c r="B143" s="1144"/>
      <c r="C143" s="1144"/>
      <c r="D143" s="1144"/>
    </row>
    <row r="144" spans="1:4" ht="13.5" customHeight="1" x14ac:dyDescent="0.3">
      <c r="A144" s="35"/>
      <c r="B144" s="126"/>
      <c r="C144" s="126"/>
      <c r="D144" s="126"/>
    </row>
    <row r="145" spans="1:4" ht="18.75" customHeight="1" x14ac:dyDescent="0.35">
      <c r="A145" s="4" t="s">
        <v>594</v>
      </c>
      <c r="B145" s="1136" t="s">
        <v>1114</v>
      </c>
      <c r="C145" s="1136"/>
      <c r="D145" s="1136"/>
    </row>
    <row r="146" spans="1:4" ht="13" x14ac:dyDescent="0.25">
      <c r="A146" s="4" t="s">
        <v>1069</v>
      </c>
      <c r="B146" s="1144"/>
      <c r="C146" s="1144"/>
      <c r="D146" s="1144"/>
    </row>
    <row r="147" spans="1:4" ht="13" x14ac:dyDescent="0.25">
      <c r="A147" s="4" t="s">
        <v>598</v>
      </c>
      <c r="B147" s="1141" t="s">
        <v>206</v>
      </c>
      <c r="C147" s="1141"/>
      <c r="D147" s="1141"/>
    </row>
    <row r="148" spans="1:4" ht="13" x14ac:dyDescent="0.25">
      <c r="A148" s="4" t="s">
        <v>610</v>
      </c>
      <c r="B148" s="126">
        <v>1.01</v>
      </c>
      <c r="C148" s="121"/>
      <c r="D148" s="121"/>
    </row>
    <row r="149" spans="1:4" ht="12.75" customHeight="1" x14ac:dyDescent="0.25">
      <c r="A149" s="5" t="s">
        <v>1102</v>
      </c>
      <c r="B149" s="51" t="s">
        <v>1103</v>
      </c>
      <c r="C149" s="121"/>
      <c r="D149" s="121"/>
    </row>
    <row r="150" spans="1:4" ht="13" x14ac:dyDescent="0.25">
      <c r="A150" s="5" t="s">
        <v>1104</v>
      </c>
      <c r="B150" s="51">
        <v>1</v>
      </c>
      <c r="C150" s="121"/>
      <c r="D150" s="121"/>
    </row>
    <row r="151" spans="1:4" ht="13" x14ac:dyDescent="0.25">
      <c r="A151" s="4" t="s">
        <v>1105</v>
      </c>
      <c r="B151" s="126" t="s">
        <v>1115</v>
      </c>
      <c r="C151" s="121"/>
      <c r="D151" s="121"/>
    </row>
    <row r="152" spans="1:4" ht="13" x14ac:dyDescent="0.25">
      <c r="A152" s="4" t="s">
        <v>1060</v>
      </c>
      <c r="B152" s="1144" t="s">
        <v>1116</v>
      </c>
      <c r="C152" s="1144"/>
      <c r="D152" s="1144"/>
    </row>
    <row r="153" spans="1:4" ht="24.75" customHeight="1" x14ac:dyDescent="0.25">
      <c r="A153" s="5" t="s">
        <v>270</v>
      </c>
      <c r="B153" s="1059" t="s">
        <v>1107</v>
      </c>
      <c r="C153" s="1059"/>
      <c r="D153" s="1059"/>
    </row>
    <row r="154" spans="1:4" ht="13" x14ac:dyDescent="0.25">
      <c r="A154" s="4" t="s">
        <v>274</v>
      </c>
      <c r="B154" s="1059"/>
      <c r="C154" s="1059"/>
      <c r="D154" s="1059"/>
    </row>
    <row r="155" spans="1:4" ht="13" x14ac:dyDescent="0.25">
      <c r="A155" s="4"/>
      <c r="B155" s="162"/>
      <c r="C155" s="162"/>
      <c r="D155" s="162"/>
    </row>
    <row r="156" spans="1:4" s="80" customFormat="1" ht="15.5" x14ac:dyDescent="0.35">
      <c r="A156" s="258" t="s">
        <v>594</v>
      </c>
      <c r="B156" s="1072" t="s">
        <v>1117</v>
      </c>
      <c r="C156" s="1072"/>
      <c r="D156" s="1072"/>
    </row>
    <row r="157" spans="1:4" s="80" customFormat="1" ht="13" x14ac:dyDescent="0.25">
      <c r="A157" s="258" t="s">
        <v>596</v>
      </c>
      <c r="B157" s="1073" t="s">
        <v>1118</v>
      </c>
      <c r="C157" s="1073"/>
      <c r="D157" s="1073"/>
    </row>
    <row r="158" spans="1:4" s="80" customFormat="1" ht="13" x14ac:dyDescent="0.25">
      <c r="A158" s="258" t="s">
        <v>598</v>
      </c>
      <c r="B158" s="1071" t="s">
        <v>206</v>
      </c>
      <c r="C158" s="1071"/>
      <c r="D158" s="1071"/>
    </row>
    <row r="159" spans="1:4" s="80" customFormat="1" ht="13" x14ac:dyDescent="0.25">
      <c r="A159" s="258" t="s">
        <v>600</v>
      </c>
      <c r="B159" s="113"/>
      <c r="C159" s="113"/>
      <c r="D159" s="113"/>
    </row>
    <row r="160" spans="1:4" s="80" customFormat="1" ht="13" x14ac:dyDescent="0.25">
      <c r="A160" s="258" t="s">
        <v>602</v>
      </c>
      <c r="B160" s="1073" t="s">
        <v>1119</v>
      </c>
      <c r="C160" s="1073"/>
      <c r="D160" s="1073"/>
    </row>
    <row r="161" spans="1:4" s="80" customFormat="1" ht="13" x14ac:dyDescent="0.25">
      <c r="A161" s="258" t="s">
        <v>604</v>
      </c>
      <c r="B161" s="85" t="s">
        <v>605</v>
      </c>
      <c r="C161" s="85"/>
      <c r="D161" s="85"/>
    </row>
    <row r="162" spans="1:4" s="80" customFormat="1" ht="13" x14ac:dyDescent="0.25">
      <c r="A162" s="258" t="s">
        <v>608</v>
      </c>
      <c r="B162" s="85" t="s">
        <v>592</v>
      </c>
      <c r="C162" s="85"/>
      <c r="D162" s="85"/>
    </row>
    <row r="163" spans="1:4" s="80" customFormat="1" ht="13" x14ac:dyDescent="0.3">
      <c r="A163" s="258" t="s">
        <v>606</v>
      </c>
      <c r="B163" s="1147" t="s">
        <v>1120</v>
      </c>
      <c r="C163" s="1144"/>
      <c r="D163" s="1144"/>
    </row>
    <row r="164" spans="1:4" s="80" customFormat="1" ht="13" x14ac:dyDescent="0.25">
      <c r="A164" s="258" t="s">
        <v>610</v>
      </c>
      <c r="B164" s="445">
        <v>0.25</v>
      </c>
      <c r="C164" s="115"/>
      <c r="D164" s="85"/>
    </row>
    <row r="165" spans="1:4" s="80" customFormat="1" ht="13" x14ac:dyDescent="0.25">
      <c r="A165" s="394" t="s">
        <v>270</v>
      </c>
      <c r="B165" s="1074" t="s">
        <v>674</v>
      </c>
      <c r="C165" s="1074"/>
      <c r="D165" s="1074"/>
    </row>
    <row r="166" spans="1:4" s="80" customFormat="1" ht="13" x14ac:dyDescent="0.25">
      <c r="A166" s="258" t="s">
        <v>274</v>
      </c>
      <c r="B166" s="1074" t="s">
        <v>1121</v>
      </c>
      <c r="C166" s="1074"/>
      <c r="D166" s="1074"/>
    </row>
    <row r="167" spans="1:4" s="80" customFormat="1" ht="13" x14ac:dyDescent="0.25">
      <c r="A167" s="395"/>
      <c r="B167" s="99"/>
      <c r="C167" s="99"/>
      <c r="D167" s="99"/>
    </row>
    <row r="168" spans="1:4" s="80" customFormat="1" ht="15.75" customHeight="1" x14ac:dyDescent="0.35">
      <c r="A168" s="258" t="s">
        <v>594</v>
      </c>
      <c r="B168" s="1072" t="s">
        <v>1122</v>
      </c>
      <c r="C168" s="1072"/>
      <c r="D168" s="1072"/>
    </row>
    <row r="169" spans="1:4" s="80" customFormat="1" ht="13" x14ac:dyDescent="0.25">
      <c r="A169" s="258" t="s">
        <v>596</v>
      </c>
      <c r="B169" s="1073" t="s">
        <v>1123</v>
      </c>
      <c r="C169" s="1073"/>
      <c r="D169" s="1073"/>
    </row>
    <row r="170" spans="1:4" s="80" customFormat="1" ht="13" x14ac:dyDescent="0.25">
      <c r="A170" s="258" t="s">
        <v>598</v>
      </c>
      <c r="B170" s="1071" t="s">
        <v>206</v>
      </c>
      <c r="C170" s="1071"/>
      <c r="D170" s="1071"/>
    </row>
    <row r="171" spans="1:4" s="80" customFormat="1" ht="13" x14ac:dyDescent="0.25">
      <c r="A171" s="258" t="s">
        <v>600</v>
      </c>
      <c r="B171" s="113"/>
      <c r="C171" s="113"/>
      <c r="D171" s="113"/>
    </row>
    <row r="172" spans="1:4" s="80" customFormat="1" ht="12.75" customHeight="1" x14ac:dyDescent="0.25">
      <c r="A172" s="258" t="s">
        <v>602</v>
      </c>
      <c r="B172" s="1073" t="s">
        <v>1119</v>
      </c>
      <c r="C172" s="1073"/>
      <c r="D172" s="1073"/>
    </row>
    <row r="173" spans="1:4" s="80" customFormat="1" ht="13" x14ac:dyDescent="0.25">
      <c r="A173" s="258" t="s">
        <v>604</v>
      </c>
      <c r="B173" s="85" t="s">
        <v>605</v>
      </c>
      <c r="C173" s="85"/>
      <c r="D173" s="85"/>
    </row>
    <row r="174" spans="1:4" s="80" customFormat="1" ht="13" x14ac:dyDescent="0.25">
      <c r="A174" s="258" t="s">
        <v>608</v>
      </c>
      <c r="B174" s="85" t="s">
        <v>592</v>
      </c>
      <c r="C174" s="85"/>
      <c r="D174" s="85"/>
    </row>
    <row r="175" spans="1:4" s="80" customFormat="1" ht="13" x14ac:dyDescent="0.3">
      <c r="A175" s="258" t="s">
        <v>606</v>
      </c>
      <c r="B175" s="1147" t="s">
        <v>1120</v>
      </c>
      <c r="C175" s="1144"/>
      <c r="D175" s="1144"/>
    </row>
    <row r="176" spans="1:4" s="80" customFormat="1" ht="13" x14ac:dyDescent="0.25">
      <c r="A176" s="258" t="s">
        <v>610</v>
      </c>
      <c r="B176" s="445">
        <v>0.5</v>
      </c>
      <c r="C176" s="115"/>
      <c r="D176" s="85"/>
    </row>
    <row r="177" spans="1:4" s="80" customFormat="1" ht="13" x14ac:dyDescent="0.25">
      <c r="A177" s="394" t="s">
        <v>270</v>
      </c>
      <c r="B177" s="1074" t="s">
        <v>674</v>
      </c>
      <c r="C177" s="1074"/>
      <c r="D177" s="1074"/>
    </row>
    <row r="178" spans="1:4" s="80" customFormat="1" ht="12.75" customHeight="1" x14ac:dyDescent="0.25">
      <c r="A178" s="258" t="s">
        <v>274</v>
      </c>
      <c r="B178" s="1074" t="s">
        <v>1121</v>
      </c>
      <c r="C178" s="1074"/>
      <c r="D178" s="1074"/>
    </row>
    <row r="179" spans="1:4" ht="13" x14ac:dyDescent="0.25">
      <c r="A179" s="4"/>
      <c r="B179" s="149"/>
      <c r="C179" s="149"/>
      <c r="D179" s="149"/>
    </row>
    <row r="180" spans="1:4" s="280" customFormat="1" ht="15.5" x14ac:dyDescent="0.35">
      <c r="A180" s="258" t="s">
        <v>594</v>
      </c>
      <c r="B180" s="1072" t="s">
        <v>1124</v>
      </c>
      <c r="C180" s="1072"/>
      <c r="D180" s="1072"/>
    </row>
    <row r="181" spans="1:4" s="280" customFormat="1" ht="13" x14ac:dyDescent="0.25">
      <c r="A181" s="258" t="s">
        <v>596</v>
      </c>
      <c r="B181" s="85" t="s">
        <v>1125</v>
      </c>
      <c r="C181" s="85"/>
      <c r="D181" s="85"/>
    </row>
    <row r="182" spans="1:4" s="280" customFormat="1" ht="13" x14ac:dyDescent="0.25">
      <c r="A182" s="258" t="s">
        <v>598</v>
      </c>
      <c r="B182" s="1071" t="s">
        <v>206</v>
      </c>
      <c r="C182" s="1071"/>
      <c r="D182" s="1071"/>
    </row>
    <row r="183" spans="1:4" s="280" customFormat="1" ht="13" x14ac:dyDescent="0.25">
      <c r="A183" s="258" t="s">
        <v>600</v>
      </c>
      <c r="B183" s="113"/>
      <c r="C183" s="113"/>
      <c r="D183" s="113"/>
    </row>
    <row r="184" spans="1:4" s="280" customFormat="1" ht="13" x14ac:dyDescent="0.25">
      <c r="A184" s="258" t="s">
        <v>602</v>
      </c>
      <c r="B184" s="81" t="s">
        <v>1119</v>
      </c>
      <c r="C184" s="85"/>
      <c r="D184" s="85"/>
    </row>
    <row r="185" spans="1:4" s="280" customFormat="1" ht="13" x14ac:dyDescent="0.25">
      <c r="A185" s="258" t="s">
        <v>604</v>
      </c>
      <c r="B185" s="85" t="s">
        <v>605</v>
      </c>
      <c r="C185" s="85"/>
      <c r="D185" s="85"/>
    </row>
    <row r="186" spans="1:4" s="280" customFormat="1" ht="39" customHeight="1" x14ac:dyDescent="0.25">
      <c r="A186" s="258" t="s">
        <v>606</v>
      </c>
      <c r="B186" s="1144" t="s">
        <v>1116</v>
      </c>
      <c r="C186" s="1144"/>
      <c r="D186" s="1144"/>
    </row>
    <row r="187" spans="1:4" s="280" customFormat="1" ht="13" x14ac:dyDescent="0.25">
      <c r="A187" s="258" t="s">
        <v>608</v>
      </c>
      <c r="B187" s="85" t="s">
        <v>609</v>
      </c>
      <c r="C187" s="85"/>
      <c r="D187" s="85"/>
    </row>
    <row r="188" spans="1:4" s="280" customFormat="1" ht="13" x14ac:dyDescent="0.25">
      <c r="A188" s="258" t="s">
        <v>610</v>
      </c>
      <c r="B188" s="446">
        <v>-0.02</v>
      </c>
      <c r="C188" s="115"/>
      <c r="D188" s="85"/>
    </row>
    <row r="189" spans="1:4" s="280" customFormat="1" ht="13" x14ac:dyDescent="0.25">
      <c r="A189" s="394" t="s">
        <v>270</v>
      </c>
      <c r="B189" s="1074"/>
      <c r="C189" s="1074"/>
      <c r="D189" s="1074"/>
    </row>
    <row r="190" spans="1:4" s="280" customFormat="1" ht="27.75" customHeight="1" x14ac:dyDescent="0.25">
      <c r="A190" s="258" t="s">
        <v>274</v>
      </c>
      <c r="B190" s="1161" t="s">
        <v>1126</v>
      </c>
      <c r="C190" s="1161"/>
      <c r="D190" s="1161"/>
    </row>
    <row r="191" spans="1:4" s="280" customFormat="1" ht="41.25" customHeight="1" x14ac:dyDescent="0.25">
      <c r="A191" s="258"/>
      <c r="B191" s="281"/>
      <c r="C191" s="281"/>
      <c r="D191" s="281"/>
    </row>
    <row r="192" spans="1:4" ht="15.5" x14ac:dyDescent="0.35">
      <c r="A192" s="35" t="s">
        <v>594</v>
      </c>
      <c r="B192" s="1143" t="s">
        <v>1127</v>
      </c>
      <c r="C192" s="1143"/>
      <c r="D192" s="1143"/>
    </row>
    <row r="193" spans="1:4" ht="13" x14ac:dyDescent="0.3">
      <c r="A193" s="35" t="s">
        <v>598</v>
      </c>
      <c r="B193" s="1040" t="s">
        <v>942</v>
      </c>
      <c r="C193" s="1040"/>
      <c r="D193" s="1040"/>
    </row>
    <row r="194" spans="1:4" ht="13" x14ac:dyDescent="0.3">
      <c r="A194" s="35" t="s">
        <v>1076</v>
      </c>
      <c r="B194" s="28">
        <v>-7.0000000000000007E-2</v>
      </c>
    </row>
    <row r="195" spans="1:4" ht="13" x14ac:dyDescent="0.3">
      <c r="A195" s="35" t="s">
        <v>1077</v>
      </c>
      <c r="B195" s="1040" t="s">
        <v>1059</v>
      </c>
      <c r="C195" s="1040"/>
      <c r="D195" s="1040"/>
    </row>
    <row r="196" spans="1:4" ht="28.5" customHeight="1" x14ac:dyDescent="0.3">
      <c r="A196" s="35" t="s">
        <v>1078</v>
      </c>
      <c r="B196" s="1144" t="s">
        <v>1110</v>
      </c>
      <c r="C196" s="1144"/>
      <c r="D196" s="1144"/>
    </row>
    <row r="197" spans="1:4" ht="13" x14ac:dyDescent="0.25">
      <c r="A197" s="54" t="s">
        <v>270</v>
      </c>
      <c r="B197" s="1145"/>
      <c r="C197" s="1145"/>
      <c r="D197" s="1145"/>
    </row>
    <row r="198" spans="1:4" ht="13" x14ac:dyDescent="0.3">
      <c r="A198" s="35" t="s">
        <v>274</v>
      </c>
      <c r="B198" s="1145"/>
      <c r="C198" s="1145"/>
      <c r="D198" s="1145"/>
    </row>
    <row r="199" spans="1:4" ht="13" x14ac:dyDescent="0.3">
      <c r="A199" s="35"/>
    </row>
    <row r="200" spans="1:4" ht="15.75" customHeight="1" x14ac:dyDescent="0.25">
      <c r="A200" s="8"/>
      <c r="B200" s="148"/>
      <c r="C200" s="148"/>
      <c r="D200" s="148"/>
    </row>
    <row r="201" spans="1:4" ht="15.5" x14ac:dyDescent="0.35">
      <c r="A201" s="163" t="s">
        <v>594</v>
      </c>
      <c r="B201" s="1137" t="s">
        <v>1128</v>
      </c>
      <c r="C201" s="1137"/>
      <c r="D201" s="1137"/>
    </row>
    <row r="202" spans="1:4" ht="13" x14ac:dyDescent="0.25">
      <c r="A202" s="163" t="s">
        <v>598</v>
      </c>
      <c r="B202" s="1138" t="s">
        <v>942</v>
      </c>
      <c r="C202" s="1138"/>
      <c r="D202" s="1138"/>
    </row>
    <row r="203" spans="1:4" ht="13" x14ac:dyDescent="0.25">
      <c r="A203" s="163" t="s">
        <v>610</v>
      </c>
      <c r="B203" s="168">
        <v>1.5</v>
      </c>
      <c r="C203" s="165"/>
      <c r="D203" s="165"/>
    </row>
    <row r="204" spans="1:4" ht="13" x14ac:dyDescent="0.25">
      <c r="A204" s="163" t="s">
        <v>1060</v>
      </c>
      <c r="B204" s="1146" t="s">
        <v>1129</v>
      </c>
      <c r="C204" s="1146"/>
      <c r="D204" s="1146"/>
    </row>
    <row r="205" spans="1:4" ht="30" customHeight="1" x14ac:dyDescent="0.25">
      <c r="A205" s="166" t="s">
        <v>270</v>
      </c>
      <c r="B205" s="1135" t="s">
        <v>1130</v>
      </c>
      <c r="C205" s="1135"/>
      <c r="D205" s="1135"/>
    </row>
    <row r="206" spans="1:4" ht="13" x14ac:dyDescent="0.25">
      <c r="A206" s="163" t="s">
        <v>274</v>
      </c>
      <c r="B206" s="1135"/>
      <c r="C206" s="1135"/>
      <c r="D206" s="1135"/>
    </row>
    <row r="207" spans="1:4" ht="13" x14ac:dyDescent="0.3">
      <c r="A207" s="35"/>
    </row>
    <row r="208" spans="1:4" ht="13" x14ac:dyDescent="0.25">
      <c r="A208" s="166"/>
      <c r="B208" s="169"/>
      <c r="C208" s="169"/>
      <c r="D208" s="169"/>
    </row>
  </sheetData>
  <customSheetViews>
    <customSheetView guid="{0351F9C7-7403-460E-BE2C-296F078AE5FB}" fitToPage="1" showRuler="0" topLeftCell="A45">
      <selection activeCell="A54" sqref="A54:C54"/>
      <pageMargins left="0" right="0" top="0" bottom="0" header="0" footer="0"/>
      <pageSetup scale="81" fitToHeight="5" orientation="portrait" r:id="rId1"/>
      <headerFooter alignWithMargins="0"/>
    </customSheetView>
  </customSheetViews>
  <mergeCells count="127">
    <mergeCell ref="B182:D182"/>
    <mergeCell ref="B186:D186"/>
    <mergeCell ref="B189:D189"/>
    <mergeCell ref="B190:D190"/>
    <mergeCell ref="B195:D195"/>
    <mergeCell ref="B196:D196"/>
    <mergeCell ref="B197:D197"/>
    <mergeCell ref="B198:D198"/>
    <mergeCell ref="B152:D152"/>
    <mergeCell ref="B153:D153"/>
    <mergeCell ref="B154:D154"/>
    <mergeCell ref="B192:D192"/>
    <mergeCell ref="B193:D193"/>
    <mergeCell ref="B156:D156"/>
    <mergeCell ref="B157:D157"/>
    <mergeCell ref="B158:D158"/>
    <mergeCell ref="B160:D160"/>
    <mergeCell ref="B163:D163"/>
    <mergeCell ref="B165:D165"/>
    <mergeCell ref="B166:D166"/>
    <mergeCell ref="B168:D168"/>
    <mergeCell ref="B169:D169"/>
    <mergeCell ref="B170:D170"/>
    <mergeCell ref="B172:D172"/>
    <mergeCell ref="B119:D119"/>
    <mergeCell ref="B120:D120"/>
    <mergeCell ref="B125:D125"/>
    <mergeCell ref="B126:D126"/>
    <mergeCell ref="B142:D142"/>
    <mergeCell ref="B143:D143"/>
    <mergeCell ref="B145:D145"/>
    <mergeCell ref="B146:D146"/>
    <mergeCell ref="B147:D147"/>
    <mergeCell ref="B135:D135"/>
    <mergeCell ref="B137:D137"/>
    <mergeCell ref="B138:D138"/>
    <mergeCell ref="B140:D140"/>
    <mergeCell ref="B141:D141"/>
    <mergeCell ref="B130:D130"/>
    <mergeCell ref="B132:D132"/>
    <mergeCell ref="B133:D133"/>
    <mergeCell ref="B134:D134"/>
    <mergeCell ref="B127:D127"/>
    <mergeCell ref="B53:D53"/>
    <mergeCell ref="A16:C16"/>
    <mergeCell ref="A17:D17"/>
    <mergeCell ref="B55:D55"/>
    <mergeCell ref="A22:C22"/>
    <mergeCell ref="A23:D23"/>
    <mergeCell ref="A24:C24"/>
    <mergeCell ref="A25:D25"/>
    <mergeCell ref="A26:C26"/>
    <mergeCell ref="A33:D33"/>
    <mergeCell ref="A34:C34"/>
    <mergeCell ref="A29:D29"/>
    <mergeCell ref="A35:D35"/>
    <mergeCell ref="A51:D51"/>
    <mergeCell ref="B43:D43"/>
    <mergeCell ref="B44:D44"/>
    <mergeCell ref="B52:D52"/>
    <mergeCell ref="B49:D49"/>
    <mergeCell ref="B47:D47"/>
    <mergeCell ref="A1:D1"/>
    <mergeCell ref="B48:D48"/>
    <mergeCell ref="A30:C30"/>
    <mergeCell ref="A31:D31"/>
    <mergeCell ref="A36:C36"/>
    <mergeCell ref="A37:D37"/>
    <mergeCell ref="A38:C38"/>
    <mergeCell ref="A39:D39"/>
    <mergeCell ref="A9:D9"/>
    <mergeCell ref="A13:D13"/>
    <mergeCell ref="A10:C10"/>
    <mergeCell ref="A27:D27"/>
    <mergeCell ref="A41:D41"/>
    <mergeCell ref="A14:C14"/>
    <mergeCell ref="A15:D15"/>
    <mergeCell ref="B42:D42"/>
    <mergeCell ref="A21:D21"/>
    <mergeCell ref="A12:C12"/>
    <mergeCell ref="A18:C18"/>
    <mergeCell ref="A19:D19"/>
    <mergeCell ref="A11:D11"/>
    <mergeCell ref="A28:C28"/>
    <mergeCell ref="B57:D57"/>
    <mergeCell ref="B66:D66"/>
    <mergeCell ref="B67:D67"/>
    <mergeCell ref="B61:D61"/>
    <mergeCell ref="B116:D116"/>
    <mergeCell ref="B77:D77"/>
    <mergeCell ref="B80:D80"/>
    <mergeCell ref="B58:D58"/>
    <mergeCell ref="B69:D69"/>
    <mergeCell ref="B70:D70"/>
    <mergeCell ref="B72:D72"/>
    <mergeCell ref="B73:D73"/>
    <mergeCell ref="B78:D78"/>
    <mergeCell ref="B75:D75"/>
    <mergeCell ref="B74:D74"/>
    <mergeCell ref="B60:D60"/>
    <mergeCell ref="B62:D62"/>
    <mergeCell ref="B63:D63"/>
    <mergeCell ref="B65:D65"/>
    <mergeCell ref="B205:D205"/>
    <mergeCell ref="B206:D206"/>
    <mergeCell ref="B81:D81"/>
    <mergeCell ref="B85:D85"/>
    <mergeCell ref="B201:D201"/>
    <mergeCell ref="B202:D202"/>
    <mergeCell ref="B106:D106"/>
    <mergeCell ref="B108:D108"/>
    <mergeCell ref="B107:D107"/>
    <mergeCell ref="B86:D86"/>
    <mergeCell ref="B88:D88"/>
    <mergeCell ref="B82:D82"/>
    <mergeCell ref="B110:D110"/>
    <mergeCell ref="B111:D111"/>
    <mergeCell ref="B113:D113"/>
    <mergeCell ref="B114:D114"/>
    <mergeCell ref="B115:D115"/>
    <mergeCell ref="B129:D129"/>
    <mergeCell ref="B118:D118"/>
    <mergeCell ref="B204:D204"/>
    <mergeCell ref="B175:D175"/>
    <mergeCell ref="B177:D177"/>
    <mergeCell ref="B178:D178"/>
    <mergeCell ref="B180:D180"/>
  </mergeCells>
  <phoneticPr fontId="13" type="noConversion"/>
  <printOptions gridLines="1"/>
  <pageMargins left="0.75" right="0.75" top="1" bottom="1" header="0.5" footer="0.5"/>
  <pageSetup scale="79" fitToHeight="5" orientation="portrait" r:id="rId2"/>
  <headerFooter alignWithMargins="0">
    <oddFooter>&amp;F</oddFooter>
  </headerFooter>
  <rowBreaks count="2" manualBreakCount="2">
    <brk id="49" max="16383" man="1"/>
    <brk id="109" max="16383" man="1"/>
  </rowBreak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pageSetUpPr fitToPage="1"/>
  </sheetPr>
  <dimension ref="A1:Z111"/>
  <sheetViews>
    <sheetView tabSelected="1" zoomScale="85" zoomScaleNormal="85" zoomScaleSheetLayoutView="70" workbookViewId="0">
      <selection activeCell="K1" sqref="K1"/>
    </sheetView>
  </sheetViews>
  <sheetFormatPr defaultColWidth="9.26953125" defaultRowHeight="12.5" x14ac:dyDescent="0.25"/>
  <cols>
    <col min="1" max="1" width="34.08984375" customWidth="1"/>
    <col min="2" max="2" width="6.54296875" style="20" customWidth="1"/>
    <col min="3" max="3" width="5.26953125" style="20" customWidth="1"/>
    <col min="4" max="4" width="7" style="20" customWidth="1"/>
    <col min="5" max="5" width="19.81640625" style="49" bestFit="1" customWidth="1"/>
    <col min="6" max="6" width="14.26953125" customWidth="1"/>
    <col min="7" max="7" width="35" customWidth="1"/>
    <col min="8" max="8" width="6" style="296" customWidth="1"/>
    <col min="9" max="9" width="11.54296875" style="282" customWidth="1"/>
    <col min="10" max="10" width="9.26953125" style="282" customWidth="1"/>
    <col min="11" max="11" width="21.90625" style="282" customWidth="1"/>
    <col min="12" max="12" width="10.26953125" style="282" customWidth="1"/>
    <col min="13" max="13" width="5.26953125" style="27" customWidth="1"/>
    <col min="14" max="14" width="5.36328125" style="27" customWidth="1"/>
    <col min="15" max="15" width="4" style="20" customWidth="1"/>
    <col min="16" max="16" width="4.54296875" style="20" customWidth="1"/>
    <col min="17" max="17" width="4.453125" style="20" customWidth="1"/>
    <col min="18" max="18" width="3.7265625" style="20" customWidth="1"/>
    <col min="19" max="20" width="6.453125" style="20" customWidth="1"/>
    <col min="21" max="21" width="6.453125" style="77" customWidth="1"/>
    <col min="22" max="22" width="9.26953125" style="750"/>
  </cols>
  <sheetData>
    <row r="1" spans="1:23" s="294" customFormat="1" ht="39" x14ac:dyDescent="0.25">
      <c r="A1" s="473" t="s">
        <v>1131</v>
      </c>
      <c r="B1" s="285" t="s">
        <v>518</v>
      </c>
      <c r="C1" s="285" t="s">
        <v>1132</v>
      </c>
      <c r="D1" s="285" t="s">
        <v>1133</v>
      </c>
      <c r="E1" s="474" t="s">
        <v>1134</v>
      </c>
      <c r="F1" s="473" t="s">
        <v>1135</v>
      </c>
      <c r="G1" s="473" t="s">
        <v>1136</v>
      </c>
      <c r="H1" s="475" t="s">
        <v>1137</v>
      </c>
      <c r="I1" s="476" t="s">
        <v>1138</v>
      </c>
      <c r="J1" s="476" t="s">
        <v>1139</v>
      </c>
      <c r="K1" s="476" t="s">
        <v>1140</v>
      </c>
      <c r="L1" s="476" t="s">
        <v>1141</v>
      </c>
      <c r="M1" s="475" t="s">
        <v>1142</v>
      </c>
      <c r="N1" s="475" t="s">
        <v>1143</v>
      </c>
      <c r="O1" s="285" t="s">
        <v>1144</v>
      </c>
      <c r="P1" s="285" t="s">
        <v>1145</v>
      </c>
      <c r="Q1" s="285" t="s">
        <v>1146</v>
      </c>
      <c r="R1" s="285" t="s">
        <v>1147</v>
      </c>
      <c r="S1" s="285" t="s">
        <v>1148</v>
      </c>
      <c r="T1" s="285" t="s">
        <v>1149</v>
      </c>
      <c r="U1" s="285" t="s">
        <v>1150</v>
      </c>
      <c r="V1" s="285" t="s">
        <v>1151</v>
      </c>
    </row>
    <row r="2" spans="1:23" s="29" customFormat="1" x14ac:dyDescent="0.25">
      <c r="A2" s="843" t="s">
        <v>1152</v>
      </c>
      <c r="B2" s="853" t="s">
        <v>29</v>
      </c>
      <c r="C2" s="853"/>
      <c r="D2" s="853"/>
      <c r="E2" s="843" t="s">
        <v>1153</v>
      </c>
      <c r="F2" s="843" t="s">
        <v>1154</v>
      </c>
      <c r="G2" s="862" t="s">
        <v>1155</v>
      </c>
      <c r="H2" s="845">
        <v>30</v>
      </c>
      <c r="I2" s="854">
        <v>45200</v>
      </c>
      <c r="J2" s="854">
        <v>45915</v>
      </c>
      <c r="K2" s="854">
        <v>45200</v>
      </c>
      <c r="L2" s="854">
        <v>45931</v>
      </c>
      <c r="M2" s="855" t="s">
        <v>29</v>
      </c>
      <c r="N2" s="847"/>
      <c r="O2" s="855" t="s">
        <v>29</v>
      </c>
      <c r="P2" s="855" t="s">
        <v>29</v>
      </c>
      <c r="Q2" s="855" t="s">
        <v>29</v>
      </c>
      <c r="R2" s="855" t="s">
        <v>29</v>
      </c>
      <c r="S2" s="855" t="s">
        <v>29</v>
      </c>
      <c r="T2" s="855" t="s">
        <v>29</v>
      </c>
      <c r="U2" s="841" t="s">
        <v>29</v>
      </c>
      <c r="V2" s="848">
        <v>5141548</v>
      </c>
    </row>
    <row r="3" spans="1:23" s="29" customFormat="1" x14ac:dyDescent="0.25">
      <c r="A3" s="834" t="s">
        <v>1156</v>
      </c>
      <c r="B3" s="856" t="s">
        <v>29</v>
      </c>
      <c r="C3" s="856"/>
      <c r="D3" s="856"/>
      <c r="E3" s="834" t="s">
        <v>1157</v>
      </c>
      <c r="F3" s="834" t="s">
        <v>1154</v>
      </c>
      <c r="G3" s="869" t="s">
        <v>1155</v>
      </c>
      <c r="H3" s="857">
        <v>30</v>
      </c>
      <c r="I3" s="859">
        <v>45915</v>
      </c>
      <c r="J3" s="859"/>
      <c r="K3" s="859">
        <v>45931</v>
      </c>
      <c r="L3" s="859"/>
      <c r="M3" s="858" t="s">
        <v>29</v>
      </c>
      <c r="N3" s="838"/>
      <c r="O3" s="858" t="s">
        <v>29</v>
      </c>
      <c r="P3" s="858" t="s">
        <v>29</v>
      </c>
      <c r="Q3" s="858" t="s">
        <v>29</v>
      </c>
      <c r="R3" s="858" t="s">
        <v>29</v>
      </c>
      <c r="S3" s="858" t="s">
        <v>29</v>
      </c>
      <c r="T3" s="858" t="s">
        <v>29</v>
      </c>
      <c r="U3" s="831" t="s">
        <v>29</v>
      </c>
      <c r="V3" s="839">
        <v>5142504</v>
      </c>
    </row>
    <row r="4" spans="1:23" s="29" customFormat="1" x14ac:dyDescent="0.25">
      <c r="A4" s="894" t="s">
        <v>1158</v>
      </c>
      <c r="B4" s="895" t="s">
        <v>29</v>
      </c>
      <c r="C4" s="895"/>
      <c r="D4" s="895"/>
      <c r="E4" s="896" t="s">
        <v>1159</v>
      </c>
      <c r="F4" s="896" t="s">
        <v>1160</v>
      </c>
      <c r="G4" s="897" t="s">
        <v>1161</v>
      </c>
      <c r="H4" s="898">
        <v>130</v>
      </c>
      <c r="I4" s="899">
        <v>46054</v>
      </c>
      <c r="J4" s="899"/>
      <c r="K4" s="899">
        <v>46082</v>
      </c>
      <c r="L4" s="899"/>
      <c r="M4" s="900" t="s">
        <v>29</v>
      </c>
      <c r="N4" s="901"/>
      <c r="O4" s="900" t="s">
        <v>29</v>
      </c>
      <c r="P4" s="900" t="s">
        <v>29</v>
      </c>
      <c r="Q4" s="900" t="s">
        <v>29</v>
      </c>
      <c r="R4" s="900" t="s">
        <v>29</v>
      </c>
      <c r="S4" s="900" t="s">
        <v>29</v>
      </c>
      <c r="T4" s="900"/>
      <c r="U4" s="902" t="s">
        <v>29</v>
      </c>
      <c r="V4" s="903">
        <v>5142904</v>
      </c>
    </row>
    <row r="5" spans="1:23" s="67" customFormat="1" x14ac:dyDescent="0.25">
      <c r="A5" s="812" t="s">
        <v>1162</v>
      </c>
      <c r="B5" s="673" t="s">
        <v>29</v>
      </c>
      <c r="C5" s="673"/>
      <c r="D5" s="673"/>
      <c r="E5" s="653" t="s">
        <v>1163</v>
      </c>
      <c r="F5" s="653" t="s">
        <v>1160</v>
      </c>
      <c r="G5" s="655" t="s">
        <v>1161</v>
      </c>
      <c r="H5" s="656">
        <v>130</v>
      </c>
      <c r="I5" s="657">
        <v>45200</v>
      </c>
      <c r="J5" s="657">
        <v>45627</v>
      </c>
      <c r="K5" s="657">
        <v>45200</v>
      </c>
      <c r="L5" s="657">
        <v>45658</v>
      </c>
      <c r="M5" s="658" t="s">
        <v>29</v>
      </c>
      <c r="N5" s="659"/>
      <c r="O5" s="658" t="s">
        <v>29</v>
      </c>
      <c r="P5" s="658" t="s">
        <v>29</v>
      </c>
      <c r="Q5" s="658" t="s">
        <v>29</v>
      </c>
      <c r="R5" s="658" t="s">
        <v>29</v>
      </c>
      <c r="S5" s="658" t="s">
        <v>29</v>
      </c>
      <c r="T5" s="658" t="s">
        <v>1164</v>
      </c>
      <c r="U5" s="660" t="s">
        <v>29</v>
      </c>
      <c r="V5" s="661">
        <v>5141547</v>
      </c>
    </row>
    <row r="6" spans="1:23" s="67" customFormat="1" x14ac:dyDescent="0.25">
      <c r="A6" s="904" t="s">
        <v>1165</v>
      </c>
      <c r="B6" s="905" t="s">
        <v>29</v>
      </c>
      <c r="C6" s="905"/>
      <c r="D6" s="905"/>
      <c r="E6" s="906" t="s">
        <v>1166</v>
      </c>
      <c r="F6" s="906" t="s">
        <v>1160</v>
      </c>
      <c r="G6" s="907" t="s">
        <v>1161</v>
      </c>
      <c r="H6" s="908">
        <v>130</v>
      </c>
      <c r="I6" s="909">
        <v>45627</v>
      </c>
      <c r="J6" s="909">
        <v>46054</v>
      </c>
      <c r="K6" s="909">
        <v>45658</v>
      </c>
      <c r="L6" s="909">
        <v>46082</v>
      </c>
      <c r="M6" s="910" t="s">
        <v>29</v>
      </c>
      <c r="N6" s="911"/>
      <c r="O6" s="910" t="s">
        <v>29</v>
      </c>
      <c r="P6" s="910" t="s">
        <v>29</v>
      </c>
      <c r="Q6" s="910" t="s">
        <v>29</v>
      </c>
      <c r="R6" s="910" t="s">
        <v>29</v>
      </c>
      <c r="S6" s="910" t="s">
        <v>29</v>
      </c>
      <c r="T6" s="910"/>
      <c r="U6" s="912" t="s">
        <v>29</v>
      </c>
      <c r="V6" s="913">
        <v>5141980</v>
      </c>
    </row>
    <row r="7" spans="1:23" s="67" customFormat="1" ht="13.5" customHeight="1" x14ac:dyDescent="0.25">
      <c r="A7" s="644" t="s">
        <v>1167</v>
      </c>
      <c r="B7" s="645" t="s">
        <v>29</v>
      </c>
      <c r="C7" s="645"/>
      <c r="D7" s="645"/>
      <c r="E7" s="644" t="s">
        <v>1168</v>
      </c>
      <c r="F7" s="644" t="s">
        <v>1169</v>
      </c>
      <c r="G7" s="646" t="s">
        <v>1170</v>
      </c>
      <c r="H7" s="647">
        <v>220</v>
      </c>
      <c r="I7" s="648">
        <v>45627</v>
      </c>
      <c r="J7" s="648"/>
      <c r="K7" s="648">
        <v>45658</v>
      </c>
      <c r="L7" s="648"/>
      <c r="M7" s="649" t="s">
        <v>29</v>
      </c>
      <c r="N7" s="650"/>
      <c r="O7" s="649" t="s">
        <v>29</v>
      </c>
      <c r="P7" s="649" t="s">
        <v>29</v>
      </c>
      <c r="Q7" s="649" t="s">
        <v>29</v>
      </c>
      <c r="R7" s="649" t="s">
        <v>29</v>
      </c>
      <c r="S7" s="649" t="s">
        <v>29</v>
      </c>
      <c r="T7" s="649"/>
      <c r="U7" s="651" t="s">
        <v>29</v>
      </c>
      <c r="V7" s="652">
        <v>5141857</v>
      </c>
    </row>
    <row r="8" spans="1:23" s="29" customFormat="1" ht="12.75" customHeight="1" x14ac:dyDescent="0.25">
      <c r="A8" s="653" t="s">
        <v>1167</v>
      </c>
      <c r="B8" s="654" t="s">
        <v>29</v>
      </c>
      <c r="C8" s="654"/>
      <c r="D8" s="654"/>
      <c r="E8" s="653" t="s">
        <v>1171</v>
      </c>
      <c r="F8" s="653" t="s">
        <v>1169</v>
      </c>
      <c r="G8" s="655" t="s">
        <v>1170</v>
      </c>
      <c r="H8" s="656">
        <v>220</v>
      </c>
      <c r="I8" s="657">
        <v>45200</v>
      </c>
      <c r="J8" s="657">
        <v>45627</v>
      </c>
      <c r="K8" s="657">
        <v>45200</v>
      </c>
      <c r="L8" s="657">
        <v>45658</v>
      </c>
      <c r="M8" s="658" t="s">
        <v>29</v>
      </c>
      <c r="N8" s="659"/>
      <c r="O8" s="658" t="s">
        <v>29</v>
      </c>
      <c r="P8" s="658" t="s">
        <v>29</v>
      </c>
      <c r="Q8" s="658" t="s">
        <v>29</v>
      </c>
      <c r="R8" s="658" t="s">
        <v>29</v>
      </c>
      <c r="S8" s="658" t="s">
        <v>29</v>
      </c>
      <c r="T8" s="658"/>
      <c r="U8" s="660" t="s">
        <v>29</v>
      </c>
      <c r="V8" s="661">
        <v>5141478</v>
      </c>
    </row>
    <row r="9" spans="1:23" s="67" customFormat="1" ht="12.75" customHeight="1" x14ac:dyDescent="0.25">
      <c r="A9" s="644" t="s">
        <v>1172</v>
      </c>
      <c r="B9" s="645" t="s">
        <v>29</v>
      </c>
      <c r="C9" s="644"/>
      <c r="D9" s="644"/>
      <c r="E9" s="644" t="s">
        <v>1173</v>
      </c>
      <c r="F9" s="644" t="s">
        <v>1174</v>
      </c>
      <c r="G9" s="646" t="s">
        <v>1175</v>
      </c>
      <c r="H9" s="647">
        <v>180</v>
      </c>
      <c r="I9" s="676">
        <v>45627</v>
      </c>
      <c r="J9" s="677"/>
      <c r="K9" s="676">
        <v>45658</v>
      </c>
      <c r="L9" s="677"/>
      <c r="M9" s="651" t="s">
        <v>29</v>
      </c>
      <c r="N9" s="651"/>
      <c r="O9" s="678" t="s">
        <v>29</v>
      </c>
      <c r="P9" s="678" t="s">
        <v>29</v>
      </c>
      <c r="Q9" s="678" t="s">
        <v>29</v>
      </c>
      <c r="R9" s="678" t="s">
        <v>29</v>
      </c>
      <c r="S9" s="678" t="s">
        <v>29</v>
      </c>
      <c r="T9" s="678"/>
      <c r="U9" s="651" t="s">
        <v>29</v>
      </c>
      <c r="V9" s="749">
        <v>5141863</v>
      </c>
      <c r="W9" s="29"/>
    </row>
    <row r="10" spans="1:23" s="29" customFormat="1" ht="25" x14ac:dyDescent="0.25">
      <c r="A10" s="653" t="s">
        <v>1172</v>
      </c>
      <c r="B10" s="654" t="s">
        <v>29</v>
      </c>
      <c r="C10" s="653"/>
      <c r="D10" s="653"/>
      <c r="E10" s="653" t="s">
        <v>1176</v>
      </c>
      <c r="F10" s="653" t="s">
        <v>1174</v>
      </c>
      <c r="G10" s="655" t="s">
        <v>1175</v>
      </c>
      <c r="H10" s="656">
        <v>180</v>
      </c>
      <c r="I10" s="679">
        <v>45200</v>
      </c>
      <c r="J10" s="680">
        <v>45627</v>
      </c>
      <c r="K10" s="679">
        <v>45200</v>
      </c>
      <c r="L10" s="680">
        <v>45658</v>
      </c>
      <c r="M10" s="660" t="s">
        <v>29</v>
      </c>
      <c r="N10" s="660"/>
      <c r="O10" s="681" t="s">
        <v>29</v>
      </c>
      <c r="P10" s="681" t="s">
        <v>29</v>
      </c>
      <c r="Q10" s="681" t="s">
        <v>29</v>
      </c>
      <c r="R10" s="681" t="s">
        <v>29</v>
      </c>
      <c r="S10" s="681" t="s">
        <v>29</v>
      </c>
      <c r="T10" s="681"/>
      <c r="U10" s="660" t="s">
        <v>29</v>
      </c>
      <c r="V10" s="682">
        <v>5141479</v>
      </c>
    </row>
    <row r="11" spans="1:23" s="67" customFormat="1" ht="25" x14ac:dyDescent="0.25">
      <c r="A11" s="644" t="s">
        <v>1177</v>
      </c>
      <c r="B11" s="645" t="s">
        <v>29</v>
      </c>
      <c r="C11" s="645"/>
      <c r="D11" s="645"/>
      <c r="E11" s="644" t="s">
        <v>1178</v>
      </c>
      <c r="F11" s="644" t="s">
        <v>1179</v>
      </c>
      <c r="G11" s="646" t="s">
        <v>1180</v>
      </c>
      <c r="H11" s="647">
        <v>350</v>
      </c>
      <c r="I11" s="648">
        <v>45627</v>
      </c>
      <c r="J11" s="648"/>
      <c r="K11" s="648">
        <v>45658</v>
      </c>
      <c r="L11" s="648"/>
      <c r="M11" s="649" t="s">
        <v>29</v>
      </c>
      <c r="N11" s="650"/>
      <c r="O11" s="649" t="s">
        <v>29</v>
      </c>
      <c r="P11" s="649" t="s">
        <v>29</v>
      </c>
      <c r="Q11" s="649"/>
      <c r="R11" s="649" t="s">
        <v>29</v>
      </c>
      <c r="S11" s="669"/>
      <c r="T11" s="669"/>
      <c r="U11" s="651" t="s">
        <v>29</v>
      </c>
      <c r="V11" s="652">
        <v>5141864</v>
      </c>
      <c r="W11" s="29"/>
    </row>
    <row r="12" spans="1:23" s="67" customFormat="1" ht="25" x14ac:dyDescent="0.25">
      <c r="A12" s="653" t="s">
        <v>1177</v>
      </c>
      <c r="B12" s="654" t="s">
        <v>29</v>
      </c>
      <c r="C12" s="654"/>
      <c r="D12" s="654"/>
      <c r="E12" s="653" t="s">
        <v>1181</v>
      </c>
      <c r="F12" s="653" t="s">
        <v>1179</v>
      </c>
      <c r="G12" s="655" t="s">
        <v>1180</v>
      </c>
      <c r="H12" s="656">
        <v>350</v>
      </c>
      <c r="I12" s="657">
        <v>45200</v>
      </c>
      <c r="J12" s="657">
        <v>45627</v>
      </c>
      <c r="K12" s="657">
        <v>45200</v>
      </c>
      <c r="L12" s="657">
        <v>45658</v>
      </c>
      <c r="M12" s="658" t="s">
        <v>29</v>
      </c>
      <c r="N12" s="659"/>
      <c r="O12" s="658" t="s">
        <v>29</v>
      </c>
      <c r="P12" s="658" t="s">
        <v>29</v>
      </c>
      <c r="Q12" s="658"/>
      <c r="R12" s="658" t="s">
        <v>29</v>
      </c>
      <c r="S12" s="673"/>
      <c r="T12" s="673"/>
      <c r="U12" s="660" t="s">
        <v>29</v>
      </c>
      <c r="V12" s="661">
        <v>5141544</v>
      </c>
    </row>
    <row r="13" spans="1:23" s="67" customFormat="1" ht="25" x14ac:dyDescent="0.25">
      <c r="A13" s="644" t="s">
        <v>1182</v>
      </c>
      <c r="B13" s="645" t="s">
        <v>29</v>
      </c>
      <c r="C13" s="645"/>
      <c r="D13" s="645"/>
      <c r="E13" s="644" t="s">
        <v>1183</v>
      </c>
      <c r="F13" s="644" t="s">
        <v>1184</v>
      </c>
      <c r="G13" s="644" t="s">
        <v>1180</v>
      </c>
      <c r="H13" s="647">
        <v>360</v>
      </c>
      <c r="I13" s="648">
        <v>45627</v>
      </c>
      <c r="J13" s="648"/>
      <c r="K13" s="648">
        <v>45658</v>
      </c>
      <c r="L13" s="648"/>
      <c r="M13" s="649" t="s">
        <v>29</v>
      </c>
      <c r="N13" s="650"/>
      <c r="O13" s="649" t="s">
        <v>29</v>
      </c>
      <c r="P13" s="649" t="s">
        <v>29</v>
      </c>
      <c r="Q13" s="649" t="s">
        <v>29</v>
      </c>
      <c r="R13" s="649" t="s">
        <v>29</v>
      </c>
      <c r="S13" s="669"/>
      <c r="T13" s="669"/>
      <c r="U13" s="651" t="s">
        <v>29</v>
      </c>
      <c r="V13" s="652">
        <v>5141859</v>
      </c>
      <c r="W13" s="29"/>
    </row>
    <row r="14" spans="1:23" s="477" customFormat="1" ht="25" x14ac:dyDescent="0.25">
      <c r="A14" s="653" t="s">
        <v>1182</v>
      </c>
      <c r="B14" s="654" t="s">
        <v>29</v>
      </c>
      <c r="C14" s="654"/>
      <c r="D14" s="654"/>
      <c r="E14" s="653" t="s">
        <v>1185</v>
      </c>
      <c r="F14" s="653" t="s">
        <v>1184</v>
      </c>
      <c r="G14" s="653" t="s">
        <v>1180</v>
      </c>
      <c r="H14" s="656">
        <v>360</v>
      </c>
      <c r="I14" s="657">
        <v>45200</v>
      </c>
      <c r="J14" s="657">
        <v>45627</v>
      </c>
      <c r="K14" s="657">
        <v>45200</v>
      </c>
      <c r="L14" s="657">
        <v>45658</v>
      </c>
      <c r="M14" s="658" t="s">
        <v>29</v>
      </c>
      <c r="N14" s="659"/>
      <c r="O14" s="658" t="s">
        <v>29</v>
      </c>
      <c r="P14" s="658" t="s">
        <v>29</v>
      </c>
      <c r="Q14" s="658" t="s">
        <v>29</v>
      </c>
      <c r="R14" s="658" t="s">
        <v>29</v>
      </c>
      <c r="S14" s="673"/>
      <c r="T14" s="673" t="s">
        <v>1164</v>
      </c>
      <c r="U14" s="660" t="s">
        <v>29</v>
      </c>
      <c r="V14" s="661">
        <v>5141481</v>
      </c>
    </row>
    <row r="15" spans="1:23" s="477" customFormat="1" ht="25" x14ac:dyDescent="0.25">
      <c r="A15" s="644" t="s">
        <v>1186</v>
      </c>
      <c r="B15" s="645" t="s">
        <v>29</v>
      </c>
      <c r="C15" s="645"/>
      <c r="D15" s="645"/>
      <c r="E15" s="644" t="s">
        <v>1187</v>
      </c>
      <c r="F15" s="644" t="s">
        <v>1188</v>
      </c>
      <c r="G15" s="646" t="s">
        <v>1189</v>
      </c>
      <c r="H15" s="647">
        <v>330</v>
      </c>
      <c r="I15" s="648">
        <v>45627</v>
      </c>
      <c r="J15" s="648"/>
      <c r="K15" s="648">
        <v>45658</v>
      </c>
      <c r="L15" s="648"/>
      <c r="M15" s="649" t="s">
        <v>29</v>
      </c>
      <c r="N15" s="650"/>
      <c r="O15" s="649" t="s">
        <v>29</v>
      </c>
      <c r="P15" s="649" t="s">
        <v>29</v>
      </c>
      <c r="Q15" s="649" t="s">
        <v>29</v>
      </c>
      <c r="R15" s="649" t="s">
        <v>29</v>
      </c>
      <c r="S15" s="649" t="s">
        <v>29</v>
      </c>
      <c r="T15" s="649"/>
      <c r="U15" s="651" t="s">
        <v>29</v>
      </c>
      <c r="V15" s="652">
        <v>5141865</v>
      </c>
    </row>
    <row r="16" spans="1:23" s="29" customFormat="1" ht="25" x14ac:dyDescent="0.25">
      <c r="A16" s="653" t="s">
        <v>1186</v>
      </c>
      <c r="B16" s="654" t="s">
        <v>29</v>
      </c>
      <c r="C16" s="654"/>
      <c r="D16" s="654"/>
      <c r="E16" s="653" t="s">
        <v>1190</v>
      </c>
      <c r="F16" s="653" t="s">
        <v>1188</v>
      </c>
      <c r="G16" s="655" t="s">
        <v>1189</v>
      </c>
      <c r="H16" s="656">
        <v>330</v>
      </c>
      <c r="I16" s="657">
        <v>45200</v>
      </c>
      <c r="J16" s="657">
        <v>45627</v>
      </c>
      <c r="K16" s="657">
        <v>45200</v>
      </c>
      <c r="L16" s="657">
        <v>45658</v>
      </c>
      <c r="M16" s="658" t="s">
        <v>29</v>
      </c>
      <c r="N16" s="659"/>
      <c r="O16" s="658" t="s">
        <v>29</v>
      </c>
      <c r="P16" s="658" t="s">
        <v>29</v>
      </c>
      <c r="Q16" s="658" t="s">
        <v>29</v>
      </c>
      <c r="R16" s="658" t="s">
        <v>29</v>
      </c>
      <c r="S16" s="658" t="s">
        <v>29</v>
      </c>
      <c r="T16" s="658"/>
      <c r="U16" s="660" t="s">
        <v>29</v>
      </c>
      <c r="V16" s="661">
        <v>5141545</v>
      </c>
    </row>
    <row r="17" spans="1:23" s="29" customFormat="1" x14ac:dyDescent="0.25">
      <c r="A17" s="644" t="s">
        <v>1191</v>
      </c>
      <c r="B17" s="645" t="s">
        <v>29</v>
      </c>
      <c r="C17" s="645"/>
      <c r="D17" s="645"/>
      <c r="E17" s="644" t="s">
        <v>1192</v>
      </c>
      <c r="F17" s="644" t="s">
        <v>1193</v>
      </c>
      <c r="G17" s="646" t="s">
        <v>1194</v>
      </c>
      <c r="H17" s="647">
        <v>310</v>
      </c>
      <c r="I17" s="648">
        <v>45627</v>
      </c>
      <c r="J17" s="648"/>
      <c r="K17" s="648">
        <v>45658</v>
      </c>
      <c r="L17" s="648"/>
      <c r="M17" s="649" t="s">
        <v>29</v>
      </c>
      <c r="N17" s="650"/>
      <c r="O17" s="649" t="s">
        <v>29</v>
      </c>
      <c r="P17" s="649" t="s">
        <v>29</v>
      </c>
      <c r="Q17" s="649" t="s">
        <v>29</v>
      </c>
      <c r="R17" s="649" t="s">
        <v>29</v>
      </c>
      <c r="S17" s="649" t="s">
        <v>29</v>
      </c>
      <c r="T17" s="649"/>
      <c r="U17" s="683" t="s">
        <v>29</v>
      </c>
      <c r="V17" s="652">
        <v>5141858</v>
      </c>
    </row>
    <row r="18" spans="1:23" s="29" customFormat="1" x14ac:dyDescent="0.25">
      <c r="A18" s="653" t="s">
        <v>1191</v>
      </c>
      <c r="B18" s="654" t="s">
        <v>29</v>
      </c>
      <c r="C18" s="654"/>
      <c r="D18" s="654"/>
      <c r="E18" s="653" t="s">
        <v>1195</v>
      </c>
      <c r="F18" s="653" t="s">
        <v>1193</v>
      </c>
      <c r="G18" s="655" t="s">
        <v>1194</v>
      </c>
      <c r="H18" s="656">
        <v>310</v>
      </c>
      <c r="I18" s="657">
        <v>45200</v>
      </c>
      <c r="J18" s="657">
        <v>45627</v>
      </c>
      <c r="K18" s="657">
        <v>45200</v>
      </c>
      <c r="L18" s="657">
        <v>45658</v>
      </c>
      <c r="M18" s="658" t="s">
        <v>29</v>
      </c>
      <c r="N18" s="659"/>
      <c r="O18" s="658" t="s">
        <v>29</v>
      </c>
      <c r="P18" s="658" t="s">
        <v>29</v>
      </c>
      <c r="Q18" s="658" t="s">
        <v>29</v>
      </c>
      <c r="R18" s="658" t="s">
        <v>29</v>
      </c>
      <c r="S18" s="658" t="s">
        <v>29</v>
      </c>
      <c r="T18" s="658" t="s">
        <v>1164</v>
      </c>
      <c r="U18" s="684" t="s">
        <v>29</v>
      </c>
      <c r="V18" s="661">
        <v>5141483</v>
      </c>
    </row>
    <row r="19" spans="1:23" s="29" customFormat="1" ht="25" x14ac:dyDescent="0.25">
      <c r="A19" s="644" t="s">
        <v>1196</v>
      </c>
      <c r="B19" s="645" t="s">
        <v>29</v>
      </c>
      <c r="C19" s="645"/>
      <c r="D19" s="645"/>
      <c r="E19" s="644" t="s">
        <v>1197</v>
      </c>
      <c r="F19" s="644" t="s">
        <v>1198</v>
      </c>
      <c r="G19" s="646" t="s">
        <v>1199</v>
      </c>
      <c r="H19" s="647">
        <v>320</v>
      </c>
      <c r="I19" s="648">
        <v>45627</v>
      </c>
      <c r="J19" s="648"/>
      <c r="K19" s="648">
        <v>45658</v>
      </c>
      <c r="L19" s="648"/>
      <c r="M19" s="685" t="s">
        <v>29</v>
      </c>
      <c r="N19" s="685"/>
      <c r="O19" s="685" t="s">
        <v>29</v>
      </c>
      <c r="P19" s="685" t="s">
        <v>29</v>
      </c>
      <c r="Q19" s="685" t="s">
        <v>29</v>
      </c>
      <c r="R19" s="685" t="s">
        <v>29</v>
      </c>
      <c r="S19" s="649" t="s">
        <v>29</v>
      </c>
      <c r="T19" s="649"/>
      <c r="U19" s="651" t="s">
        <v>29</v>
      </c>
      <c r="V19" s="652">
        <v>5141862</v>
      </c>
    </row>
    <row r="20" spans="1:23" s="29" customFormat="1" ht="25" x14ac:dyDescent="0.25">
      <c r="A20" s="653" t="s">
        <v>1196</v>
      </c>
      <c r="B20" s="654" t="s">
        <v>29</v>
      </c>
      <c r="C20" s="654"/>
      <c r="D20" s="654"/>
      <c r="E20" s="653" t="s">
        <v>1200</v>
      </c>
      <c r="F20" s="653" t="s">
        <v>1198</v>
      </c>
      <c r="G20" s="655" t="s">
        <v>1199</v>
      </c>
      <c r="H20" s="656">
        <v>320</v>
      </c>
      <c r="I20" s="657">
        <v>45200</v>
      </c>
      <c r="J20" s="657">
        <v>45627</v>
      </c>
      <c r="K20" s="657">
        <v>45200</v>
      </c>
      <c r="L20" s="657">
        <v>45658</v>
      </c>
      <c r="M20" s="686" t="s">
        <v>29</v>
      </c>
      <c r="N20" s="686"/>
      <c r="O20" s="686" t="s">
        <v>29</v>
      </c>
      <c r="P20" s="686" t="s">
        <v>29</v>
      </c>
      <c r="Q20" s="686" t="s">
        <v>29</v>
      </c>
      <c r="R20" s="686" t="s">
        <v>29</v>
      </c>
      <c r="S20" s="658" t="s">
        <v>29</v>
      </c>
      <c r="T20" s="658" t="s">
        <v>1164</v>
      </c>
      <c r="U20" s="660" t="s">
        <v>29</v>
      </c>
      <c r="V20" s="661">
        <v>5141484</v>
      </c>
    </row>
    <row r="21" spans="1:23" s="67" customFormat="1" ht="25" x14ac:dyDescent="0.25">
      <c r="A21" s="644" t="s">
        <v>554</v>
      </c>
      <c r="B21" s="645" t="s">
        <v>29</v>
      </c>
      <c r="C21" s="645"/>
      <c r="D21" s="645"/>
      <c r="E21" s="644" t="s">
        <v>1201</v>
      </c>
      <c r="F21" s="664" t="s">
        <v>1202</v>
      </c>
      <c r="G21" s="646" t="s">
        <v>1203</v>
      </c>
      <c r="H21" s="647">
        <v>386</v>
      </c>
      <c r="I21" s="648">
        <v>45627</v>
      </c>
      <c r="J21" s="662"/>
      <c r="K21" s="648">
        <v>45658</v>
      </c>
      <c r="L21" s="662"/>
      <c r="M21" s="685" t="s">
        <v>29</v>
      </c>
      <c r="N21" s="685"/>
      <c r="O21" s="649" t="s">
        <v>29</v>
      </c>
      <c r="P21" s="649" t="s">
        <v>29</v>
      </c>
      <c r="Q21" s="649" t="s">
        <v>29</v>
      </c>
      <c r="R21" s="649" t="s">
        <v>29</v>
      </c>
      <c r="S21" s="645" t="s">
        <v>29</v>
      </c>
      <c r="T21" s="645"/>
      <c r="U21" s="651" t="s">
        <v>29</v>
      </c>
      <c r="V21" s="652">
        <v>5141976</v>
      </c>
      <c r="W21" s="29"/>
    </row>
    <row r="22" spans="1:23" s="29" customFormat="1" ht="25" x14ac:dyDescent="0.25">
      <c r="A22" s="653" t="s">
        <v>1204</v>
      </c>
      <c r="B22" s="654" t="s">
        <v>29</v>
      </c>
      <c r="C22" s="654"/>
      <c r="D22" s="654"/>
      <c r="E22" s="653" t="s">
        <v>1205</v>
      </c>
      <c r="F22" s="666" t="s">
        <v>1202</v>
      </c>
      <c r="G22" s="655" t="s">
        <v>1203</v>
      </c>
      <c r="H22" s="656">
        <v>386</v>
      </c>
      <c r="I22" s="657">
        <v>45200</v>
      </c>
      <c r="J22" s="663">
        <v>45627</v>
      </c>
      <c r="K22" s="657">
        <v>45200</v>
      </c>
      <c r="L22" s="663">
        <v>45658</v>
      </c>
      <c r="M22" s="686" t="s">
        <v>29</v>
      </c>
      <c r="N22" s="686"/>
      <c r="O22" s="658" t="s">
        <v>29</v>
      </c>
      <c r="P22" s="658" t="s">
        <v>29</v>
      </c>
      <c r="Q22" s="658" t="s">
        <v>29</v>
      </c>
      <c r="R22" s="658" t="s">
        <v>29</v>
      </c>
      <c r="S22" s="654" t="s">
        <v>29</v>
      </c>
      <c r="T22" s="654"/>
      <c r="U22" s="660" t="s">
        <v>29</v>
      </c>
      <c r="V22" s="661">
        <v>5141546</v>
      </c>
    </row>
    <row r="23" spans="1:23" s="67" customFormat="1" x14ac:dyDescent="0.25">
      <c r="A23" s="687" t="s">
        <v>563</v>
      </c>
      <c r="B23" s="651" t="s">
        <v>29</v>
      </c>
      <c r="C23" s="651"/>
      <c r="D23" s="651"/>
      <c r="E23" s="702" t="s">
        <v>1206</v>
      </c>
      <c r="F23" s="687" t="s">
        <v>1207</v>
      </c>
      <c r="G23" s="687" t="s">
        <v>1208</v>
      </c>
      <c r="H23" s="647">
        <v>390</v>
      </c>
      <c r="I23" s="648">
        <v>45627</v>
      </c>
      <c r="J23" s="703"/>
      <c r="K23" s="648">
        <v>45658</v>
      </c>
      <c r="L23" s="703"/>
      <c r="M23" s="685" t="s">
        <v>29</v>
      </c>
      <c r="N23" s="685"/>
      <c r="O23" s="649" t="s">
        <v>29</v>
      </c>
      <c r="P23" s="649" t="s">
        <v>29</v>
      </c>
      <c r="Q23" s="649" t="s">
        <v>29</v>
      </c>
      <c r="R23" s="649" t="s">
        <v>29</v>
      </c>
      <c r="S23" s="649" t="s">
        <v>29</v>
      </c>
      <c r="T23" s="649"/>
      <c r="U23" s="651" t="s">
        <v>29</v>
      </c>
      <c r="V23" s="652">
        <v>5141868</v>
      </c>
      <c r="W23" s="29"/>
    </row>
    <row r="24" spans="1:23" s="29" customFormat="1" x14ac:dyDescent="0.25">
      <c r="A24" s="689" t="s">
        <v>563</v>
      </c>
      <c r="B24" s="660" t="s">
        <v>29</v>
      </c>
      <c r="C24" s="660"/>
      <c r="D24" s="660"/>
      <c r="E24" s="704" t="s">
        <v>1209</v>
      </c>
      <c r="F24" s="689" t="s">
        <v>1207</v>
      </c>
      <c r="G24" s="689" t="s">
        <v>1208</v>
      </c>
      <c r="H24" s="656">
        <v>390</v>
      </c>
      <c r="I24" s="657">
        <v>45200</v>
      </c>
      <c r="J24" s="679">
        <v>45627</v>
      </c>
      <c r="K24" s="657">
        <v>45200</v>
      </c>
      <c r="L24" s="679">
        <v>45658</v>
      </c>
      <c r="M24" s="686" t="s">
        <v>29</v>
      </c>
      <c r="N24" s="686"/>
      <c r="O24" s="658" t="s">
        <v>29</v>
      </c>
      <c r="P24" s="658" t="s">
        <v>29</v>
      </c>
      <c r="Q24" s="658" t="s">
        <v>29</v>
      </c>
      <c r="R24" s="658" t="s">
        <v>29</v>
      </c>
      <c r="S24" s="658" t="s">
        <v>29</v>
      </c>
      <c r="T24" s="658" t="s">
        <v>1164</v>
      </c>
      <c r="U24" s="660" t="s">
        <v>29</v>
      </c>
      <c r="V24" s="661">
        <v>5141550</v>
      </c>
    </row>
    <row r="25" spans="1:23" s="29" customFormat="1" ht="13" x14ac:dyDescent="0.25">
      <c r="A25" s="644" t="s">
        <v>1210</v>
      </c>
      <c r="B25" s="645" t="s">
        <v>29</v>
      </c>
      <c r="C25" s="645"/>
      <c r="D25" s="645"/>
      <c r="E25" s="644" t="s">
        <v>1211</v>
      </c>
      <c r="F25" s="664" t="s">
        <v>1212</v>
      </c>
      <c r="G25" s="646" t="s">
        <v>1213</v>
      </c>
      <c r="H25" s="647">
        <v>55</v>
      </c>
      <c r="I25" s="648">
        <v>45627</v>
      </c>
      <c r="J25" s="648"/>
      <c r="K25" s="648">
        <v>45658</v>
      </c>
      <c r="L25" s="648"/>
      <c r="M25" s="665" t="s">
        <v>29</v>
      </c>
      <c r="N25" s="665"/>
      <c r="O25" s="594" t="s">
        <v>29</v>
      </c>
      <c r="P25" s="594" t="s">
        <v>29</v>
      </c>
      <c r="Q25" s="594" t="s">
        <v>29</v>
      </c>
      <c r="R25" s="594" t="s">
        <v>29</v>
      </c>
      <c r="S25" s="594" t="s">
        <v>29</v>
      </c>
      <c r="T25" s="594"/>
      <c r="U25" s="651" t="s">
        <v>29</v>
      </c>
      <c r="V25" s="652">
        <v>5141893</v>
      </c>
    </row>
    <row r="26" spans="1:23" s="29" customFormat="1" ht="13" x14ac:dyDescent="0.25">
      <c r="A26" s="653" t="s">
        <v>1214</v>
      </c>
      <c r="B26" s="654" t="s">
        <v>29</v>
      </c>
      <c r="C26" s="654"/>
      <c r="D26" s="654"/>
      <c r="E26" s="653" t="s">
        <v>1215</v>
      </c>
      <c r="F26" s="666" t="s">
        <v>1212</v>
      </c>
      <c r="G26" s="655" t="s">
        <v>1213</v>
      </c>
      <c r="H26" s="656">
        <v>55</v>
      </c>
      <c r="I26" s="657">
        <v>45200</v>
      </c>
      <c r="J26" s="657">
        <v>45627</v>
      </c>
      <c r="K26" s="657">
        <v>45200</v>
      </c>
      <c r="L26" s="657">
        <v>45658</v>
      </c>
      <c r="M26" s="667" t="s">
        <v>29</v>
      </c>
      <c r="N26" s="667"/>
      <c r="O26" s="640" t="s">
        <v>29</v>
      </c>
      <c r="P26" s="640" t="s">
        <v>29</v>
      </c>
      <c r="Q26" s="640" t="s">
        <v>29</v>
      </c>
      <c r="R26" s="640" t="s">
        <v>29</v>
      </c>
      <c r="S26" s="640" t="s">
        <v>29</v>
      </c>
      <c r="T26" s="640" t="s">
        <v>1164</v>
      </c>
      <c r="U26" s="660" t="s">
        <v>945</v>
      </c>
      <c r="V26" s="661">
        <v>5141487</v>
      </c>
    </row>
    <row r="27" spans="1:23" s="67" customFormat="1" x14ac:dyDescent="0.25">
      <c r="A27" s="644" t="s">
        <v>1216</v>
      </c>
      <c r="B27" s="645" t="s">
        <v>29</v>
      </c>
      <c r="C27" s="645"/>
      <c r="D27" s="645"/>
      <c r="E27" s="644" t="s">
        <v>1217</v>
      </c>
      <c r="F27" s="644" t="s">
        <v>1218</v>
      </c>
      <c r="G27" s="646" t="s">
        <v>1219</v>
      </c>
      <c r="H27" s="647">
        <v>440</v>
      </c>
      <c r="I27" s="662">
        <v>45627</v>
      </c>
      <c r="J27" s="662"/>
      <c r="K27" s="662">
        <v>45658</v>
      </c>
      <c r="L27" s="662"/>
      <c r="M27" s="645" t="s">
        <v>29</v>
      </c>
      <c r="N27" s="650"/>
      <c r="O27" s="645" t="s">
        <v>29</v>
      </c>
      <c r="P27" s="645" t="s">
        <v>29</v>
      </c>
      <c r="Q27" s="645" t="s">
        <v>29</v>
      </c>
      <c r="R27" s="645" t="s">
        <v>29</v>
      </c>
      <c r="S27" s="645" t="s">
        <v>29</v>
      </c>
      <c r="T27" s="645"/>
      <c r="U27" s="651" t="s">
        <v>29</v>
      </c>
      <c r="V27" s="652">
        <v>5141866</v>
      </c>
      <c r="W27" s="29"/>
    </row>
    <row r="28" spans="1:23" s="67" customFormat="1" x14ac:dyDescent="0.25">
      <c r="A28" s="653" t="s">
        <v>1216</v>
      </c>
      <c r="B28" s="654" t="s">
        <v>29</v>
      </c>
      <c r="C28" s="654"/>
      <c r="D28" s="654"/>
      <c r="E28" s="653" t="s">
        <v>1220</v>
      </c>
      <c r="F28" s="653" t="s">
        <v>1218</v>
      </c>
      <c r="G28" s="655" t="s">
        <v>1219</v>
      </c>
      <c r="H28" s="656">
        <v>440</v>
      </c>
      <c r="I28" s="663">
        <v>45200</v>
      </c>
      <c r="J28" s="663">
        <v>45627</v>
      </c>
      <c r="K28" s="663">
        <v>45200</v>
      </c>
      <c r="L28" s="663">
        <v>45658</v>
      </c>
      <c r="M28" s="654" t="s">
        <v>29</v>
      </c>
      <c r="N28" s="659"/>
      <c r="O28" s="654" t="s">
        <v>29</v>
      </c>
      <c r="P28" s="654" t="s">
        <v>29</v>
      </c>
      <c r="Q28" s="654" t="s">
        <v>29</v>
      </c>
      <c r="R28" s="654" t="s">
        <v>29</v>
      </c>
      <c r="S28" s="654" t="s">
        <v>29</v>
      </c>
      <c r="T28" s="654" t="str">
        <f>IF(LEFT(G28,6)="Always","X","")</f>
        <v/>
      </c>
      <c r="U28" s="660" t="s">
        <v>29</v>
      </c>
      <c r="V28" s="661">
        <v>5141488</v>
      </c>
    </row>
    <row r="29" spans="1:23" s="29" customFormat="1" x14ac:dyDescent="0.25">
      <c r="A29" s="644" t="s">
        <v>1221</v>
      </c>
      <c r="B29" s="645" t="s">
        <v>29</v>
      </c>
      <c r="C29" s="645"/>
      <c r="D29" s="645"/>
      <c r="E29" s="644" t="s">
        <v>1222</v>
      </c>
      <c r="F29" s="644" t="s">
        <v>1223</v>
      </c>
      <c r="G29" s="646" t="s">
        <v>1224</v>
      </c>
      <c r="H29" s="647">
        <v>430</v>
      </c>
      <c r="I29" s="648">
        <v>45627</v>
      </c>
      <c r="J29" s="662"/>
      <c r="K29" s="648">
        <v>45658</v>
      </c>
      <c r="L29" s="662"/>
      <c r="M29" s="645" t="s">
        <v>29</v>
      </c>
      <c r="N29" s="650"/>
      <c r="O29" s="645" t="s">
        <v>29</v>
      </c>
      <c r="P29" s="645" t="s">
        <v>29</v>
      </c>
      <c r="Q29" s="645" t="s">
        <v>29</v>
      </c>
      <c r="R29" s="645" t="s">
        <v>29</v>
      </c>
      <c r="S29" s="654"/>
      <c r="T29" s="645"/>
      <c r="U29" s="651"/>
      <c r="V29" s="652">
        <v>5141870</v>
      </c>
    </row>
    <row r="30" spans="1:23" s="29" customFormat="1" x14ac:dyDescent="0.25">
      <c r="A30" s="653" t="s">
        <v>1221</v>
      </c>
      <c r="B30" s="654" t="s">
        <v>29</v>
      </c>
      <c r="C30" s="654"/>
      <c r="D30" s="654"/>
      <c r="E30" s="653" t="s">
        <v>1225</v>
      </c>
      <c r="F30" s="653" t="s">
        <v>1223</v>
      </c>
      <c r="G30" s="655" t="s">
        <v>1224</v>
      </c>
      <c r="H30" s="656">
        <v>430</v>
      </c>
      <c r="I30" s="657">
        <v>45200</v>
      </c>
      <c r="J30" s="663">
        <v>45627</v>
      </c>
      <c r="K30" s="657">
        <v>45200</v>
      </c>
      <c r="L30" s="663">
        <v>45658</v>
      </c>
      <c r="M30" s="654" t="s">
        <v>29</v>
      </c>
      <c r="N30" s="659"/>
      <c r="O30" s="654" t="s">
        <v>29</v>
      </c>
      <c r="P30" s="654" t="s">
        <v>29</v>
      </c>
      <c r="Q30" s="654" t="s">
        <v>29</v>
      </c>
      <c r="R30" s="654" t="s">
        <v>29</v>
      </c>
      <c r="S30" s="654"/>
      <c r="T30" s="654" t="str">
        <f>IF(LEFT(G30,6)="Always","X","")</f>
        <v/>
      </c>
      <c r="U30" s="660"/>
      <c r="V30" s="661">
        <v>5141489</v>
      </c>
    </row>
    <row r="31" spans="1:23" s="67" customFormat="1" ht="50" x14ac:dyDescent="0.25">
      <c r="A31" s="644" t="s">
        <v>1226</v>
      </c>
      <c r="B31" s="645" t="s">
        <v>29</v>
      </c>
      <c r="C31" s="645"/>
      <c r="D31" s="645"/>
      <c r="E31" s="644" t="s">
        <v>1227</v>
      </c>
      <c r="F31" s="644" t="s">
        <v>1228</v>
      </c>
      <c r="G31" s="646" t="s">
        <v>1229</v>
      </c>
      <c r="H31" s="647">
        <v>210</v>
      </c>
      <c r="I31" s="648">
        <v>45627</v>
      </c>
      <c r="J31" s="648"/>
      <c r="K31" s="648">
        <v>45658</v>
      </c>
      <c r="L31" s="648"/>
      <c r="M31" s="649" t="s">
        <v>29</v>
      </c>
      <c r="N31" s="650"/>
      <c r="O31" s="649" t="s">
        <v>29</v>
      </c>
      <c r="P31" s="649" t="s">
        <v>29</v>
      </c>
      <c r="Q31" s="649" t="s">
        <v>29</v>
      </c>
      <c r="R31" s="649" t="s">
        <v>29</v>
      </c>
      <c r="S31" s="649" t="s">
        <v>29</v>
      </c>
      <c r="T31" s="649"/>
      <c r="U31" s="651" t="s">
        <v>29</v>
      </c>
      <c r="V31" s="652">
        <v>5141871</v>
      </c>
    </row>
    <row r="32" spans="1:23" s="29" customFormat="1" ht="50" x14ac:dyDescent="0.25">
      <c r="A32" s="653" t="s">
        <v>1226</v>
      </c>
      <c r="B32" s="654" t="s">
        <v>29</v>
      </c>
      <c r="C32" s="654"/>
      <c r="D32" s="654"/>
      <c r="E32" s="653" t="s">
        <v>1230</v>
      </c>
      <c r="F32" s="653" t="s">
        <v>1228</v>
      </c>
      <c r="G32" s="655" t="s">
        <v>1231</v>
      </c>
      <c r="H32" s="656">
        <v>210</v>
      </c>
      <c r="I32" s="657">
        <v>45200</v>
      </c>
      <c r="J32" s="657">
        <v>45627</v>
      </c>
      <c r="K32" s="657">
        <v>45200</v>
      </c>
      <c r="L32" s="657">
        <v>45658</v>
      </c>
      <c r="M32" s="658" t="s">
        <v>29</v>
      </c>
      <c r="N32" s="659"/>
      <c r="O32" s="658" t="s">
        <v>29</v>
      </c>
      <c r="P32" s="658" t="s">
        <v>29</v>
      </c>
      <c r="Q32" s="658" t="s">
        <v>29</v>
      </c>
      <c r="R32" s="658" t="s">
        <v>29</v>
      </c>
      <c r="S32" s="658" t="s">
        <v>29</v>
      </c>
      <c r="T32" s="658" t="s">
        <v>1164</v>
      </c>
      <c r="U32" s="660" t="s">
        <v>29</v>
      </c>
      <c r="V32" s="661">
        <v>5141490</v>
      </c>
    </row>
    <row r="33" spans="1:26" s="67" customFormat="1" ht="25" x14ac:dyDescent="0.25">
      <c r="A33" s="644" t="s">
        <v>1232</v>
      </c>
      <c r="B33" s="645" t="s">
        <v>29</v>
      </c>
      <c r="C33" s="644"/>
      <c r="D33" s="644"/>
      <c r="E33" s="644" t="s">
        <v>1233</v>
      </c>
      <c r="F33" s="644" t="s">
        <v>1234</v>
      </c>
      <c r="G33" s="646" t="s">
        <v>1235</v>
      </c>
      <c r="H33" s="647">
        <v>215</v>
      </c>
      <c r="I33" s="662">
        <v>45627</v>
      </c>
      <c r="J33" s="662"/>
      <c r="K33" s="662">
        <v>45658</v>
      </c>
      <c r="L33" s="662"/>
      <c r="M33" s="649" t="s">
        <v>29</v>
      </c>
      <c r="N33" s="650"/>
      <c r="O33" s="649" t="s">
        <v>29</v>
      </c>
      <c r="P33" s="649" t="s">
        <v>29</v>
      </c>
      <c r="Q33" s="649" t="s">
        <v>29</v>
      </c>
      <c r="R33" s="649" t="s">
        <v>29</v>
      </c>
      <c r="S33" s="649" t="s">
        <v>29</v>
      </c>
      <c r="T33" s="649"/>
      <c r="U33" s="651" t="s">
        <v>29</v>
      </c>
      <c r="V33" s="652">
        <v>5141884</v>
      </c>
    </row>
    <row r="34" spans="1:26" s="29" customFormat="1" ht="25" x14ac:dyDescent="0.25">
      <c r="A34" s="653" t="s">
        <v>1232</v>
      </c>
      <c r="B34" s="654" t="s">
        <v>29</v>
      </c>
      <c r="C34" s="653"/>
      <c r="D34" s="653"/>
      <c r="E34" s="653" t="s">
        <v>1236</v>
      </c>
      <c r="F34" s="653" t="s">
        <v>1234</v>
      </c>
      <c r="G34" s="655" t="s">
        <v>1235</v>
      </c>
      <c r="H34" s="656">
        <v>215</v>
      </c>
      <c r="I34" s="663">
        <v>45200</v>
      </c>
      <c r="J34" s="663">
        <v>45627</v>
      </c>
      <c r="K34" s="663">
        <v>45200</v>
      </c>
      <c r="L34" s="663">
        <v>45658</v>
      </c>
      <c r="M34" s="658" t="s">
        <v>29</v>
      </c>
      <c r="N34" s="659"/>
      <c r="O34" s="658" t="s">
        <v>29</v>
      </c>
      <c r="P34" s="658" t="s">
        <v>29</v>
      </c>
      <c r="Q34" s="658" t="s">
        <v>29</v>
      </c>
      <c r="R34" s="658" t="s">
        <v>29</v>
      </c>
      <c r="S34" s="658" t="s">
        <v>29</v>
      </c>
      <c r="T34" s="658" t="s">
        <v>1164</v>
      </c>
      <c r="U34" s="660" t="s">
        <v>29</v>
      </c>
      <c r="V34" s="661">
        <v>5141498</v>
      </c>
    </row>
    <row r="35" spans="1:26" s="29" customFormat="1" ht="12.75" customHeight="1" x14ac:dyDescent="0.25">
      <c r="A35" s="644" t="s">
        <v>1237</v>
      </c>
      <c r="B35" s="645" t="s">
        <v>29</v>
      </c>
      <c r="C35" s="645"/>
      <c r="D35" s="645"/>
      <c r="E35" s="644" t="s">
        <v>1238</v>
      </c>
      <c r="F35" s="644" t="s">
        <v>1239</v>
      </c>
      <c r="G35" s="646" t="s">
        <v>1240</v>
      </c>
      <c r="H35" s="647">
        <v>340</v>
      </c>
      <c r="I35" s="648">
        <v>45627</v>
      </c>
      <c r="J35" s="648"/>
      <c r="K35" s="648">
        <v>45658</v>
      </c>
      <c r="L35" s="648"/>
      <c r="M35" s="649" t="s">
        <v>29</v>
      </c>
      <c r="N35" s="650"/>
      <c r="O35" s="649" t="s">
        <v>29</v>
      </c>
      <c r="P35" s="649" t="s">
        <v>29</v>
      </c>
      <c r="Q35" s="649" t="s">
        <v>29</v>
      </c>
      <c r="R35" s="649" t="s">
        <v>29</v>
      </c>
      <c r="S35" s="649" t="s">
        <v>29</v>
      </c>
      <c r="T35" s="649"/>
      <c r="U35" s="651" t="s">
        <v>29</v>
      </c>
      <c r="V35" s="652">
        <v>5141872</v>
      </c>
    </row>
    <row r="36" spans="1:26" s="29" customFormat="1" ht="12.75" customHeight="1" x14ac:dyDescent="0.25">
      <c r="A36" s="653" t="s">
        <v>1237</v>
      </c>
      <c r="B36" s="654" t="s">
        <v>29</v>
      </c>
      <c r="C36" s="654"/>
      <c r="D36" s="654"/>
      <c r="E36" s="653" t="s">
        <v>1241</v>
      </c>
      <c r="F36" s="653" t="s">
        <v>1239</v>
      </c>
      <c r="G36" s="655" t="s">
        <v>1240</v>
      </c>
      <c r="H36" s="656">
        <v>340</v>
      </c>
      <c r="I36" s="657">
        <v>45200</v>
      </c>
      <c r="J36" s="657">
        <v>45627</v>
      </c>
      <c r="K36" s="657">
        <v>45200</v>
      </c>
      <c r="L36" s="657">
        <v>45658</v>
      </c>
      <c r="M36" s="658" t="s">
        <v>29</v>
      </c>
      <c r="N36" s="659"/>
      <c r="O36" s="658" t="s">
        <v>29</v>
      </c>
      <c r="P36" s="658" t="s">
        <v>29</v>
      </c>
      <c r="Q36" s="658" t="s">
        <v>29</v>
      </c>
      <c r="R36" s="658" t="s">
        <v>29</v>
      </c>
      <c r="S36" s="658" t="s">
        <v>29</v>
      </c>
      <c r="T36" s="658" t="s">
        <v>1164</v>
      </c>
      <c r="U36" s="660" t="s">
        <v>29</v>
      </c>
      <c r="V36" s="661">
        <v>5141491</v>
      </c>
    </row>
    <row r="37" spans="1:26" s="29" customFormat="1" x14ac:dyDescent="0.25">
      <c r="A37" s="689" t="s">
        <v>1242</v>
      </c>
      <c r="B37" s="660"/>
      <c r="C37" s="689"/>
      <c r="D37" s="689"/>
      <c r="E37" s="704" t="s">
        <v>1243</v>
      </c>
      <c r="F37" s="689" t="s">
        <v>1244</v>
      </c>
      <c r="G37" s="689" t="s">
        <v>1245</v>
      </c>
      <c r="H37" s="656">
        <v>370</v>
      </c>
      <c r="I37" s="679">
        <v>45200</v>
      </c>
      <c r="J37" s="679">
        <v>45627</v>
      </c>
      <c r="K37" s="679">
        <v>45200</v>
      </c>
      <c r="L37" s="679">
        <v>45658</v>
      </c>
      <c r="M37" s="659" t="s">
        <v>29</v>
      </c>
      <c r="N37" s="659"/>
      <c r="O37" s="658" t="s">
        <v>29</v>
      </c>
      <c r="P37" s="658" t="s">
        <v>29</v>
      </c>
      <c r="Q37" s="658" t="s">
        <v>29</v>
      </c>
      <c r="R37" s="658" t="s">
        <v>29</v>
      </c>
      <c r="S37" s="658" t="s">
        <v>29</v>
      </c>
      <c r="T37" s="660"/>
      <c r="U37" s="660" t="s">
        <v>29</v>
      </c>
      <c r="V37" s="661">
        <v>5141542</v>
      </c>
    </row>
    <row r="38" spans="1:26" s="67" customFormat="1" x14ac:dyDescent="0.25">
      <c r="A38" s="687" t="s">
        <v>1246</v>
      </c>
      <c r="B38" s="793"/>
      <c r="C38" s="810"/>
      <c r="D38" s="810"/>
      <c r="E38" s="702" t="s">
        <v>1247</v>
      </c>
      <c r="F38" s="687" t="s">
        <v>1244</v>
      </c>
      <c r="G38" s="687" t="s">
        <v>1245</v>
      </c>
      <c r="H38" s="794">
        <v>370</v>
      </c>
      <c r="I38" s="676">
        <v>45627</v>
      </c>
      <c r="J38" s="703"/>
      <c r="K38" s="676">
        <v>45658</v>
      </c>
      <c r="L38" s="703"/>
      <c r="M38" s="650" t="s">
        <v>29</v>
      </c>
      <c r="N38" s="811"/>
      <c r="O38" s="649" t="s">
        <v>29</v>
      </c>
      <c r="P38" s="649" t="s">
        <v>29</v>
      </c>
      <c r="Q38" s="649" t="s">
        <v>29</v>
      </c>
      <c r="R38" s="649" t="s">
        <v>29</v>
      </c>
      <c r="S38" s="649" t="s">
        <v>29</v>
      </c>
      <c r="T38" s="793"/>
      <c r="U38" s="651" t="s">
        <v>29</v>
      </c>
      <c r="V38" s="652">
        <v>5141975</v>
      </c>
    </row>
    <row r="39" spans="1:26" s="29" customFormat="1" ht="25" x14ac:dyDescent="0.25">
      <c r="A39" s="644" t="s">
        <v>1248</v>
      </c>
      <c r="B39" s="645" t="s">
        <v>29</v>
      </c>
      <c r="C39" s="645"/>
      <c r="D39" s="645"/>
      <c r="E39" s="644" t="s">
        <v>1249</v>
      </c>
      <c r="F39" s="644" t="s">
        <v>1250</v>
      </c>
      <c r="G39" s="646" t="s">
        <v>1251</v>
      </c>
      <c r="H39" s="647">
        <v>387</v>
      </c>
      <c r="I39" s="648">
        <v>45627</v>
      </c>
      <c r="J39" s="662"/>
      <c r="K39" s="648">
        <v>45658</v>
      </c>
      <c r="L39" s="662"/>
      <c r="M39" s="685" t="s">
        <v>29</v>
      </c>
      <c r="N39" s="685"/>
      <c r="O39" s="649" t="s">
        <v>29</v>
      </c>
      <c r="P39" s="649" t="s">
        <v>29</v>
      </c>
      <c r="Q39" s="649" t="s">
        <v>29</v>
      </c>
      <c r="R39" s="649" t="s">
        <v>29</v>
      </c>
      <c r="S39" s="645" t="s">
        <v>29</v>
      </c>
      <c r="T39" s="645"/>
      <c r="U39" s="651" t="s">
        <v>29</v>
      </c>
      <c r="V39" s="652">
        <v>5141978</v>
      </c>
    </row>
    <row r="40" spans="1:26" s="29" customFormat="1" ht="25" x14ac:dyDescent="0.25">
      <c r="A40" s="653" t="s">
        <v>1248</v>
      </c>
      <c r="B40" s="654" t="s">
        <v>29</v>
      </c>
      <c r="C40" s="654"/>
      <c r="D40" s="654"/>
      <c r="E40" s="653" t="s">
        <v>1252</v>
      </c>
      <c r="F40" s="653" t="s">
        <v>1250</v>
      </c>
      <c r="G40" s="655" t="s">
        <v>1251</v>
      </c>
      <c r="H40" s="656">
        <v>387</v>
      </c>
      <c r="I40" s="657">
        <v>45200</v>
      </c>
      <c r="J40" s="663">
        <v>45627</v>
      </c>
      <c r="K40" s="657">
        <v>45200</v>
      </c>
      <c r="L40" s="663">
        <v>45658</v>
      </c>
      <c r="M40" s="686" t="s">
        <v>29</v>
      </c>
      <c r="N40" s="686"/>
      <c r="O40" s="658" t="s">
        <v>29</v>
      </c>
      <c r="P40" s="658" t="s">
        <v>29</v>
      </c>
      <c r="Q40" s="658" t="s">
        <v>29</v>
      </c>
      <c r="R40" s="658" t="s">
        <v>29</v>
      </c>
      <c r="S40" s="654" t="s">
        <v>29</v>
      </c>
      <c r="T40" s="654"/>
      <c r="U40" s="660" t="s">
        <v>29</v>
      </c>
      <c r="V40" s="661">
        <v>5141551</v>
      </c>
    </row>
    <row r="41" spans="1:26" s="29" customFormat="1" ht="37.5" x14ac:dyDescent="0.25">
      <c r="A41" s="644" t="s">
        <v>1253</v>
      </c>
      <c r="B41" s="645" t="s">
        <v>29</v>
      </c>
      <c r="C41" s="645"/>
      <c r="D41" s="645"/>
      <c r="E41" s="644" t="s">
        <v>1254</v>
      </c>
      <c r="F41" s="644" t="s">
        <v>1255</v>
      </c>
      <c r="G41" s="646" t="s">
        <v>1256</v>
      </c>
      <c r="H41" s="647">
        <v>388</v>
      </c>
      <c r="I41" s="648">
        <v>45627</v>
      </c>
      <c r="J41" s="662"/>
      <c r="K41" s="648">
        <v>45658</v>
      </c>
      <c r="L41" s="662"/>
      <c r="M41" s="685" t="s">
        <v>29</v>
      </c>
      <c r="N41" s="685"/>
      <c r="O41" s="649" t="s">
        <v>29</v>
      </c>
      <c r="P41" s="649" t="s">
        <v>29</v>
      </c>
      <c r="Q41" s="649" t="s">
        <v>29</v>
      </c>
      <c r="R41" s="649" t="s">
        <v>29</v>
      </c>
      <c r="S41" s="645" t="s">
        <v>29</v>
      </c>
      <c r="T41" s="645"/>
      <c r="U41" s="651" t="s">
        <v>29</v>
      </c>
      <c r="V41" s="652">
        <v>5141979</v>
      </c>
    </row>
    <row r="42" spans="1:26" s="67" customFormat="1" ht="37.5" x14ac:dyDescent="0.25">
      <c r="A42" s="653" t="s">
        <v>1253</v>
      </c>
      <c r="B42" s="654" t="s">
        <v>29</v>
      </c>
      <c r="C42" s="654"/>
      <c r="D42" s="654"/>
      <c r="E42" s="653" t="s">
        <v>1257</v>
      </c>
      <c r="F42" s="653" t="s">
        <v>1255</v>
      </c>
      <c r="G42" s="655" t="s">
        <v>1256</v>
      </c>
      <c r="H42" s="656">
        <v>388</v>
      </c>
      <c r="I42" s="657">
        <v>45200</v>
      </c>
      <c r="J42" s="663">
        <v>45627</v>
      </c>
      <c r="K42" s="657">
        <v>45200</v>
      </c>
      <c r="L42" s="663">
        <v>45658</v>
      </c>
      <c r="M42" s="686" t="s">
        <v>29</v>
      </c>
      <c r="N42" s="686"/>
      <c r="O42" s="658" t="s">
        <v>29</v>
      </c>
      <c r="P42" s="658" t="s">
        <v>29</v>
      </c>
      <c r="Q42" s="658" t="s">
        <v>29</v>
      </c>
      <c r="R42" s="658" t="s">
        <v>29</v>
      </c>
      <c r="S42" s="654" t="s">
        <v>29</v>
      </c>
      <c r="T42" s="654"/>
      <c r="U42" s="660" t="s">
        <v>29</v>
      </c>
      <c r="V42" s="661">
        <v>5141552</v>
      </c>
    </row>
    <row r="43" spans="1:26" s="67" customFormat="1" ht="25" x14ac:dyDescent="0.25">
      <c r="A43" s="644" t="s">
        <v>1258</v>
      </c>
      <c r="B43" s="645" t="s">
        <v>29</v>
      </c>
      <c r="C43" s="645"/>
      <c r="D43" s="645"/>
      <c r="E43" s="644" t="s">
        <v>1259</v>
      </c>
      <c r="F43" s="644" t="s">
        <v>1260</v>
      </c>
      <c r="G43" s="646" t="s">
        <v>1261</v>
      </c>
      <c r="H43" s="647">
        <v>389</v>
      </c>
      <c r="I43" s="648">
        <v>45627</v>
      </c>
      <c r="J43" s="662"/>
      <c r="K43" s="648">
        <v>45658</v>
      </c>
      <c r="L43" s="662"/>
      <c r="M43" s="685" t="s">
        <v>29</v>
      </c>
      <c r="N43" s="685"/>
      <c r="O43" s="649" t="s">
        <v>29</v>
      </c>
      <c r="P43" s="649" t="s">
        <v>29</v>
      </c>
      <c r="Q43" s="649" t="s">
        <v>29</v>
      </c>
      <c r="R43" s="649" t="s">
        <v>29</v>
      </c>
      <c r="S43" s="645" t="s">
        <v>29</v>
      </c>
      <c r="T43" s="645"/>
      <c r="U43" s="651" t="s">
        <v>29</v>
      </c>
      <c r="V43" s="652">
        <v>5141977</v>
      </c>
    </row>
    <row r="44" spans="1:26" s="67" customFormat="1" ht="25" x14ac:dyDescent="0.25">
      <c r="A44" s="653" t="s">
        <v>1258</v>
      </c>
      <c r="B44" s="654" t="s">
        <v>29</v>
      </c>
      <c r="C44" s="654"/>
      <c r="D44" s="654"/>
      <c r="E44" s="653" t="s">
        <v>1262</v>
      </c>
      <c r="F44" s="653" t="s">
        <v>1260</v>
      </c>
      <c r="G44" s="655" t="s">
        <v>1261</v>
      </c>
      <c r="H44" s="656">
        <v>389</v>
      </c>
      <c r="I44" s="657">
        <v>45200</v>
      </c>
      <c r="J44" s="663">
        <v>45627</v>
      </c>
      <c r="K44" s="657">
        <v>45200</v>
      </c>
      <c r="L44" s="663">
        <v>45658</v>
      </c>
      <c r="M44" s="686" t="s">
        <v>29</v>
      </c>
      <c r="N44" s="686"/>
      <c r="O44" s="658" t="s">
        <v>29</v>
      </c>
      <c r="P44" s="658" t="s">
        <v>29</v>
      </c>
      <c r="Q44" s="658" t="s">
        <v>29</v>
      </c>
      <c r="R44" s="658" t="s">
        <v>29</v>
      </c>
      <c r="S44" s="654" t="s">
        <v>29</v>
      </c>
      <c r="T44" s="654"/>
      <c r="U44" s="660" t="s">
        <v>29</v>
      </c>
      <c r="V44" s="661">
        <v>5141553</v>
      </c>
      <c r="W44" s="81"/>
      <c r="X44" s="81"/>
      <c r="Y44" s="81"/>
      <c r="Z44" s="81"/>
    </row>
    <row r="45" spans="1:26" s="67" customFormat="1" x14ac:dyDescent="0.25">
      <c r="A45" s="135" t="s">
        <v>1263</v>
      </c>
      <c r="B45" s="136" t="s">
        <v>29</v>
      </c>
      <c r="C45" s="136"/>
      <c r="D45" s="136"/>
      <c r="E45" s="466" t="s">
        <v>1264</v>
      </c>
      <c r="F45" s="135" t="s">
        <v>1265</v>
      </c>
      <c r="G45" s="135" t="s">
        <v>1266</v>
      </c>
      <c r="H45" s="463">
        <v>1215</v>
      </c>
      <c r="I45" s="471">
        <v>45200</v>
      </c>
      <c r="J45" s="471"/>
      <c r="K45" s="471">
        <v>45200</v>
      </c>
      <c r="L45" s="471"/>
      <c r="M45" s="292" t="s">
        <v>29</v>
      </c>
      <c r="N45" s="292"/>
      <c r="O45" s="136" t="s">
        <v>29</v>
      </c>
      <c r="P45" s="136" t="s">
        <v>29</v>
      </c>
      <c r="Q45" s="136" t="s">
        <v>29</v>
      </c>
      <c r="R45" s="136" t="s">
        <v>29</v>
      </c>
      <c r="S45" s="136" t="s">
        <v>29</v>
      </c>
      <c r="T45" s="177" t="str">
        <f>IF(LEFT(G45,6)="Always","X","")</f>
        <v/>
      </c>
      <c r="U45" s="175"/>
      <c r="V45" s="451">
        <v>5141502</v>
      </c>
    </row>
    <row r="46" spans="1:26" s="29" customFormat="1" x14ac:dyDescent="0.25">
      <c r="A46" s="588" t="s">
        <v>1267</v>
      </c>
      <c r="B46" s="594" t="s">
        <v>29</v>
      </c>
      <c r="C46" s="594"/>
      <c r="D46" s="594"/>
      <c r="E46" s="695" t="s">
        <v>1268</v>
      </c>
      <c r="F46" s="588" t="s">
        <v>1269</v>
      </c>
      <c r="G46" s="588" t="s">
        <v>1270</v>
      </c>
      <c r="H46" s="696">
        <v>1165</v>
      </c>
      <c r="I46" s="648">
        <v>45627</v>
      </c>
      <c r="J46" s="697"/>
      <c r="K46" s="648">
        <v>45658</v>
      </c>
      <c r="L46" s="697"/>
      <c r="M46" s="665" t="s">
        <v>29</v>
      </c>
      <c r="N46" s="665"/>
      <c r="O46" s="594" t="s">
        <v>29</v>
      </c>
      <c r="P46" s="594" t="s">
        <v>29</v>
      </c>
      <c r="Q46" s="594" t="s">
        <v>29</v>
      </c>
      <c r="R46" s="594" t="s">
        <v>29</v>
      </c>
      <c r="S46" s="594" t="s">
        <v>29</v>
      </c>
      <c r="T46" s="594"/>
      <c r="U46" s="651"/>
      <c r="V46" s="652">
        <v>5141877</v>
      </c>
    </row>
    <row r="47" spans="1:26" s="29" customFormat="1" x14ac:dyDescent="0.25">
      <c r="A47" s="698" t="s">
        <v>1267</v>
      </c>
      <c r="B47" s="640" t="s">
        <v>29</v>
      </c>
      <c r="C47" s="640"/>
      <c r="D47" s="640"/>
      <c r="E47" s="699" t="s">
        <v>1271</v>
      </c>
      <c r="F47" s="698" t="s">
        <v>1269</v>
      </c>
      <c r="G47" s="698" t="s">
        <v>1270</v>
      </c>
      <c r="H47" s="700">
        <v>1165</v>
      </c>
      <c r="I47" s="657">
        <v>45200</v>
      </c>
      <c r="J47" s="701">
        <v>45627</v>
      </c>
      <c r="K47" s="657">
        <v>45200</v>
      </c>
      <c r="L47" s="701">
        <v>45658</v>
      </c>
      <c r="M47" s="667" t="s">
        <v>29</v>
      </c>
      <c r="N47" s="667"/>
      <c r="O47" s="640" t="s">
        <v>29</v>
      </c>
      <c r="P47" s="640" t="s">
        <v>29</v>
      </c>
      <c r="Q47" s="640" t="s">
        <v>29</v>
      </c>
      <c r="R47" s="640" t="s">
        <v>29</v>
      </c>
      <c r="S47" s="640" t="s">
        <v>29</v>
      </c>
      <c r="T47" s="640" t="s">
        <v>1164</v>
      </c>
      <c r="U47" s="660"/>
      <c r="V47" s="661">
        <v>5141503</v>
      </c>
    </row>
    <row r="48" spans="1:26" s="67" customFormat="1" x14ac:dyDescent="0.25">
      <c r="A48" s="447" t="s">
        <v>1272</v>
      </c>
      <c r="B48" s="286" t="s">
        <v>29</v>
      </c>
      <c r="C48" s="286"/>
      <c r="D48" s="286"/>
      <c r="E48" s="447" t="s">
        <v>1273</v>
      </c>
      <c r="F48" s="447" t="s">
        <v>1274</v>
      </c>
      <c r="G48" s="287" t="s">
        <v>1275</v>
      </c>
      <c r="H48" s="448">
        <v>40</v>
      </c>
      <c r="I48" s="288">
        <v>39535</v>
      </c>
      <c r="J48" s="288"/>
      <c r="K48" s="288">
        <v>39535</v>
      </c>
      <c r="L48" s="288"/>
      <c r="M48" s="177" t="s">
        <v>29</v>
      </c>
      <c r="N48" s="450"/>
      <c r="O48" s="177" t="s">
        <v>29</v>
      </c>
      <c r="P48" s="177"/>
      <c r="Q48" s="177" t="s">
        <v>29</v>
      </c>
      <c r="R48" s="177"/>
      <c r="S48" s="177" t="s">
        <v>29</v>
      </c>
      <c r="T48" s="177" t="s">
        <v>1164</v>
      </c>
      <c r="U48" s="175"/>
      <c r="V48" s="451">
        <v>2152</v>
      </c>
      <c r="W48"/>
      <c r="X48"/>
      <c r="Y48"/>
      <c r="Z48"/>
    </row>
    <row r="49" spans="1:26" s="29" customFormat="1" x14ac:dyDescent="0.25">
      <c r="A49" s="447" t="s">
        <v>1276</v>
      </c>
      <c r="B49" s="286" t="s">
        <v>29</v>
      </c>
      <c r="C49" s="286"/>
      <c r="D49" s="286"/>
      <c r="E49" s="447" t="s">
        <v>1277</v>
      </c>
      <c r="F49" s="447" t="s">
        <v>1278</v>
      </c>
      <c r="G49" s="287" t="s">
        <v>1279</v>
      </c>
      <c r="H49" s="448">
        <v>1205</v>
      </c>
      <c r="I49" s="288">
        <v>45200</v>
      </c>
      <c r="J49" s="449"/>
      <c r="K49" s="288">
        <v>45200</v>
      </c>
      <c r="L49" s="449"/>
      <c r="M49" s="450" t="s">
        <v>29</v>
      </c>
      <c r="N49" s="450"/>
      <c r="O49" s="175" t="s">
        <v>29</v>
      </c>
      <c r="P49" s="175" t="s">
        <v>29</v>
      </c>
      <c r="Q49" s="175" t="s">
        <v>29</v>
      </c>
      <c r="R49" s="175" t="s">
        <v>29</v>
      </c>
      <c r="S49" s="286" t="s">
        <v>29</v>
      </c>
      <c r="T49" s="286"/>
      <c r="U49" s="175"/>
      <c r="V49" s="451">
        <v>5141504</v>
      </c>
    </row>
    <row r="50" spans="1:26" s="29" customFormat="1" x14ac:dyDescent="0.25">
      <c r="A50" s="644" t="s">
        <v>562</v>
      </c>
      <c r="B50" s="645" t="s">
        <v>29</v>
      </c>
      <c r="C50" s="645"/>
      <c r="D50" s="645"/>
      <c r="E50" s="644" t="s">
        <v>1280</v>
      </c>
      <c r="F50" s="644" t="s">
        <v>1281</v>
      </c>
      <c r="G50" s="646" t="s">
        <v>1282</v>
      </c>
      <c r="H50" s="647">
        <v>5</v>
      </c>
      <c r="I50" s="648">
        <v>45627</v>
      </c>
      <c r="J50" s="648"/>
      <c r="K50" s="648">
        <v>45658</v>
      </c>
      <c r="L50" s="648"/>
      <c r="M50" s="685" t="s">
        <v>29</v>
      </c>
      <c r="N50" s="685"/>
      <c r="O50" s="685" t="s">
        <v>29</v>
      </c>
      <c r="P50" s="685" t="s">
        <v>29</v>
      </c>
      <c r="Q50" s="685" t="s">
        <v>29</v>
      </c>
      <c r="R50" s="685" t="s">
        <v>29</v>
      </c>
      <c r="S50" s="649" t="s">
        <v>29</v>
      </c>
      <c r="T50" s="649"/>
      <c r="U50" s="651" t="s">
        <v>29</v>
      </c>
      <c r="V50" s="652">
        <v>5141981</v>
      </c>
    </row>
    <row r="51" spans="1:26" s="67" customFormat="1" x14ac:dyDescent="0.25">
      <c r="A51" s="653" t="s">
        <v>562</v>
      </c>
      <c r="B51" s="654" t="s">
        <v>29</v>
      </c>
      <c r="C51" s="654"/>
      <c r="D51" s="654"/>
      <c r="E51" s="653" t="s">
        <v>1283</v>
      </c>
      <c r="F51" s="653" t="s">
        <v>1281</v>
      </c>
      <c r="G51" s="655" t="s">
        <v>1282</v>
      </c>
      <c r="H51" s="656">
        <v>5</v>
      </c>
      <c r="I51" s="657">
        <v>45200</v>
      </c>
      <c r="J51" s="657">
        <v>45627</v>
      </c>
      <c r="K51" s="657">
        <v>45200</v>
      </c>
      <c r="L51" s="657">
        <v>45658</v>
      </c>
      <c r="M51" s="686" t="s">
        <v>29</v>
      </c>
      <c r="N51" s="686"/>
      <c r="O51" s="686" t="s">
        <v>29</v>
      </c>
      <c r="P51" s="686" t="s">
        <v>29</v>
      </c>
      <c r="Q51" s="686" t="s">
        <v>29</v>
      </c>
      <c r="R51" s="686" t="s">
        <v>29</v>
      </c>
      <c r="S51" s="658" t="s">
        <v>29</v>
      </c>
      <c r="T51" s="658" t="s">
        <v>1164</v>
      </c>
      <c r="U51" s="660" t="s">
        <v>29</v>
      </c>
      <c r="V51" s="661">
        <v>5141549</v>
      </c>
      <c r="W51" s="29"/>
      <c r="X51"/>
      <c r="Y51"/>
      <c r="Z51"/>
    </row>
    <row r="52" spans="1:26" s="29" customFormat="1" x14ac:dyDescent="0.25">
      <c r="A52" s="588" t="s">
        <v>1284</v>
      </c>
      <c r="B52" s="594" t="s">
        <v>29</v>
      </c>
      <c r="C52" s="594"/>
      <c r="D52" s="594"/>
      <c r="E52" s="695" t="s">
        <v>1285</v>
      </c>
      <c r="F52" s="588" t="s">
        <v>1286</v>
      </c>
      <c r="G52" s="588" t="s">
        <v>1287</v>
      </c>
      <c r="H52" s="696">
        <v>6</v>
      </c>
      <c r="I52" s="648">
        <v>45627</v>
      </c>
      <c r="J52" s="697"/>
      <c r="K52" s="648">
        <v>45658</v>
      </c>
      <c r="L52" s="697"/>
      <c r="M52" s="665" t="s">
        <v>29</v>
      </c>
      <c r="N52" s="665"/>
      <c r="O52" s="594" t="s">
        <v>29</v>
      </c>
      <c r="P52" s="594" t="s">
        <v>29</v>
      </c>
      <c r="Q52" s="594" t="s">
        <v>29</v>
      </c>
      <c r="R52" s="594" t="s">
        <v>29</v>
      </c>
      <c r="S52" s="594" t="s">
        <v>29</v>
      </c>
      <c r="T52" s="594"/>
      <c r="U52" s="683" t="s">
        <v>29</v>
      </c>
      <c r="V52" s="652">
        <v>5141879</v>
      </c>
    </row>
    <row r="53" spans="1:26" s="67" customFormat="1" x14ac:dyDescent="0.25">
      <c r="A53" s="698" t="s">
        <v>1284</v>
      </c>
      <c r="B53" s="640" t="s">
        <v>29</v>
      </c>
      <c r="C53" s="640"/>
      <c r="D53" s="640"/>
      <c r="E53" s="699" t="s">
        <v>1288</v>
      </c>
      <c r="F53" s="698" t="s">
        <v>1286</v>
      </c>
      <c r="G53" s="698" t="s">
        <v>1287</v>
      </c>
      <c r="H53" s="700">
        <v>6</v>
      </c>
      <c r="I53" s="657">
        <v>45200</v>
      </c>
      <c r="J53" s="701">
        <v>45627</v>
      </c>
      <c r="K53" s="657">
        <v>45200</v>
      </c>
      <c r="L53" s="701">
        <v>45658</v>
      </c>
      <c r="M53" s="667" t="s">
        <v>29</v>
      </c>
      <c r="N53" s="667"/>
      <c r="O53" s="640" t="s">
        <v>29</v>
      </c>
      <c r="P53" s="640" t="s">
        <v>29</v>
      </c>
      <c r="Q53" s="640" t="s">
        <v>29</v>
      </c>
      <c r="R53" s="640" t="s">
        <v>29</v>
      </c>
      <c r="S53" s="640" t="s">
        <v>29</v>
      </c>
      <c r="T53" s="640"/>
      <c r="U53" s="684" t="s">
        <v>29</v>
      </c>
      <c r="V53" s="661">
        <v>5141505</v>
      </c>
      <c r="W53" s="29"/>
      <c r="X53"/>
      <c r="Y53"/>
      <c r="Z53"/>
    </row>
    <row r="54" spans="1:26" s="29" customFormat="1" ht="37.5" x14ac:dyDescent="0.25">
      <c r="A54" s="644" t="s">
        <v>1289</v>
      </c>
      <c r="B54" s="645" t="s">
        <v>29</v>
      </c>
      <c r="C54" s="645"/>
      <c r="D54" s="645"/>
      <c r="E54" s="644" t="s">
        <v>1290</v>
      </c>
      <c r="F54" s="644" t="s">
        <v>1291</v>
      </c>
      <c r="G54" s="646" t="s">
        <v>1292</v>
      </c>
      <c r="H54" s="668">
        <v>260</v>
      </c>
      <c r="I54" s="648">
        <v>45627</v>
      </c>
      <c r="J54" s="648"/>
      <c r="K54" s="648">
        <v>45658</v>
      </c>
      <c r="L54" s="648"/>
      <c r="M54" s="669" t="s">
        <v>29</v>
      </c>
      <c r="N54" s="670"/>
      <c r="O54" s="669" t="s">
        <v>29</v>
      </c>
      <c r="P54" s="669" t="s">
        <v>29</v>
      </c>
      <c r="Q54" s="669" t="s">
        <v>29</v>
      </c>
      <c r="R54" s="669" t="s">
        <v>29</v>
      </c>
      <c r="S54" s="669" t="s">
        <v>29</v>
      </c>
      <c r="T54" s="669"/>
      <c r="U54" s="669" t="s">
        <v>29</v>
      </c>
      <c r="V54" s="671">
        <v>5141882</v>
      </c>
    </row>
    <row r="55" spans="1:26" s="67" customFormat="1" ht="37.5" x14ac:dyDescent="0.25">
      <c r="A55" s="653" t="s">
        <v>1289</v>
      </c>
      <c r="B55" s="654" t="s">
        <v>29</v>
      </c>
      <c r="C55" s="654"/>
      <c r="D55" s="654"/>
      <c r="E55" s="653" t="s">
        <v>1293</v>
      </c>
      <c r="F55" s="653" t="s">
        <v>1291</v>
      </c>
      <c r="G55" s="655" t="s">
        <v>1292</v>
      </c>
      <c r="H55" s="672">
        <v>260</v>
      </c>
      <c r="I55" s="657">
        <v>45200</v>
      </c>
      <c r="J55" s="657">
        <v>45627</v>
      </c>
      <c r="K55" s="657">
        <v>45200</v>
      </c>
      <c r="L55" s="657">
        <v>45658</v>
      </c>
      <c r="M55" s="673" t="s">
        <v>29</v>
      </c>
      <c r="N55" s="674"/>
      <c r="O55" s="673" t="s">
        <v>29</v>
      </c>
      <c r="P55" s="673" t="s">
        <v>29</v>
      </c>
      <c r="Q55" s="673" t="s">
        <v>29</v>
      </c>
      <c r="R55" s="673" t="s">
        <v>29</v>
      </c>
      <c r="S55" s="673" t="s">
        <v>29</v>
      </c>
      <c r="T55" s="673"/>
      <c r="U55" s="673" t="s">
        <v>29</v>
      </c>
      <c r="V55" s="675">
        <v>5141541</v>
      </c>
      <c r="W55" s="29"/>
      <c r="X55"/>
      <c r="Y55"/>
      <c r="Z55"/>
    </row>
    <row r="56" spans="1:26" s="29" customFormat="1" ht="25" x14ac:dyDescent="0.25">
      <c r="A56" s="644" t="s">
        <v>1294</v>
      </c>
      <c r="B56" s="645" t="s">
        <v>29</v>
      </c>
      <c r="C56" s="645"/>
      <c r="D56" s="645"/>
      <c r="E56" s="644" t="s">
        <v>1295</v>
      </c>
      <c r="F56" s="644" t="s">
        <v>1296</v>
      </c>
      <c r="G56" s="646" t="s">
        <v>1297</v>
      </c>
      <c r="H56" s="647">
        <v>270</v>
      </c>
      <c r="I56" s="676">
        <v>45627</v>
      </c>
      <c r="J56" s="648"/>
      <c r="K56" s="676">
        <v>45658</v>
      </c>
      <c r="L56" s="648"/>
      <c r="M56" s="649" t="s">
        <v>29</v>
      </c>
      <c r="N56" s="650"/>
      <c r="O56" s="649" t="s">
        <v>29</v>
      </c>
      <c r="P56" s="649" t="s">
        <v>29</v>
      </c>
      <c r="Q56" s="649" t="s">
        <v>29</v>
      </c>
      <c r="R56" s="649" t="s">
        <v>29</v>
      </c>
      <c r="S56" s="649" t="s">
        <v>29</v>
      </c>
      <c r="T56" s="649"/>
      <c r="U56" s="651" t="s">
        <v>29</v>
      </c>
      <c r="V56" s="652">
        <v>5141883</v>
      </c>
    </row>
    <row r="57" spans="1:26" s="67" customFormat="1" ht="25" x14ac:dyDescent="0.25">
      <c r="A57" s="653" t="s">
        <v>1294</v>
      </c>
      <c r="B57" s="654" t="s">
        <v>29</v>
      </c>
      <c r="C57" s="654"/>
      <c r="D57" s="654"/>
      <c r="E57" s="653" t="s">
        <v>1298</v>
      </c>
      <c r="F57" s="653" t="s">
        <v>1296</v>
      </c>
      <c r="G57" s="655" t="s">
        <v>1297</v>
      </c>
      <c r="H57" s="656">
        <v>270</v>
      </c>
      <c r="I57" s="679">
        <v>45200</v>
      </c>
      <c r="J57" s="657">
        <v>45627</v>
      </c>
      <c r="K57" s="679">
        <v>45200</v>
      </c>
      <c r="L57" s="657">
        <v>45658</v>
      </c>
      <c r="M57" s="658" t="s">
        <v>29</v>
      </c>
      <c r="N57" s="659"/>
      <c r="O57" s="658" t="s">
        <v>29</v>
      </c>
      <c r="P57" s="658" t="s">
        <v>29</v>
      </c>
      <c r="Q57" s="658" t="s">
        <v>29</v>
      </c>
      <c r="R57" s="658" t="s">
        <v>29</v>
      </c>
      <c r="S57" s="658" t="s">
        <v>29</v>
      </c>
      <c r="T57" s="658"/>
      <c r="U57" s="660" t="s">
        <v>29</v>
      </c>
      <c r="V57" s="661">
        <v>5141543</v>
      </c>
    </row>
    <row r="58" spans="1:26" s="67" customFormat="1" x14ac:dyDescent="0.25">
      <c r="A58" s="447" t="s">
        <v>1299</v>
      </c>
      <c r="B58" s="286" t="s">
        <v>29</v>
      </c>
      <c r="C58" s="286"/>
      <c r="D58" s="286"/>
      <c r="E58" s="447" t="s">
        <v>1300</v>
      </c>
      <c r="F58" s="447" t="s">
        <v>1301</v>
      </c>
      <c r="G58" s="287" t="s">
        <v>1155</v>
      </c>
      <c r="H58" s="448">
        <v>10</v>
      </c>
      <c r="I58" s="288">
        <v>45200</v>
      </c>
      <c r="J58" s="288"/>
      <c r="K58" s="288">
        <v>45200</v>
      </c>
      <c r="L58" s="288"/>
      <c r="M58" s="177" t="s">
        <v>29</v>
      </c>
      <c r="N58" s="450"/>
      <c r="O58" s="177" t="s">
        <v>29</v>
      </c>
      <c r="P58" s="177" t="s">
        <v>29</v>
      </c>
      <c r="Q58" s="177" t="s">
        <v>29</v>
      </c>
      <c r="R58" s="177" t="s">
        <v>29</v>
      </c>
      <c r="S58" s="177" t="s">
        <v>29</v>
      </c>
      <c r="T58" s="177" t="s">
        <v>29</v>
      </c>
      <c r="U58" s="175" t="s">
        <v>29</v>
      </c>
      <c r="V58" s="451">
        <v>5141496</v>
      </c>
      <c r="W58" s="29"/>
    </row>
    <row r="59" spans="1:26" s="67" customFormat="1" ht="25" x14ac:dyDescent="0.25">
      <c r="A59" s="65" t="s">
        <v>1302</v>
      </c>
      <c r="B59" s="175" t="s">
        <v>29</v>
      </c>
      <c r="C59" s="175"/>
      <c r="D59" s="175"/>
      <c r="E59" s="452" t="s">
        <v>1303</v>
      </c>
      <c r="F59" s="65"/>
      <c r="G59" s="325" t="s">
        <v>1304</v>
      </c>
      <c r="H59" s="448"/>
      <c r="I59" s="453">
        <v>45200</v>
      </c>
      <c r="J59" s="453"/>
      <c r="K59" s="453">
        <v>45200</v>
      </c>
      <c r="L59" s="453"/>
      <c r="M59" s="450"/>
      <c r="N59" s="450"/>
      <c r="O59" s="175"/>
      <c r="P59" s="175"/>
      <c r="Q59" s="175"/>
      <c r="R59" s="175"/>
      <c r="S59" s="175"/>
      <c r="T59" s="175"/>
      <c r="U59" s="175"/>
      <c r="V59" s="451"/>
    </row>
    <row r="60" spans="1:26" s="55" customFormat="1" ht="25" x14ac:dyDescent="0.25">
      <c r="A60" s="870" t="s">
        <v>1305</v>
      </c>
      <c r="B60" s="871" t="s">
        <v>29</v>
      </c>
      <c r="C60" s="871"/>
      <c r="D60" s="871"/>
      <c r="E60" s="870" t="s">
        <v>1306</v>
      </c>
      <c r="F60" s="870" t="s">
        <v>1307</v>
      </c>
      <c r="G60" s="872" t="s">
        <v>1308</v>
      </c>
      <c r="H60" s="873">
        <v>400</v>
      </c>
      <c r="I60" s="874">
        <v>46023</v>
      </c>
      <c r="J60" s="874"/>
      <c r="K60" s="874">
        <v>46023</v>
      </c>
      <c r="L60" s="874"/>
      <c r="M60" s="875"/>
      <c r="N60" s="876" t="s">
        <v>29</v>
      </c>
      <c r="O60" s="876" t="s">
        <v>29</v>
      </c>
      <c r="P60" s="876" t="s">
        <v>29</v>
      </c>
      <c r="Q60" s="877"/>
      <c r="R60" s="876" t="s">
        <v>29</v>
      </c>
      <c r="S60" s="878"/>
      <c r="T60" s="878" t="s">
        <v>29</v>
      </c>
      <c r="U60" s="877"/>
      <c r="V60" s="879">
        <v>5142751</v>
      </c>
      <c r="W60" s="67"/>
    </row>
    <row r="61" spans="1:26" s="29" customFormat="1" ht="25" x14ac:dyDescent="0.25">
      <c r="A61" s="880" t="s">
        <v>1309</v>
      </c>
      <c r="B61" s="881" t="s">
        <v>29</v>
      </c>
      <c r="C61" s="881"/>
      <c r="D61" s="881"/>
      <c r="E61" s="880" t="s">
        <v>1310</v>
      </c>
      <c r="F61" s="880" t="s">
        <v>1307</v>
      </c>
      <c r="G61" s="882" t="s">
        <v>1308</v>
      </c>
      <c r="H61" s="883">
        <v>400</v>
      </c>
      <c r="I61" s="884">
        <v>45200</v>
      </c>
      <c r="J61" s="884">
        <v>46023</v>
      </c>
      <c r="K61" s="884">
        <v>45200</v>
      </c>
      <c r="L61" s="884">
        <v>46023</v>
      </c>
      <c r="M61" s="885"/>
      <c r="N61" s="886" t="s">
        <v>29</v>
      </c>
      <c r="O61" s="886" t="s">
        <v>29</v>
      </c>
      <c r="P61" s="886" t="s">
        <v>29</v>
      </c>
      <c r="Q61" s="887"/>
      <c r="R61" s="886" t="s">
        <v>29</v>
      </c>
      <c r="S61" s="888"/>
      <c r="T61" s="888" t="s">
        <v>29</v>
      </c>
      <c r="U61" s="887"/>
      <c r="V61" s="889">
        <v>5141555</v>
      </c>
    </row>
    <row r="62" spans="1:26" s="29" customFormat="1" ht="25" x14ac:dyDescent="0.25">
      <c r="A62" s="840" t="s">
        <v>1311</v>
      </c>
      <c r="B62" s="841" t="s">
        <v>29</v>
      </c>
      <c r="C62" s="841"/>
      <c r="D62" s="841"/>
      <c r="E62" s="842" t="s">
        <v>1312</v>
      </c>
      <c r="F62" s="843" t="s">
        <v>1313</v>
      </c>
      <c r="G62" s="844" t="s">
        <v>1314</v>
      </c>
      <c r="H62" s="845">
        <v>35</v>
      </c>
      <c r="I62" s="846">
        <v>44362</v>
      </c>
      <c r="J62" s="846">
        <v>45748</v>
      </c>
      <c r="K62" s="846">
        <v>44362</v>
      </c>
      <c r="L62" s="846">
        <v>45748</v>
      </c>
      <c r="M62" s="847" t="s">
        <v>29</v>
      </c>
      <c r="N62" s="847"/>
      <c r="O62" s="841"/>
      <c r="P62" s="841" t="s">
        <v>29</v>
      </c>
      <c r="Q62" s="841"/>
      <c r="R62" s="841" t="s">
        <v>29</v>
      </c>
      <c r="S62" s="841"/>
      <c r="T62" s="841"/>
      <c r="U62" s="841"/>
      <c r="V62" s="848">
        <v>5140277</v>
      </c>
    </row>
    <row r="63" spans="1:26" s="67" customFormat="1" ht="25" x14ac:dyDescent="0.25">
      <c r="A63" s="840" t="s">
        <v>1315</v>
      </c>
      <c r="B63" s="841" t="s">
        <v>29</v>
      </c>
      <c r="C63" s="841"/>
      <c r="D63" s="841"/>
      <c r="E63" s="842" t="s">
        <v>1316</v>
      </c>
      <c r="F63" s="843" t="s">
        <v>1317</v>
      </c>
      <c r="G63" s="844" t="s">
        <v>1318</v>
      </c>
      <c r="H63" s="845">
        <v>405</v>
      </c>
      <c r="I63" s="846">
        <v>43327</v>
      </c>
      <c r="J63" s="846">
        <v>45915</v>
      </c>
      <c r="K63" s="846">
        <v>43358</v>
      </c>
      <c r="L63" s="846">
        <v>45931</v>
      </c>
      <c r="M63" s="847"/>
      <c r="N63" s="847" t="s">
        <v>29</v>
      </c>
      <c r="O63" s="841"/>
      <c r="P63" s="841" t="s">
        <v>29</v>
      </c>
      <c r="Q63" s="841"/>
      <c r="R63" s="841" t="s">
        <v>29</v>
      </c>
      <c r="S63" s="841"/>
      <c r="T63" s="841"/>
      <c r="U63" s="841"/>
      <c r="V63" s="848">
        <v>6270</v>
      </c>
    </row>
    <row r="64" spans="1:26" s="67" customFormat="1" ht="25" x14ac:dyDescent="0.25">
      <c r="A64" s="851" t="s">
        <v>1319</v>
      </c>
      <c r="B64" s="831" t="s">
        <v>29</v>
      </c>
      <c r="C64" s="832"/>
      <c r="D64" s="832"/>
      <c r="E64" s="833" t="s">
        <v>1320</v>
      </c>
      <c r="F64" s="834" t="s">
        <v>1317</v>
      </c>
      <c r="G64" s="835" t="s">
        <v>1318</v>
      </c>
      <c r="H64" s="836">
        <v>405</v>
      </c>
      <c r="I64" s="837">
        <v>45915</v>
      </c>
      <c r="J64" s="837"/>
      <c r="K64" s="837">
        <v>45931</v>
      </c>
      <c r="L64" s="837"/>
      <c r="M64" s="868"/>
      <c r="N64" s="838" t="s">
        <v>29</v>
      </c>
      <c r="O64" s="832"/>
      <c r="P64" s="831" t="s">
        <v>29</v>
      </c>
      <c r="Q64" s="832"/>
      <c r="R64" s="831" t="s">
        <v>29</v>
      </c>
      <c r="S64" s="832"/>
      <c r="T64" s="832"/>
      <c r="U64" s="831"/>
      <c r="V64" s="839">
        <v>5142523</v>
      </c>
    </row>
    <row r="65" spans="1:23" s="67" customFormat="1" ht="25" x14ac:dyDescent="0.25">
      <c r="A65" s="926" t="s">
        <v>1321</v>
      </c>
      <c r="B65" s="927" t="s">
        <v>29</v>
      </c>
      <c r="C65" s="928"/>
      <c r="D65" s="928"/>
      <c r="E65" s="929" t="s">
        <v>1322</v>
      </c>
      <c r="F65" s="930" t="s">
        <v>1323</v>
      </c>
      <c r="G65" s="931" t="s">
        <v>1324</v>
      </c>
      <c r="H65" s="932">
        <v>15</v>
      </c>
      <c r="I65" s="933">
        <v>46082</v>
      </c>
      <c r="J65" s="933">
        <v>46447</v>
      </c>
      <c r="K65" s="933">
        <v>46082</v>
      </c>
      <c r="L65" s="933">
        <v>46447</v>
      </c>
      <c r="M65" s="934"/>
      <c r="N65" s="935" t="s">
        <v>29</v>
      </c>
      <c r="O65" s="928"/>
      <c r="P65" s="927" t="s">
        <v>29</v>
      </c>
      <c r="Q65" s="928"/>
      <c r="R65" s="927" t="s">
        <v>29</v>
      </c>
      <c r="S65" s="927" t="s">
        <v>29</v>
      </c>
      <c r="T65" s="928"/>
      <c r="U65" s="927" t="s">
        <v>29</v>
      </c>
      <c r="V65" s="936">
        <v>5142905</v>
      </c>
    </row>
    <row r="66" spans="1:23" s="67" customFormat="1" x14ac:dyDescent="0.25">
      <c r="A66" s="840" t="s">
        <v>1325</v>
      </c>
      <c r="B66" s="841" t="s">
        <v>29</v>
      </c>
      <c r="C66" s="841"/>
      <c r="D66" s="841"/>
      <c r="E66" s="842" t="s">
        <v>1326</v>
      </c>
      <c r="F66" s="840"/>
      <c r="G66" s="844" t="s">
        <v>1327</v>
      </c>
      <c r="H66" s="845"/>
      <c r="I66" s="846">
        <v>43327</v>
      </c>
      <c r="J66" s="846">
        <v>45915</v>
      </c>
      <c r="K66" s="846">
        <v>43358</v>
      </c>
      <c r="L66" s="846">
        <v>45931</v>
      </c>
      <c r="M66" s="847"/>
      <c r="N66" s="847"/>
      <c r="O66" s="841"/>
      <c r="P66" s="841"/>
      <c r="Q66" s="841"/>
      <c r="R66" s="841"/>
      <c r="S66" s="841"/>
      <c r="T66" s="841"/>
      <c r="U66" s="841"/>
      <c r="V66" s="848">
        <v>6271</v>
      </c>
    </row>
    <row r="67" spans="1:23" s="29" customFormat="1" x14ac:dyDescent="0.25">
      <c r="A67" s="851" t="s">
        <v>1328</v>
      </c>
      <c r="B67" s="831" t="s">
        <v>29</v>
      </c>
      <c r="C67" s="832"/>
      <c r="D67" s="832"/>
      <c r="E67" s="833" t="s">
        <v>1329</v>
      </c>
      <c r="F67" s="867"/>
      <c r="G67" s="835" t="s">
        <v>1327</v>
      </c>
      <c r="H67" s="836"/>
      <c r="I67" s="837">
        <v>45915</v>
      </c>
      <c r="J67" s="837"/>
      <c r="K67" s="837">
        <v>45931</v>
      </c>
      <c r="L67" s="837"/>
      <c r="M67" s="868"/>
      <c r="N67" s="868"/>
      <c r="O67" s="832"/>
      <c r="P67" s="832"/>
      <c r="Q67" s="832"/>
      <c r="R67" s="832"/>
      <c r="S67" s="832"/>
      <c r="T67" s="832"/>
      <c r="U67" s="831"/>
      <c r="V67" s="839">
        <v>5142524</v>
      </c>
    </row>
    <row r="68" spans="1:23" s="67" customFormat="1" x14ac:dyDescent="0.25">
      <c r="A68" s="644" t="s">
        <v>1330</v>
      </c>
      <c r="B68" s="645" t="s">
        <v>29</v>
      </c>
      <c r="C68" s="645"/>
      <c r="D68" s="645"/>
      <c r="E68" s="646" t="s">
        <v>1331</v>
      </c>
      <c r="F68" s="646"/>
      <c r="G68" s="646"/>
      <c r="H68" s="691">
        <v>1505</v>
      </c>
      <c r="I68" s="648">
        <v>45627</v>
      </c>
      <c r="J68" s="692"/>
      <c r="K68" s="648">
        <v>45658</v>
      </c>
      <c r="L68" s="692"/>
      <c r="M68" s="685"/>
      <c r="N68" s="685" t="s">
        <v>29</v>
      </c>
      <c r="O68" s="685" t="s">
        <v>29</v>
      </c>
      <c r="P68" s="685"/>
      <c r="Q68" s="685"/>
      <c r="R68" s="685"/>
      <c r="S68" s="649"/>
      <c r="T68" s="649" t="s">
        <v>29</v>
      </c>
      <c r="U68" s="651" t="s">
        <v>29</v>
      </c>
      <c r="V68" s="651">
        <v>5141532</v>
      </c>
    </row>
    <row r="69" spans="1:23" s="67" customFormat="1" x14ac:dyDescent="0.25">
      <c r="A69" s="653" t="s">
        <v>1330</v>
      </c>
      <c r="B69" s="654" t="s">
        <v>29</v>
      </c>
      <c r="C69" s="654"/>
      <c r="D69" s="654"/>
      <c r="E69" s="655" t="s">
        <v>1332</v>
      </c>
      <c r="F69" s="655"/>
      <c r="G69" s="655"/>
      <c r="H69" s="693">
        <v>1505</v>
      </c>
      <c r="I69" s="657">
        <v>44166</v>
      </c>
      <c r="J69" s="694">
        <v>45627</v>
      </c>
      <c r="K69" s="657">
        <v>44166</v>
      </c>
      <c r="L69" s="694">
        <v>45658</v>
      </c>
      <c r="M69" s="686"/>
      <c r="N69" s="686" t="s">
        <v>29</v>
      </c>
      <c r="O69" s="686" t="s">
        <v>29</v>
      </c>
      <c r="P69" s="686"/>
      <c r="Q69" s="686"/>
      <c r="R69" s="686"/>
      <c r="S69" s="658"/>
      <c r="T69" s="658" t="s">
        <v>29</v>
      </c>
      <c r="U69" s="660" t="s">
        <v>29</v>
      </c>
      <c r="V69" s="660">
        <v>5141145</v>
      </c>
    </row>
    <row r="70" spans="1:23" s="67" customFormat="1" x14ac:dyDescent="0.25">
      <c r="A70" s="324" t="s">
        <v>1333</v>
      </c>
      <c r="B70" s="462"/>
      <c r="C70" s="462" t="s">
        <v>29</v>
      </c>
      <c r="D70" s="462"/>
      <c r="E70" s="465" t="s">
        <v>1334</v>
      </c>
      <c r="F70" s="135" t="s">
        <v>1335</v>
      </c>
      <c r="G70" s="135" t="s">
        <v>1336</v>
      </c>
      <c r="H70" s="463">
        <v>1105</v>
      </c>
      <c r="I70" s="464">
        <v>43070</v>
      </c>
      <c r="J70" s="464"/>
      <c r="K70" s="464">
        <v>43101</v>
      </c>
      <c r="L70" s="464"/>
      <c r="M70" s="461" t="s">
        <v>29</v>
      </c>
      <c r="N70" s="461"/>
      <c r="O70" s="461" t="s">
        <v>29</v>
      </c>
      <c r="P70" s="461" t="s">
        <v>29</v>
      </c>
      <c r="Q70" s="461" t="s">
        <v>29</v>
      </c>
      <c r="R70" s="461" t="s">
        <v>29</v>
      </c>
      <c r="S70" s="138" t="s">
        <v>29</v>
      </c>
      <c r="T70" s="138" t="s">
        <v>29</v>
      </c>
      <c r="U70" s="175"/>
      <c r="V70" s="451">
        <v>5726</v>
      </c>
    </row>
    <row r="71" spans="1:23" s="29" customFormat="1" x14ac:dyDescent="0.25">
      <c r="A71" s="324" t="s">
        <v>1337</v>
      </c>
      <c r="B71" s="462"/>
      <c r="C71" s="462" t="s">
        <v>29</v>
      </c>
      <c r="D71" s="462"/>
      <c r="E71" s="135" t="s">
        <v>1338</v>
      </c>
      <c r="F71" s="135" t="s">
        <v>1339</v>
      </c>
      <c r="G71" s="135" t="s">
        <v>1336</v>
      </c>
      <c r="H71" s="463">
        <v>1105</v>
      </c>
      <c r="I71" s="464">
        <v>43922</v>
      </c>
      <c r="J71" s="464"/>
      <c r="K71" s="464">
        <v>43922</v>
      </c>
      <c r="L71" s="464"/>
      <c r="M71" s="461" t="s">
        <v>29</v>
      </c>
      <c r="N71" s="461"/>
      <c r="O71" s="461" t="s">
        <v>29</v>
      </c>
      <c r="P71" s="461" t="s">
        <v>29</v>
      </c>
      <c r="Q71" s="461" t="s">
        <v>29</v>
      </c>
      <c r="R71" s="461" t="s">
        <v>29</v>
      </c>
      <c r="S71" s="138" t="s">
        <v>29</v>
      </c>
      <c r="T71" s="138" t="s">
        <v>29</v>
      </c>
      <c r="U71" s="175"/>
      <c r="V71" s="451">
        <v>5140149</v>
      </c>
    </row>
    <row r="72" spans="1:23" s="67" customFormat="1" x14ac:dyDescent="0.25">
      <c r="A72" s="65" t="s">
        <v>1221</v>
      </c>
      <c r="B72" s="175"/>
      <c r="C72" s="175" t="s">
        <v>29</v>
      </c>
      <c r="D72" s="175"/>
      <c r="E72" s="452" t="s">
        <v>1340</v>
      </c>
      <c r="F72" s="293" t="s">
        <v>1223</v>
      </c>
      <c r="G72" s="293" t="s">
        <v>1341</v>
      </c>
      <c r="H72" s="448">
        <v>1175</v>
      </c>
      <c r="I72" s="464">
        <v>43070</v>
      </c>
      <c r="J72" s="453"/>
      <c r="K72" s="464">
        <v>43101</v>
      </c>
      <c r="L72" s="453"/>
      <c r="M72" s="289" t="s">
        <v>29</v>
      </c>
      <c r="N72" s="289"/>
      <c r="O72" s="177" t="s">
        <v>29</v>
      </c>
      <c r="P72" s="177" t="s">
        <v>29</v>
      </c>
      <c r="Q72" s="177" t="s">
        <v>29</v>
      </c>
      <c r="R72" s="177" t="s">
        <v>29</v>
      </c>
      <c r="S72" s="177"/>
      <c r="T72" s="177"/>
      <c r="U72" s="175"/>
      <c r="V72" s="451">
        <v>5718</v>
      </c>
    </row>
    <row r="73" spans="1:23" s="29" customFormat="1" x14ac:dyDescent="0.25">
      <c r="A73" s="447" t="s">
        <v>1276</v>
      </c>
      <c r="B73" s="286"/>
      <c r="C73" s="286" t="s">
        <v>29</v>
      </c>
      <c r="D73" s="286"/>
      <c r="E73" s="447" t="s">
        <v>1342</v>
      </c>
      <c r="F73" s="447" t="s">
        <v>1343</v>
      </c>
      <c r="G73" s="287" t="s">
        <v>1279</v>
      </c>
      <c r="H73" s="448">
        <v>1205</v>
      </c>
      <c r="I73" s="449">
        <v>44173</v>
      </c>
      <c r="J73" s="449"/>
      <c r="K73" s="449">
        <v>44173</v>
      </c>
      <c r="L73" s="449"/>
      <c r="M73" s="450" t="s">
        <v>29</v>
      </c>
      <c r="N73" s="450"/>
      <c r="O73" s="175" t="s">
        <v>29</v>
      </c>
      <c r="P73" s="175" t="s">
        <v>29</v>
      </c>
      <c r="Q73" s="175" t="s">
        <v>29</v>
      </c>
      <c r="R73" s="175" t="s">
        <v>29</v>
      </c>
      <c r="S73" s="286" t="s">
        <v>29</v>
      </c>
      <c r="T73" s="286"/>
      <c r="U73" s="175"/>
      <c r="V73" s="451">
        <v>5140696</v>
      </c>
    </row>
    <row r="74" spans="1:23" s="29" customFormat="1" x14ac:dyDescent="0.25">
      <c r="A74" s="447" t="s">
        <v>1344</v>
      </c>
      <c r="B74" s="286"/>
      <c r="C74" s="286" t="s">
        <v>29</v>
      </c>
      <c r="D74" s="286"/>
      <c r="E74" s="447" t="s">
        <v>1345</v>
      </c>
      <c r="F74" s="447" t="s">
        <v>1346</v>
      </c>
      <c r="G74" s="287" t="s">
        <v>1155</v>
      </c>
      <c r="H74" s="448">
        <v>1120</v>
      </c>
      <c r="I74" s="288">
        <v>44835</v>
      </c>
      <c r="J74" s="288"/>
      <c r="K74" s="288">
        <v>44835</v>
      </c>
      <c r="L74" s="288"/>
      <c r="M74" s="177" t="s">
        <v>29</v>
      </c>
      <c r="N74" s="450"/>
      <c r="O74" s="177" t="s">
        <v>29</v>
      </c>
      <c r="P74" s="177" t="s">
        <v>29</v>
      </c>
      <c r="Q74" s="177" t="s">
        <v>29</v>
      </c>
      <c r="R74" s="177" t="s">
        <v>29</v>
      </c>
      <c r="S74" s="177" t="s">
        <v>29</v>
      </c>
      <c r="T74" s="177" t="s">
        <v>29</v>
      </c>
      <c r="U74" s="175"/>
      <c r="V74" s="451">
        <v>5141187</v>
      </c>
    </row>
    <row r="75" spans="1:23" s="67" customFormat="1" x14ac:dyDescent="0.25">
      <c r="A75" s="447" t="s">
        <v>1347</v>
      </c>
      <c r="B75" s="16"/>
      <c r="C75" s="175" t="s">
        <v>29</v>
      </c>
      <c r="D75" s="16"/>
      <c r="E75" s="452" t="s">
        <v>1348</v>
      </c>
      <c r="F75" s="65" t="s">
        <v>1349</v>
      </c>
      <c r="G75" s="135" t="s">
        <v>1336</v>
      </c>
      <c r="H75" s="295">
        <v>1155</v>
      </c>
      <c r="I75" s="288">
        <v>44835</v>
      </c>
      <c r="J75" s="288"/>
      <c r="K75" s="288">
        <v>44835</v>
      </c>
      <c r="L75" s="288"/>
      <c r="M75" s="461" t="s">
        <v>29</v>
      </c>
      <c r="N75" s="450"/>
      <c r="O75" s="175" t="s">
        <v>29</v>
      </c>
      <c r="P75" s="175" t="s">
        <v>29</v>
      </c>
      <c r="Q75" s="175" t="s">
        <v>29</v>
      </c>
      <c r="R75" s="175" t="s">
        <v>29</v>
      </c>
      <c r="S75" s="175" t="s">
        <v>29</v>
      </c>
      <c r="T75" s="175" t="s">
        <v>29</v>
      </c>
      <c r="U75" s="175"/>
      <c r="V75" s="451">
        <v>5141188</v>
      </c>
      <c r="W75" s="29"/>
    </row>
    <row r="76" spans="1:23" s="29" customFormat="1" x14ac:dyDescent="0.25">
      <c r="A76" s="135" t="s">
        <v>1350</v>
      </c>
      <c r="B76" s="136"/>
      <c r="C76" s="136" t="s">
        <v>29</v>
      </c>
      <c r="D76" s="136"/>
      <c r="E76" s="466" t="s">
        <v>1351</v>
      </c>
      <c r="F76" s="135" t="s">
        <v>1352</v>
      </c>
      <c r="G76" s="135" t="s">
        <v>1353</v>
      </c>
      <c r="H76" s="463">
        <v>1135</v>
      </c>
      <c r="I76" s="464">
        <v>43922</v>
      </c>
      <c r="J76" s="464"/>
      <c r="K76" s="464">
        <v>43922</v>
      </c>
      <c r="L76" s="464"/>
      <c r="M76" s="461" t="s">
        <v>29</v>
      </c>
      <c r="N76" s="461"/>
      <c r="O76" s="461" t="s">
        <v>29</v>
      </c>
      <c r="P76" s="461" t="s">
        <v>29</v>
      </c>
      <c r="Q76" s="461" t="s">
        <v>29</v>
      </c>
      <c r="R76" s="461" t="s">
        <v>29</v>
      </c>
      <c r="S76" s="138" t="s">
        <v>29</v>
      </c>
      <c r="T76" s="138" t="s">
        <v>1164</v>
      </c>
      <c r="U76" s="175"/>
      <c r="V76" s="451">
        <v>6386</v>
      </c>
    </row>
    <row r="77" spans="1:23" s="67" customFormat="1" x14ac:dyDescent="0.25">
      <c r="A77" s="135" t="s">
        <v>1354</v>
      </c>
      <c r="B77" s="136"/>
      <c r="C77" s="136" t="s">
        <v>29</v>
      </c>
      <c r="D77" s="136"/>
      <c r="E77" s="466" t="s">
        <v>1355</v>
      </c>
      <c r="F77" s="135" t="s">
        <v>1356</v>
      </c>
      <c r="G77" s="135" t="s">
        <v>1357</v>
      </c>
      <c r="H77" s="463">
        <v>1130</v>
      </c>
      <c r="I77" s="464">
        <v>43070</v>
      </c>
      <c r="J77" s="464"/>
      <c r="K77" s="464">
        <v>43101</v>
      </c>
      <c r="L77" s="464"/>
      <c r="M77" s="461" t="s">
        <v>29</v>
      </c>
      <c r="N77" s="461"/>
      <c r="O77" s="461" t="s">
        <v>29</v>
      </c>
      <c r="P77" s="461" t="s">
        <v>29</v>
      </c>
      <c r="Q77" s="461" t="s">
        <v>29</v>
      </c>
      <c r="R77" s="461" t="s">
        <v>29</v>
      </c>
      <c r="S77" s="138" t="s">
        <v>29</v>
      </c>
      <c r="T77" s="138" t="s">
        <v>1164</v>
      </c>
      <c r="U77" s="175"/>
      <c r="V77" s="451">
        <v>5727</v>
      </c>
    </row>
    <row r="78" spans="1:23" s="67" customFormat="1" x14ac:dyDescent="0.25">
      <c r="A78" s="65" t="s">
        <v>1358</v>
      </c>
      <c r="B78" s="175"/>
      <c r="C78" s="175" t="s">
        <v>29</v>
      </c>
      <c r="D78" s="175"/>
      <c r="E78" s="452" t="s">
        <v>1359</v>
      </c>
      <c r="F78" s="65" t="s">
        <v>1360</v>
      </c>
      <c r="G78" s="65" t="s">
        <v>1208</v>
      </c>
      <c r="H78" s="448">
        <v>1180</v>
      </c>
      <c r="I78" s="288">
        <v>44835</v>
      </c>
      <c r="J78" s="288"/>
      <c r="K78" s="288">
        <v>44835</v>
      </c>
      <c r="L78" s="288"/>
      <c r="M78" s="289" t="s">
        <v>29</v>
      </c>
      <c r="N78" s="289"/>
      <c r="O78" s="177" t="s">
        <v>29</v>
      </c>
      <c r="P78" s="177" t="s">
        <v>29</v>
      </c>
      <c r="Q78" s="177" t="s">
        <v>29</v>
      </c>
      <c r="R78" s="177" t="s">
        <v>29</v>
      </c>
      <c r="S78" s="177" t="s">
        <v>29</v>
      </c>
      <c r="T78" s="177" t="s">
        <v>1164</v>
      </c>
      <c r="U78" s="175"/>
      <c r="V78" s="451">
        <v>5141189</v>
      </c>
    </row>
    <row r="79" spans="1:23" s="29" customFormat="1" ht="15" customHeight="1" x14ac:dyDescent="0.25">
      <c r="A79" s="135" t="s">
        <v>1263</v>
      </c>
      <c r="B79" s="136"/>
      <c r="C79" s="136" t="s">
        <v>29</v>
      </c>
      <c r="D79" s="136"/>
      <c r="E79" s="466" t="s">
        <v>1361</v>
      </c>
      <c r="F79" s="135" t="s">
        <v>1265</v>
      </c>
      <c r="G79" s="135" t="s">
        <v>1266</v>
      </c>
      <c r="H79" s="463">
        <v>1215</v>
      </c>
      <c r="I79" s="471">
        <v>44835</v>
      </c>
      <c r="J79" s="471"/>
      <c r="K79" s="471">
        <v>44835</v>
      </c>
      <c r="L79" s="471"/>
      <c r="M79" s="292" t="s">
        <v>29</v>
      </c>
      <c r="N79" s="292"/>
      <c r="O79" s="136" t="s">
        <v>29</v>
      </c>
      <c r="P79" s="136" t="s">
        <v>29</v>
      </c>
      <c r="Q79" s="136" t="s">
        <v>29</v>
      </c>
      <c r="R79" s="136" t="s">
        <v>29</v>
      </c>
      <c r="S79" s="136" t="s">
        <v>29</v>
      </c>
      <c r="T79" s="177" t="str">
        <f>IF(LEFT(G79,6)="Always","X","")</f>
        <v/>
      </c>
      <c r="U79" s="175"/>
      <c r="V79" s="451">
        <v>5140982</v>
      </c>
    </row>
    <row r="80" spans="1:23" s="67" customFormat="1" ht="15" customHeight="1" x14ac:dyDescent="0.25">
      <c r="A80" s="447" t="s">
        <v>1362</v>
      </c>
      <c r="B80" s="286"/>
      <c r="C80" s="286" t="s">
        <v>29</v>
      </c>
      <c r="D80" s="286"/>
      <c r="E80" s="447" t="s">
        <v>1363</v>
      </c>
      <c r="F80" s="447" t="s">
        <v>680</v>
      </c>
      <c r="G80" s="287" t="s">
        <v>1364</v>
      </c>
      <c r="H80" s="448">
        <v>1185</v>
      </c>
      <c r="I80" s="288">
        <v>43922</v>
      </c>
      <c r="J80" s="288"/>
      <c r="K80" s="288">
        <v>43922</v>
      </c>
      <c r="L80" s="288"/>
      <c r="M80" s="289" t="s">
        <v>29</v>
      </c>
      <c r="N80" s="289"/>
      <c r="O80" s="289" t="s">
        <v>29</v>
      </c>
      <c r="P80" s="289" t="s">
        <v>29</v>
      </c>
      <c r="Q80" s="289" t="s">
        <v>29</v>
      </c>
      <c r="R80" s="289" t="s">
        <v>29</v>
      </c>
      <c r="S80" s="177" t="s">
        <v>29</v>
      </c>
      <c r="T80" s="177"/>
      <c r="U80" s="175"/>
      <c r="V80" s="451">
        <v>5140219</v>
      </c>
      <c r="W80" s="29"/>
    </row>
    <row r="81" spans="1:26" s="29" customFormat="1" ht="15" customHeight="1" x14ac:dyDescent="0.25">
      <c r="A81" s="447" t="s">
        <v>1365</v>
      </c>
      <c r="B81" s="286"/>
      <c r="C81" s="286" t="s">
        <v>29</v>
      </c>
      <c r="D81" s="286"/>
      <c r="E81" s="447" t="s">
        <v>1366</v>
      </c>
      <c r="F81" s="447" t="s">
        <v>1218</v>
      </c>
      <c r="G81" s="287" t="s">
        <v>1219</v>
      </c>
      <c r="H81" s="448">
        <v>1190</v>
      </c>
      <c r="I81" s="288">
        <v>43922</v>
      </c>
      <c r="J81" s="288"/>
      <c r="K81" s="288">
        <v>43922</v>
      </c>
      <c r="L81" s="288"/>
      <c r="M81" s="289" t="s">
        <v>29</v>
      </c>
      <c r="N81" s="289"/>
      <c r="O81" s="289" t="s">
        <v>29</v>
      </c>
      <c r="P81" s="289" t="s">
        <v>29</v>
      </c>
      <c r="Q81" s="289" t="s">
        <v>29</v>
      </c>
      <c r="R81" s="289" t="s">
        <v>29</v>
      </c>
      <c r="S81" s="177" t="s">
        <v>29</v>
      </c>
      <c r="T81" s="177"/>
      <c r="U81" s="175"/>
      <c r="V81" s="451">
        <v>5140152</v>
      </c>
    </row>
    <row r="82" spans="1:26" s="67" customFormat="1" ht="15" customHeight="1" x14ac:dyDescent="0.25">
      <c r="A82" s="447" t="s">
        <v>1367</v>
      </c>
      <c r="B82" s="286"/>
      <c r="C82" s="286" t="s">
        <v>29</v>
      </c>
      <c r="D82" s="286"/>
      <c r="E82" s="447" t="s">
        <v>1368</v>
      </c>
      <c r="F82" s="447" t="s">
        <v>687</v>
      </c>
      <c r="G82" s="287" t="s">
        <v>1369</v>
      </c>
      <c r="H82" s="448">
        <v>1200</v>
      </c>
      <c r="I82" s="288">
        <v>43922</v>
      </c>
      <c r="J82" s="288"/>
      <c r="K82" s="288">
        <v>43922</v>
      </c>
      <c r="L82" s="288"/>
      <c r="M82" s="289" t="s">
        <v>29</v>
      </c>
      <c r="N82" s="289"/>
      <c r="O82" s="289" t="s">
        <v>29</v>
      </c>
      <c r="P82" s="289" t="s">
        <v>29</v>
      </c>
      <c r="Q82" s="289" t="s">
        <v>29</v>
      </c>
      <c r="R82" s="289" t="s">
        <v>29</v>
      </c>
      <c r="S82" s="177" t="s">
        <v>29</v>
      </c>
      <c r="T82" s="177"/>
      <c r="U82" s="175"/>
      <c r="V82" s="451">
        <v>5140404</v>
      </c>
    </row>
    <row r="83" spans="1:26" s="29" customFormat="1" x14ac:dyDescent="0.25">
      <c r="A83" s="135" t="s">
        <v>1370</v>
      </c>
      <c r="B83" s="136"/>
      <c r="C83" s="136" t="s">
        <v>29</v>
      </c>
      <c r="D83" s="136"/>
      <c r="E83" s="466" t="s">
        <v>1371</v>
      </c>
      <c r="F83" s="135" t="s">
        <v>1372</v>
      </c>
      <c r="G83" s="135" t="s">
        <v>1373</v>
      </c>
      <c r="H83" s="448">
        <v>1140</v>
      </c>
      <c r="I83" s="471">
        <v>44835</v>
      </c>
      <c r="J83" s="471"/>
      <c r="K83" s="471">
        <v>44835</v>
      </c>
      <c r="L83" s="454"/>
      <c r="M83" s="289" t="s">
        <v>29</v>
      </c>
      <c r="N83" s="289"/>
      <c r="O83" s="289" t="s">
        <v>29</v>
      </c>
      <c r="P83" s="289" t="s">
        <v>29</v>
      </c>
      <c r="Q83" s="289" t="s">
        <v>29</v>
      </c>
      <c r="R83" s="289" t="s">
        <v>29</v>
      </c>
      <c r="S83" s="177" t="s">
        <v>29</v>
      </c>
      <c r="T83" s="177" t="s">
        <v>1164</v>
      </c>
      <c r="U83" s="175"/>
      <c r="V83" s="451">
        <v>5140980</v>
      </c>
    </row>
    <row r="84" spans="1:26" s="29" customFormat="1" x14ac:dyDescent="0.25">
      <c r="A84" s="455" t="s">
        <v>1374</v>
      </c>
      <c r="B84" s="308"/>
      <c r="C84" s="308" t="s">
        <v>29</v>
      </c>
      <c r="D84" s="308"/>
      <c r="E84" s="455" t="s">
        <v>1375</v>
      </c>
      <c r="F84" s="456" t="s">
        <v>1376</v>
      </c>
      <c r="G84" s="457" t="s">
        <v>1377</v>
      </c>
      <c r="H84" s="458">
        <v>1156</v>
      </c>
      <c r="I84" s="459">
        <v>45200</v>
      </c>
      <c r="J84" s="459"/>
      <c r="K84" s="459">
        <v>45200</v>
      </c>
      <c r="L84" s="459"/>
      <c r="M84" s="289" t="s">
        <v>29</v>
      </c>
      <c r="N84" s="289"/>
      <c r="O84" s="289" t="s">
        <v>29</v>
      </c>
      <c r="P84" s="289" t="s">
        <v>29</v>
      </c>
      <c r="Q84" s="289" t="s">
        <v>29</v>
      </c>
      <c r="R84" s="289" t="s">
        <v>29</v>
      </c>
      <c r="S84" s="308" t="s">
        <v>29</v>
      </c>
      <c r="T84" s="177" t="s">
        <v>29</v>
      </c>
      <c r="U84" s="177"/>
      <c r="V84" s="460">
        <v>5141511</v>
      </c>
    </row>
    <row r="85" spans="1:26" s="67" customFormat="1" ht="25" x14ac:dyDescent="0.25">
      <c r="A85" s="447" t="s">
        <v>1378</v>
      </c>
      <c r="B85" s="286"/>
      <c r="C85" s="286" t="s">
        <v>29</v>
      </c>
      <c r="D85" s="286"/>
      <c r="E85" s="447" t="s">
        <v>1379</v>
      </c>
      <c r="F85" s="447" t="s">
        <v>684</v>
      </c>
      <c r="G85" s="287" t="s">
        <v>1380</v>
      </c>
      <c r="H85" s="448">
        <v>1195</v>
      </c>
      <c r="I85" s="288">
        <v>43922</v>
      </c>
      <c r="J85" s="288"/>
      <c r="K85" s="288">
        <v>43922</v>
      </c>
      <c r="L85" s="288"/>
      <c r="M85" s="289" t="s">
        <v>29</v>
      </c>
      <c r="N85" s="289"/>
      <c r="O85" s="289" t="s">
        <v>29</v>
      </c>
      <c r="P85" s="289" t="s">
        <v>29</v>
      </c>
      <c r="Q85" s="289" t="s">
        <v>29</v>
      </c>
      <c r="R85" s="289" t="s">
        <v>29</v>
      </c>
      <c r="S85" s="177" t="s">
        <v>29</v>
      </c>
      <c r="T85" s="177"/>
      <c r="U85" s="175"/>
      <c r="V85" s="451">
        <v>5140101</v>
      </c>
      <c r="W85" s="29"/>
      <c r="X85" s="29"/>
      <c r="Y85" s="29"/>
      <c r="Z85" s="29"/>
    </row>
    <row r="86" spans="1:26" s="29" customFormat="1" x14ac:dyDescent="0.25">
      <c r="A86" s="135" t="s">
        <v>1381</v>
      </c>
      <c r="B86" s="136"/>
      <c r="C86" s="136" t="s">
        <v>29</v>
      </c>
      <c r="D86" s="136"/>
      <c r="E86" s="466" t="s">
        <v>1382</v>
      </c>
      <c r="F86" s="465" t="s">
        <v>1383</v>
      </c>
      <c r="G86" s="135" t="s">
        <v>1384</v>
      </c>
      <c r="H86" s="463">
        <v>1165</v>
      </c>
      <c r="I86" s="464">
        <v>44835</v>
      </c>
      <c r="J86" s="464"/>
      <c r="K86" s="464">
        <v>44835</v>
      </c>
      <c r="L86" s="464"/>
      <c r="M86" s="461" t="s">
        <v>29</v>
      </c>
      <c r="N86" s="461"/>
      <c r="O86" s="461" t="s">
        <v>29</v>
      </c>
      <c r="P86" s="461" t="s">
        <v>29</v>
      </c>
      <c r="Q86" s="461" t="s">
        <v>29</v>
      </c>
      <c r="R86" s="461" t="s">
        <v>29</v>
      </c>
      <c r="S86" s="138" t="s">
        <v>29</v>
      </c>
      <c r="T86" s="177" t="str">
        <f>IF(LEFT(G86,6)="Always","X","")</f>
        <v/>
      </c>
      <c r="U86" s="175"/>
      <c r="V86" s="451">
        <v>5140981</v>
      </c>
    </row>
    <row r="87" spans="1:26" s="67" customFormat="1" ht="25" x14ac:dyDescent="0.25">
      <c r="A87" s="813" t="s">
        <v>1385</v>
      </c>
      <c r="B87" s="814" t="s">
        <v>29</v>
      </c>
      <c r="C87" s="814" t="s">
        <v>29</v>
      </c>
      <c r="D87" s="814"/>
      <c r="E87" s="815" t="s">
        <v>1386</v>
      </c>
      <c r="F87" s="815" t="s">
        <v>1387</v>
      </c>
      <c r="G87" s="813" t="s">
        <v>1308</v>
      </c>
      <c r="H87" s="816">
        <v>1501</v>
      </c>
      <c r="I87" s="817">
        <v>45748</v>
      </c>
      <c r="J87" s="817"/>
      <c r="K87" s="817">
        <v>45748</v>
      </c>
      <c r="L87" s="817"/>
      <c r="M87" s="818"/>
      <c r="N87" s="819" t="s">
        <v>29</v>
      </c>
      <c r="O87" s="819" t="s">
        <v>29</v>
      </c>
      <c r="P87" s="819" t="s">
        <v>29</v>
      </c>
      <c r="Q87" s="820"/>
      <c r="R87" s="820"/>
      <c r="S87" s="817"/>
      <c r="T87" s="817" t="s">
        <v>29</v>
      </c>
      <c r="U87" s="820"/>
      <c r="V87" s="821">
        <v>5142075</v>
      </c>
      <c r="W87" s="29"/>
    </row>
    <row r="88" spans="1:26" s="29" customFormat="1" ht="12.75" customHeight="1" x14ac:dyDescent="0.25">
      <c r="A88" s="822" t="s">
        <v>1385</v>
      </c>
      <c r="B88" s="823" t="s">
        <v>29</v>
      </c>
      <c r="C88" s="823" t="s">
        <v>29</v>
      </c>
      <c r="D88" s="823"/>
      <c r="E88" s="824" t="s">
        <v>1388</v>
      </c>
      <c r="F88" s="824" t="s">
        <v>1387</v>
      </c>
      <c r="G88" s="822" t="s">
        <v>1308</v>
      </c>
      <c r="H88" s="825">
        <v>1501</v>
      </c>
      <c r="I88" s="826">
        <v>43435</v>
      </c>
      <c r="J88" s="826">
        <v>45748</v>
      </c>
      <c r="K88" s="826">
        <v>43435</v>
      </c>
      <c r="L88" s="826">
        <v>45748</v>
      </c>
      <c r="M88" s="827"/>
      <c r="N88" s="828" t="s">
        <v>29</v>
      </c>
      <c r="O88" s="828" t="s">
        <v>29</v>
      </c>
      <c r="P88" s="828" t="s">
        <v>29</v>
      </c>
      <c r="Q88" s="829"/>
      <c r="R88" s="829"/>
      <c r="S88" s="826"/>
      <c r="T88" s="826" t="s">
        <v>29</v>
      </c>
      <c r="U88" s="829"/>
      <c r="V88" s="830">
        <v>6546</v>
      </c>
    </row>
    <row r="89" spans="1:26" s="67" customFormat="1" ht="12.75" customHeight="1" x14ac:dyDescent="0.25">
      <c r="A89" s="834" t="s">
        <v>1389</v>
      </c>
      <c r="B89" s="856" t="s">
        <v>29</v>
      </c>
      <c r="C89" s="856" t="s">
        <v>29</v>
      </c>
      <c r="D89" s="856"/>
      <c r="E89" s="834" t="s">
        <v>1390</v>
      </c>
      <c r="F89" s="834" t="s">
        <v>1391</v>
      </c>
      <c r="G89" s="834" t="s">
        <v>1392</v>
      </c>
      <c r="H89" s="857">
        <v>11</v>
      </c>
      <c r="I89" s="859">
        <v>45915</v>
      </c>
      <c r="J89" s="859"/>
      <c r="K89" s="859">
        <v>45931</v>
      </c>
      <c r="L89" s="859"/>
      <c r="M89" s="858" t="s">
        <v>29</v>
      </c>
      <c r="N89" s="838"/>
      <c r="O89" s="858" t="s">
        <v>29</v>
      </c>
      <c r="P89" s="858" t="s">
        <v>29</v>
      </c>
      <c r="Q89" s="858" t="s">
        <v>29</v>
      </c>
      <c r="R89" s="858" t="s">
        <v>29</v>
      </c>
      <c r="S89" s="860" t="s">
        <v>29</v>
      </c>
      <c r="T89" s="860" t="s">
        <v>29</v>
      </c>
      <c r="U89" s="831" t="s">
        <v>29</v>
      </c>
      <c r="V89" s="839">
        <v>5142426</v>
      </c>
    </row>
    <row r="90" spans="1:26" s="29" customFormat="1" ht="12.75" customHeight="1" x14ac:dyDescent="0.35">
      <c r="A90" s="861" t="s">
        <v>1389</v>
      </c>
      <c r="B90" s="853" t="s">
        <v>29</v>
      </c>
      <c r="C90" s="853" t="s">
        <v>29</v>
      </c>
      <c r="D90" s="853"/>
      <c r="E90" s="840" t="s">
        <v>1390</v>
      </c>
      <c r="F90" s="843" t="s">
        <v>1391</v>
      </c>
      <c r="G90" s="862" t="s">
        <v>1155</v>
      </c>
      <c r="H90" s="845">
        <v>11</v>
      </c>
      <c r="I90" s="863">
        <v>45627</v>
      </c>
      <c r="J90" s="854">
        <v>45915</v>
      </c>
      <c r="K90" s="863">
        <v>45658</v>
      </c>
      <c r="L90" s="854">
        <v>45931</v>
      </c>
      <c r="M90" s="864" t="s">
        <v>945</v>
      </c>
      <c r="N90" s="864"/>
      <c r="O90" s="864" t="s">
        <v>945</v>
      </c>
      <c r="P90" s="864" t="s">
        <v>945</v>
      </c>
      <c r="Q90" s="864" t="s">
        <v>945</v>
      </c>
      <c r="R90" s="864" t="s">
        <v>945</v>
      </c>
      <c r="S90" s="855" t="s">
        <v>945</v>
      </c>
      <c r="T90" s="865" t="s">
        <v>945</v>
      </c>
      <c r="U90" s="866" t="s">
        <v>945</v>
      </c>
      <c r="V90" s="848">
        <v>5141832</v>
      </c>
    </row>
    <row r="91" spans="1:26" s="29" customFormat="1" ht="12.75" customHeight="1" x14ac:dyDescent="0.35">
      <c r="A91" s="688" t="s">
        <v>1389</v>
      </c>
      <c r="B91" s="654" t="s">
        <v>29</v>
      </c>
      <c r="C91" s="654" t="s">
        <v>29</v>
      </c>
      <c r="D91" s="654"/>
      <c r="E91" s="689" t="s">
        <v>1393</v>
      </c>
      <c r="F91" s="653" t="s">
        <v>1391</v>
      </c>
      <c r="G91" s="655" t="s">
        <v>1155</v>
      </c>
      <c r="H91" s="656">
        <v>11</v>
      </c>
      <c r="I91" s="663">
        <v>45366</v>
      </c>
      <c r="J91" s="657">
        <v>45627</v>
      </c>
      <c r="K91" s="663">
        <v>45444</v>
      </c>
      <c r="L91" s="657">
        <v>45658</v>
      </c>
      <c r="M91" s="686" t="s">
        <v>29</v>
      </c>
      <c r="N91" s="686"/>
      <c r="O91" s="686" t="s">
        <v>29</v>
      </c>
      <c r="P91" s="686" t="s">
        <v>29</v>
      </c>
      <c r="Q91" s="686" t="s">
        <v>29</v>
      </c>
      <c r="R91" s="686" t="s">
        <v>29</v>
      </c>
      <c r="S91" s="658" t="s">
        <v>29</v>
      </c>
      <c r="T91" s="690" t="s">
        <v>29</v>
      </c>
      <c r="U91" s="640" t="s">
        <v>29</v>
      </c>
      <c r="V91" s="661">
        <v>5141817</v>
      </c>
    </row>
    <row r="92" spans="1:26" s="29" customFormat="1" ht="12.75" customHeight="1" x14ac:dyDescent="0.25">
      <c r="A92" s="644" t="s">
        <v>1394</v>
      </c>
      <c r="B92" s="793" t="s">
        <v>29</v>
      </c>
      <c r="C92" s="651" t="s">
        <v>29</v>
      </c>
      <c r="D92" s="793"/>
      <c r="E92" s="702" t="s">
        <v>1395</v>
      </c>
      <c r="F92" s="687"/>
      <c r="G92" s="588" t="s">
        <v>1304</v>
      </c>
      <c r="H92" s="794"/>
      <c r="I92" s="648">
        <v>45627</v>
      </c>
      <c r="J92" s="648"/>
      <c r="K92" s="648">
        <v>45658</v>
      </c>
      <c r="L92" s="648"/>
      <c r="M92" s="795"/>
      <c r="N92" s="650"/>
      <c r="O92" s="651"/>
      <c r="P92" s="651"/>
      <c r="Q92" s="651"/>
      <c r="R92" s="651"/>
      <c r="S92" s="651"/>
      <c r="T92" s="651"/>
      <c r="U92" s="651"/>
      <c r="V92" s="652"/>
    </row>
    <row r="93" spans="1:26" s="29" customFormat="1" ht="12.75" customHeight="1" x14ac:dyDescent="0.25">
      <c r="A93" s="851" t="s">
        <v>1396</v>
      </c>
      <c r="B93" s="831" t="s">
        <v>29</v>
      </c>
      <c r="C93" s="832"/>
      <c r="D93" s="832"/>
      <c r="E93" s="833" t="s">
        <v>1397</v>
      </c>
      <c r="F93" s="834" t="s">
        <v>1313</v>
      </c>
      <c r="G93" s="835" t="s">
        <v>1314</v>
      </c>
      <c r="H93" s="836">
        <v>35</v>
      </c>
      <c r="I93" s="837">
        <v>45748</v>
      </c>
      <c r="J93" s="837"/>
      <c r="K93" s="837">
        <v>45748</v>
      </c>
      <c r="L93" s="837"/>
      <c r="M93" s="838" t="s">
        <v>29</v>
      </c>
      <c r="N93" s="838"/>
      <c r="O93" s="832"/>
      <c r="P93" s="831" t="s">
        <v>29</v>
      </c>
      <c r="Q93" s="832"/>
      <c r="R93" s="831" t="s">
        <v>29</v>
      </c>
      <c r="S93" s="832"/>
      <c r="T93" s="832"/>
      <c r="U93" s="831"/>
      <c r="V93" s="839">
        <v>5142018</v>
      </c>
    </row>
    <row r="94" spans="1:26" s="29" customFormat="1" ht="25" x14ac:dyDescent="0.25">
      <c r="A94" s="447" t="s">
        <v>1398</v>
      </c>
      <c r="B94" s="286" t="s">
        <v>29</v>
      </c>
      <c r="C94" s="286" t="s">
        <v>29</v>
      </c>
      <c r="D94" s="286"/>
      <c r="E94" s="447" t="s">
        <v>1399</v>
      </c>
      <c r="F94" s="447" t="s">
        <v>1376</v>
      </c>
      <c r="G94" s="287" t="s">
        <v>1308</v>
      </c>
      <c r="H94" s="448">
        <v>1500</v>
      </c>
      <c r="I94" s="449">
        <v>43914</v>
      </c>
      <c r="J94" s="449"/>
      <c r="K94" s="449">
        <v>43914</v>
      </c>
      <c r="L94" s="449"/>
      <c r="M94" s="450"/>
      <c r="N94" s="289" t="s">
        <v>29</v>
      </c>
      <c r="O94" s="289" t="s">
        <v>29</v>
      </c>
      <c r="P94" s="289" t="s">
        <v>29</v>
      </c>
      <c r="Q94" s="175"/>
      <c r="R94" s="175"/>
      <c r="S94" s="286"/>
      <c r="T94" s="286" t="s">
        <v>29</v>
      </c>
      <c r="U94" s="470"/>
      <c r="V94" s="451">
        <v>5140462</v>
      </c>
    </row>
    <row r="95" spans="1:26" x14ac:dyDescent="0.25">
      <c r="A95" s="135" t="s">
        <v>1400</v>
      </c>
      <c r="B95" s="136"/>
      <c r="C95" s="136" t="s">
        <v>29</v>
      </c>
      <c r="D95" s="136"/>
      <c r="E95" s="466" t="s">
        <v>1401</v>
      </c>
      <c r="F95" s="135" t="s">
        <v>1402</v>
      </c>
      <c r="G95" s="135" t="s">
        <v>1403</v>
      </c>
      <c r="H95" s="463">
        <v>1150</v>
      </c>
      <c r="I95" s="464">
        <v>41534</v>
      </c>
      <c r="J95" s="464"/>
      <c r="K95" s="464">
        <v>41534</v>
      </c>
      <c r="L95" s="464"/>
      <c r="M95" s="461" t="s">
        <v>29</v>
      </c>
      <c r="N95" s="461"/>
      <c r="O95" s="461" t="s">
        <v>29</v>
      </c>
      <c r="P95" s="461" t="s">
        <v>29</v>
      </c>
      <c r="Q95" s="461" t="s">
        <v>29</v>
      </c>
      <c r="R95" s="461" t="s">
        <v>29</v>
      </c>
      <c r="S95" s="138" t="s">
        <v>29</v>
      </c>
      <c r="T95" s="138" t="s">
        <v>1164</v>
      </c>
      <c r="U95" s="175"/>
      <c r="V95" s="451">
        <v>4123</v>
      </c>
    </row>
    <row r="96" spans="1:26" s="29" customFormat="1" x14ac:dyDescent="0.25">
      <c r="A96" s="135" t="s">
        <v>1267</v>
      </c>
      <c r="B96" s="136"/>
      <c r="C96" s="136" t="s">
        <v>29</v>
      </c>
      <c r="D96" s="136"/>
      <c r="E96" s="466" t="s">
        <v>1404</v>
      </c>
      <c r="F96" s="135" t="s">
        <v>1405</v>
      </c>
      <c r="G96" s="135" t="s">
        <v>1270</v>
      </c>
      <c r="H96" s="463">
        <v>1165</v>
      </c>
      <c r="I96" s="471">
        <v>41534</v>
      </c>
      <c r="J96" s="471"/>
      <c r="K96" s="471">
        <v>41534</v>
      </c>
      <c r="L96" s="471"/>
      <c r="M96" s="292" t="s">
        <v>29</v>
      </c>
      <c r="N96" s="292"/>
      <c r="O96" s="136" t="s">
        <v>29</v>
      </c>
      <c r="P96" s="136" t="s">
        <v>29</v>
      </c>
      <c r="Q96" s="136" t="s">
        <v>29</v>
      </c>
      <c r="R96" s="136" t="s">
        <v>29</v>
      </c>
      <c r="S96" s="136" t="s">
        <v>29</v>
      </c>
      <c r="T96" s="136" t="s">
        <v>1164</v>
      </c>
      <c r="U96" s="175"/>
      <c r="V96" s="451">
        <v>4211</v>
      </c>
    </row>
    <row r="97" spans="1:23" x14ac:dyDescent="0.25">
      <c r="A97" s="135" t="s">
        <v>1406</v>
      </c>
      <c r="B97" s="136"/>
      <c r="C97" s="136" t="s">
        <v>29</v>
      </c>
      <c r="D97" s="136"/>
      <c r="E97" s="466" t="s">
        <v>1407</v>
      </c>
      <c r="F97" s="465" t="s">
        <v>1408</v>
      </c>
      <c r="G97" s="135" t="s">
        <v>1409</v>
      </c>
      <c r="H97" s="463">
        <v>1140</v>
      </c>
      <c r="I97" s="464">
        <v>41534</v>
      </c>
      <c r="J97" s="464"/>
      <c r="K97" s="464">
        <v>41534</v>
      </c>
      <c r="L97" s="464"/>
      <c r="M97" s="461" t="s">
        <v>29</v>
      </c>
      <c r="N97" s="461"/>
      <c r="O97" s="461" t="s">
        <v>29</v>
      </c>
      <c r="P97" s="461" t="s">
        <v>29</v>
      </c>
      <c r="Q97" s="461" t="s">
        <v>29</v>
      </c>
      <c r="R97" s="461" t="s">
        <v>29</v>
      </c>
      <c r="S97" s="138" t="s">
        <v>29</v>
      </c>
      <c r="T97" s="138" t="s">
        <v>1164</v>
      </c>
      <c r="U97" s="175"/>
      <c r="V97" s="451">
        <v>4119</v>
      </c>
      <c r="W97" s="29"/>
    </row>
    <row r="98" spans="1:23" s="67" customFormat="1" x14ac:dyDescent="0.25">
      <c r="A98" s="135" t="s">
        <v>1410</v>
      </c>
      <c r="B98" s="136"/>
      <c r="C98" s="136" t="s">
        <v>29</v>
      </c>
      <c r="D98" s="136"/>
      <c r="E98" s="466" t="s">
        <v>1411</v>
      </c>
      <c r="F98" s="465" t="s">
        <v>1412</v>
      </c>
      <c r="G98" s="135" t="s">
        <v>1413</v>
      </c>
      <c r="H98" s="463">
        <v>1145</v>
      </c>
      <c r="I98" s="464">
        <v>41534</v>
      </c>
      <c r="J98" s="464"/>
      <c r="K98" s="464">
        <v>41534</v>
      </c>
      <c r="L98" s="464"/>
      <c r="M98" s="461" t="s">
        <v>29</v>
      </c>
      <c r="N98" s="461"/>
      <c r="O98" s="461" t="s">
        <v>29</v>
      </c>
      <c r="P98" s="461" t="s">
        <v>29</v>
      </c>
      <c r="Q98" s="461" t="s">
        <v>29</v>
      </c>
      <c r="R98" s="461" t="s">
        <v>29</v>
      </c>
      <c r="S98" s="138" t="s">
        <v>29</v>
      </c>
      <c r="T98" s="138" t="s">
        <v>1164</v>
      </c>
      <c r="U98" s="175"/>
      <c r="V98" s="451">
        <v>4148</v>
      </c>
    </row>
    <row r="99" spans="1:23" s="29" customFormat="1" x14ac:dyDescent="0.25">
      <c r="A99" s="135" t="s">
        <v>1414</v>
      </c>
      <c r="B99" s="136"/>
      <c r="C99" s="136" t="s">
        <v>29</v>
      </c>
      <c r="D99" s="136"/>
      <c r="E99" s="466" t="s">
        <v>1415</v>
      </c>
      <c r="F99" s="447" t="s">
        <v>1416</v>
      </c>
      <c r="G99" s="135" t="s">
        <v>1417</v>
      </c>
      <c r="H99" s="448">
        <v>1146</v>
      </c>
      <c r="I99" s="288">
        <v>44835</v>
      </c>
      <c r="J99" s="288"/>
      <c r="K99" s="288">
        <v>44835</v>
      </c>
      <c r="L99" s="288"/>
      <c r="M99" s="289" t="s">
        <v>29</v>
      </c>
      <c r="N99" s="289"/>
      <c r="O99" s="289" t="s">
        <v>29</v>
      </c>
      <c r="P99" s="289" t="s">
        <v>29</v>
      </c>
      <c r="Q99" s="289" t="s">
        <v>29</v>
      </c>
      <c r="R99" s="289" t="s">
        <v>29</v>
      </c>
      <c r="S99" s="177" t="s">
        <v>29</v>
      </c>
      <c r="T99" s="177" t="s">
        <v>1164</v>
      </c>
      <c r="U99" s="177"/>
      <c r="V99" s="460">
        <v>4121</v>
      </c>
    </row>
    <row r="100" spans="1:23" s="67" customFormat="1" x14ac:dyDescent="0.25">
      <c r="A100" s="135" t="s">
        <v>1418</v>
      </c>
      <c r="B100" s="136"/>
      <c r="C100" s="136" t="s">
        <v>29</v>
      </c>
      <c r="D100" s="136"/>
      <c r="E100" s="466" t="s">
        <v>1419</v>
      </c>
      <c r="F100" s="135" t="s">
        <v>1420</v>
      </c>
      <c r="G100" s="135" t="s">
        <v>1336</v>
      </c>
      <c r="H100" s="463">
        <v>1170</v>
      </c>
      <c r="I100" s="464">
        <v>41534</v>
      </c>
      <c r="J100" s="471"/>
      <c r="K100" s="464">
        <v>41534</v>
      </c>
      <c r="L100" s="471"/>
      <c r="M100" s="292" t="s">
        <v>29</v>
      </c>
      <c r="N100" s="292"/>
      <c r="O100" s="136" t="s">
        <v>29</v>
      </c>
      <c r="P100" s="136" t="s">
        <v>29</v>
      </c>
      <c r="Q100" s="136" t="s">
        <v>29</v>
      </c>
      <c r="R100" s="136" t="s">
        <v>29</v>
      </c>
      <c r="S100" s="136" t="s">
        <v>29</v>
      </c>
      <c r="T100" s="136" t="s">
        <v>29</v>
      </c>
      <c r="U100" s="472"/>
      <c r="V100" s="451">
        <v>4126</v>
      </c>
    </row>
    <row r="101" spans="1:23" s="67" customFormat="1" x14ac:dyDescent="0.25">
      <c r="A101" s="135" t="s">
        <v>1421</v>
      </c>
      <c r="B101" s="136"/>
      <c r="C101" s="136" t="s">
        <v>29</v>
      </c>
      <c r="D101" s="136"/>
      <c r="E101" s="466" t="s">
        <v>1422</v>
      </c>
      <c r="F101" s="135" t="s">
        <v>1423</v>
      </c>
      <c r="G101" s="135" t="s">
        <v>1424</v>
      </c>
      <c r="H101" s="463">
        <v>1160</v>
      </c>
      <c r="I101" s="464">
        <v>41534</v>
      </c>
      <c r="J101" s="471"/>
      <c r="K101" s="464">
        <v>41534</v>
      </c>
      <c r="L101" s="471"/>
      <c r="M101" s="292" t="s">
        <v>29</v>
      </c>
      <c r="N101" s="292"/>
      <c r="O101" s="136" t="s">
        <v>29</v>
      </c>
      <c r="P101" s="136" t="s">
        <v>29</v>
      </c>
      <c r="Q101" s="136" t="s">
        <v>29</v>
      </c>
      <c r="R101" s="136" t="s">
        <v>29</v>
      </c>
      <c r="S101" s="136" t="s">
        <v>29</v>
      </c>
      <c r="T101" s="136" t="s">
        <v>1164</v>
      </c>
      <c r="U101" s="175"/>
      <c r="V101" s="451">
        <v>4124</v>
      </c>
      <c r="W101" s="29"/>
    </row>
    <row r="102" spans="1:23" ht="25" x14ac:dyDescent="0.25">
      <c r="A102" s="467" t="s">
        <v>1425</v>
      </c>
      <c r="B102" s="138"/>
      <c r="C102" s="138" t="s">
        <v>29</v>
      </c>
      <c r="D102" s="138"/>
      <c r="E102" s="468" t="s">
        <v>1426</v>
      </c>
      <c r="F102" s="467"/>
      <c r="G102" s="469" t="s">
        <v>1304</v>
      </c>
      <c r="H102" s="458"/>
      <c r="I102" s="454"/>
      <c r="J102" s="454"/>
      <c r="K102" s="454"/>
      <c r="L102" s="454"/>
      <c r="M102" s="289"/>
      <c r="N102" s="289"/>
      <c r="O102" s="289"/>
      <c r="P102" s="289"/>
      <c r="Q102" s="289"/>
      <c r="R102" s="289"/>
      <c r="S102" s="177"/>
      <c r="T102" s="177"/>
      <c r="U102" s="175"/>
      <c r="V102" s="460"/>
    </row>
    <row r="104" spans="1:23" x14ac:dyDescent="0.25">
      <c r="U104" s="88"/>
    </row>
    <row r="105" spans="1:23" x14ac:dyDescent="0.25">
      <c r="U105" s="88"/>
    </row>
    <row r="108" spans="1:23" x14ac:dyDescent="0.25">
      <c r="U108" s="88"/>
    </row>
    <row r="109" spans="1:23" x14ac:dyDescent="0.25">
      <c r="U109" s="88"/>
    </row>
    <row r="110" spans="1:23" x14ac:dyDescent="0.25">
      <c r="U110" s="88"/>
    </row>
    <row r="111" spans="1:23" x14ac:dyDescent="0.25">
      <c r="U111" s="249"/>
    </row>
  </sheetData>
  <autoFilter ref="A1:V102" xr:uid="{00000000-0009-0000-0000-00000E000000}"/>
  <phoneticPr fontId="13" type="noConversion"/>
  <conditionalFormatting sqref="F70">
    <cfRule type="duplicateValues" dxfId="4" priority="1"/>
  </conditionalFormatting>
  <pageMargins left="0.7" right="0.7" top="0.75" bottom="0.75" header="0.3" footer="0.3"/>
  <pageSetup scale="38" fitToHeight="50" orientation="landscape"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A1:K64"/>
  <sheetViews>
    <sheetView topLeftCell="A63" workbookViewId="0">
      <selection activeCell="A3" sqref="A3:XFD64"/>
    </sheetView>
  </sheetViews>
  <sheetFormatPr defaultColWidth="9.26953125" defaultRowHeight="12.5" x14ac:dyDescent="0.25"/>
  <cols>
    <col min="1" max="1" width="25.453125" customWidth="1"/>
  </cols>
  <sheetData>
    <row r="1" spans="1:9" ht="42" customHeight="1" x14ac:dyDescent="0.25">
      <c r="A1" s="1162" t="s">
        <v>1427</v>
      </c>
      <c r="B1" s="1162"/>
      <c r="C1" s="1162"/>
      <c r="D1" s="1162"/>
      <c r="E1" s="1162"/>
      <c r="F1" s="1162"/>
      <c r="G1" s="1162"/>
      <c r="H1" s="1162"/>
    </row>
    <row r="2" spans="1:9" ht="12.75" customHeight="1" x14ac:dyDescent="0.25">
      <c r="A2" s="144"/>
      <c r="B2" s="144"/>
      <c r="C2" s="144"/>
      <c r="D2" s="144"/>
      <c r="E2" s="144"/>
      <c r="F2" s="144"/>
      <c r="G2" s="144"/>
      <c r="H2" s="144"/>
    </row>
    <row r="3" spans="1:9" ht="18.75" customHeight="1" x14ac:dyDescent="0.25">
      <c r="A3" s="4" t="s">
        <v>173</v>
      </c>
      <c r="B3" s="1163" t="s">
        <v>267</v>
      </c>
      <c r="C3" s="1163"/>
      <c r="D3" s="1163"/>
      <c r="E3" s="1163"/>
      <c r="F3" s="1163"/>
      <c r="G3" s="1163"/>
      <c r="H3" s="7"/>
    </row>
    <row r="4" spans="1:9" ht="12" customHeight="1" x14ac:dyDescent="0.25">
      <c r="A4" s="4" t="s">
        <v>210</v>
      </c>
      <c r="B4" s="67" t="s">
        <v>211</v>
      </c>
      <c r="C4" s="67"/>
      <c r="D4" s="67"/>
      <c r="E4" s="67"/>
      <c r="F4" s="67"/>
      <c r="G4" s="67"/>
      <c r="H4" s="7"/>
    </row>
    <row r="5" spans="1:9" ht="12" customHeight="1" x14ac:dyDescent="0.25">
      <c r="A5" s="4" t="s">
        <v>939</v>
      </c>
      <c r="B5" s="67" t="s">
        <v>1428</v>
      </c>
      <c r="G5" s="67"/>
      <c r="H5" s="7"/>
    </row>
    <row r="6" spans="1:9" ht="13.5" customHeight="1" x14ac:dyDescent="0.25">
      <c r="A6" s="4" t="s">
        <v>268</v>
      </c>
      <c r="B6" s="1164" t="s">
        <v>269</v>
      </c>
      <c r="C6" s="1164"/>
      <c r="D6" s="1164"/>
      <c r="E6" s="1164"/>
      <c r="F6" s="145"/>
      <c r="G6" s="8"/>
      <c r="H6" s="7"/>
    </row>
    <row r="7" spans="1:9" ht="18" customHeight="1" x14ac:dyDescent="0.25">
      <c r="A7" s="5" t="s">
        <v>270</v>
      </c>
      <c r="B7" s="30" t="s">
        <v>271</v>
      </c>
      <c r="C7" s="31"/>
      <c r="D7" s="31"/>
      <c r="E7" s="31"/>
      <c r="F7" s="31"/>
      <c r="G7" s="7"/>
      <c r="H7" s="7"/>
    </row>
    <row r="8" spans="1:9" ht="18" customHeight="1" x14ac:dyDescent="0.25">
      <c r="A8" s="5" t="s">
        <v>272</v>
      </c>
      <c r="B8" s="33" t="s">
        <v>273</v>
      </c>
      <c r="C8" s="31"/>
      <c r="D8" s="31"/>
      <c r="E8" s="31"/>
      <c r="F8" s="31"/>
      <c r="G8" s="7"/>
      <c r="H8" s="7"/>
    </row>
    <row r="9" spans="1:9" ht="69" customHeight="1" x14ac:dyDescent="0.25">
      <c r="A9" s="5" t="s">
        <v>274</v>
      </c>
      <c r="B9" s="1057" t="s">
        <v>275</v>
      </c>
      <c r="C9" s="1058"/>
      <c r="D9" s="1058"/>
      <c r="E9" s="1058"/>
      <c r="F9" s="1058"/>
      <c r="G9" s="1058"/>
      <c r="H9" s="1058"/>
    </row>
    <row r="10" spans="1:9" ht="12" customHeight="1" x14ac:dyDescent="0.3">
      <c r="A10" s="32"/>
      <c r="B10" s="9"/>
      <c r="C10" s="7"/>
      <c r="D10" s="7"/>
      <c r="E10" s="7"/>
      <c r="F10" s="10"/>
      <c r="G10" s="7"/>
      <c r="H10" s="7"/>
    </row>
    <row r="11" spans="1:9" ht="22.5" customHeight="1" x14ac:dyDescent="0.25">
      <c r="A11" s="4" t="s">
        <v>173</v>
      </c>
      <c r="B11" s="1163" t="s">
        <v>276</v>
      </c>
      <c r="C11" s="1163"/>
      <c r="D11" s="1163"/>
      <c r="E11" s="1163"/>
      <c r="F11" s="1163"/>
      <c r="G11" s="7"/>
      <c r="H11" s="7"/>
    </row>
    <row r="12" spans="1:9" ht="12" customHeight="1" x14ac:dyDescent="0.25">
      <c r="A12" s="4" t="s">
        <v>210</v>
      </c>
      <c r="B12" s="33" t="s">
        <v>277</v>
      </c>
      <c r="C12" s="34"/>
      <c r="D12" s="34"/>
      <c r="E12" s="34"/>
      <c r="F12" s="34"/>
      <c r="G12" s="7"/>
      <c r="H12" s="7"/>
    </row>
    <row r="13" spans="1:9" ht="12" customHeight="1" x14ac:dyDescent="0.25">
      <c r="A13" s="4" t="s">
        <v>939</v>
      </c>
      <c r="B13" s="67" t="s">
        <v>1428</v>
      </c>
      <c r="C13" s="50"/>
      <c r="D13" s="50"/>
      <c r="E13" s="50"/>
      <c r="F13" s="50"/>
      <c r="G13" s="7"/>
      <c r="H13" s="7"/>
    </row>
    <row r="14" spans="1:9" ht="18" customHeight="1" x14ac:dyDescent="0.25">
      <c r="A14" s="4" t="s">
        <v>268</v>
      </c>
      <c r="B14" s="1165" t="s">
        <v>278</v>
      </c>
      <c r="C14" s="1165"/>
      <c r="D14" s="1165"/>
      <c r="E14" s="1165"/>
      <c r="F14" s="1165"/>
      <c r="G14" s="1165"/>
      <c r="H14" s="1165"/>
      <c r="I14" s="1165"/>
    </row>
    <row r="15" spans="1:9" ht="12" customHeight="1" x14ac:dyDescent="0.25">
      <c r="A15" s="4" t="s">
        <v>186</v>
      </c>
      <c r="B15" s="146">
        <v>0</v>
      </c>
      <c r="C15" s="34"/>
      <c r="D15" s="34"/>
      <c r="E15" s="34"/>
      <c r="F15" s="34"/>
      <c r="G15" s="7"/>
      <c r="H15" s="7"/>
    </row>
    <row r="16" spans="1:9" ht="12" customHeight="1" x14ac:dyDescent="0.25">
      <c r="A16" s="5" t="s">
        <v>270</v>
      </c>
      <c r="B16" s="1054" t="s">
        <v>279</v>
      </c>
      <c r="C16" s="1054"/>
      <c r="D16" s="1054"/>
      <c r="E16" s="1054"/>
      <c r="F16" s="1054"/>
      <c r="G16" s="7"/>
      <c r="H16" s="7"/>
    </row>
    <row r="17" spans="1:11" ht="12" customHeight="1" x14ac:dyDescent="0.25">
      <c r="A17" s="5" t="s">
        <v>272</v>
      </c>
      <c r="B17" s="34" t="s">
        <v>280</v>
      </c>
      <c r="C17" s="145"/>
      <c r="D17" s="145"/>
      <c r="E17" s="145"/>
      <c r="F17" s="145"/>
      <c r="G17" s="7"/>
      <c r="H17" s="7"/>
    </row>
    <row r="18" spans="1:11" ht="42.75" customHeight="1" x14ac:dyDescent="0.25">
      <c r="A18" s="5" t="s">
        <v>274</v>
      </c>
      <c r="B18" s="1055" t="s">
        <v>281</v>
      </c>
      <c r="C18" s="1055"/>
      <c r="D18" s="1055"/>
      <c r="E18" s="1055"/>
      <c r="F18" s="1055"/>
      <c r="G18" s="1055"/>
      <c r="H18" s="1055"/>
    </row>
    <row r="19" spans="1:11" ht="13" x14ac:dyDescent="0.3">
      <c r="A19" s="32"/>
      <c r="B19" s="9"/>
      <c r="C19" s="7"/>
      <c r="D19" s="7"/>
      <c r="E19" s="7"/>
      <c r="F19" s="10"/>
      <c r="G19" s="7"/>
    </row>
    <row r="20" spans="1:11" ht="22.5" customHeight="1" x14ac:dyDescent="0.25">
      <c r="A20" s="4" t="s">
        <v>173</v>
      </c>
      <c r="B20" s="1163" t="s">
        <v>1429</v>
      </c>
      <c r="C20" s="1163"/>
      <c r="D20" s="1163"/>
      <c r="E20" s="1163"/>
      <c r="F20" s="1163"/>
      <c r="G20" s="7"/>
      <c r="H20" s="7"/>
    </row>
    <row r="21" spans="1:11" ht="12" customHeight="1" x14ac:dyDescent="0.25">
      <c r="A21" s="4" t="s">
        <v>210</v>
      </c>
      <c r="B21" s="33" t="s">
        <v>211</v>
      </c>
      <c r="C21" s="34"/>
      <c r="D21" s="34"/>
      <c r="E21" s="34"/>
      <c r="F21" s="34"/>
      <c r="G21" s="7"/>
      <c r="H21" s="7"/>
    </row>
    <row r="22" spans="1:11" ht="12" customHeight="1" x14ac:dyDescent="0.25">
      <c r="A22" s="4" t="s">
        <v>939</v>
      </c>
      <c r="B22" s="1166" t="s">
        <v>1430</v>
      </c>
      <c r="C22" s="1166"/>
      <c r="D22" s="1166"/>
      <c r="E22" s="1166"/>
      <c r="F22" s="1166"/>
      <c r="G22" s="1166"/>
      <c r="H22" s="1166"/>
      <c r="I22" s="1166"/>
      <c r="J22" s="1166"/>
      <c r="K22" s="1166"/>
    </row>
    <row r="23" spans="1:11" ht="12" customHeight="1" x14ac:dyDescent="0.25">
      <c r="A23" s="4" t="s">
        <v>203</v>
      </c>
      <c r="B23" s="52" t="s">
        <v>288</v>
      </c>
      <c r="C23" s="77"/>
      <c r="D23" s="77"/>
      <c r="E23" s="77"/>
      <c r="F23" s="77"/>
      <c r="G23" s="77"/>
      <c r="H23" s="77"/>
      <c r="I23" s="77"/>
      <c r="J23" s="77"/>
      <c r="K23" s="77"/>
    </row>
    <row r="24" spans="1:11" ht="18" customHeight="1" x14ac:dyDescent="0.25">
      <c r="A24" s="4" t="s">
        <v>268</v>
      </c>
      <c r="B24" s="50" t="s">
        <v>1431</v>
      </c>
      <c r="C24" s="149"/>
      <c r="D24" s="149"/>
      <c r="E24" s="149"/>
      <c r="F24" s="149"/>
      <c r="G24" s="149"/>
      <c r="H24" s="149"/>
      <c r="I24" s="149"/>
    </row>
    <row r="25" spans="1:11" ht="27" customHeight="1" x14ac:dyDescent="0.25">
      <c r="A25" s="5" t="s">
        <v>270</v>
      </c>
      <c r="B25" s="1059" t="s">
        <v>289</v>
      </c>
      <c r="C25" s="1059"/>
      <c r="D25" s="1059"/>
      <c r="E25" s="1059"/>
      <c r="F25" s="1059"/>
      <c r="G25" s="7"/>
      <c r="H25" s="7"/>
    </row>
    <row r="26" spans="1:11" ht="13" x14ac:dyDescent="0.25">
      <c r="A26" s="5" t="s">
        <v>272</v>
      </c>
      <c r="B26" s="30" t="s">
        <v>280</v>
      </c>
      <c r="C26" s="145"/>
      <c r="D26" s="145"/>
      <c r="E26" s="145"/>
      <c r="F26" s="145"/>
      <c r="G26" s="7"/>
      <c r="H26" s="7"/>
    </row>
    <row r="27" spans="1:11" ht="18.75" customHeight="1" x14ac:dyDescent="0.25">
      <c r="A27" s="5" t="s">
        <v>274</v>
      </c>
      <c r="B27" s="1055" t="s">
        <v>1432</v>
      </c>
      <c r="C27" s="1055"/>
      <c r="D27" s="1055"/>
      <c r="E27" s="1055"/>
      <c r="F27" s="1055"/>
      <c r="G27" s="1055"/>
      <c r="H27" s="1055"/>
    </row>
    <row r="29" spans="1:11" ht="22.5" customHeight="1" x14ac:dyDescent="0.25">
      <c r="A29" s="4" t="s">
        <v>173</v>
      </c>
      <c r="B29" s="1163" t="s">
        <v>282</v>
      </c>
      <c r="C29" s="1163"/>
      <c r="D29" s="1163"/>
      <c r="E29" s="1163"/>
      <c r="F29" s="1163"/>
      <c r="G29" s="7"/>
      <c r="H29" s="7"/>
    </row>
    <row r="30" spans="1:11" ht="12" customHeight="1" x14ac:dyDescent="0.25">
      <c r="A30" s="4" t="s">
        <v>210</v>
      </c>
      <c r="B30" s="33" t="s">
        <v>277</v>
      </c>
      <c r="C30" s="34"/>
      <c r="D30" s="34"/>
      <c r="E30" s="34"/>
      <c r="F30" s="34"/>
      <c r="G30" s="7"/>
      <c r="H30" s="7"/>
    </row>
    <row r="31" spans="1:11" ht="12" customHeight="1" x14ac:dyDescent="0.25">
      <c r="A31" s="4" t="s">
        <v>203</v>
      </c>
      <c r="B31" s="52" t="s">
        <v>283</v>
      </c>
      <c r="C31" s="77"/>
      <c r="D31" s="77"/>
      <c r="E31" s="77"/>
      <c r="F31" s="77"/>
      <c r="G31" s="77"/>
      <c r="H31" s="77"/>
      <c r="I31" s="77"/>
      <c r="J31" s="77"/>
      <c r="K31" s="77"/>
    </row>
    <row r="32" spans="1:11" ht="12" customHeight="1" x14ac:dyDescent="0.25">
      <c r="A32" s="4" t="s">
        <v>939</v>
      </c>
      <c r="B32" s="1166" t="s">
        <v>1433</v>
      </c>
      <c r="C32" s="1166"/>
      <c r="D32" s="1166"/>
      <c r="E32" s="1166"/>
      <c r="F32" s="1166"/>
      <c r="G32" s="1166"/>
      <c r="H32" s="1166"/>
      <c r="I32" s="1166"/>
      <c r="J32" s="1166"/>
      <c r="K32" s="1166"/>
    </row>
    <row r="33" spans="1:11" ht="18" customHeight="1" x14ac:dyDescent="0.25">
      <c r="A33" s="4" t="s">
        <v>268</v>
      </c>
      <c r="B33" s="50" t="s">
        <v>284</v>
      </c>
      <c r="C33" s="149"/>
      <c r="D33" s="149"/>
      <c r="E33" s="149"/>
      <c r="F33" s="149"/>
      <c r="G33" s="149"/>
      <c r="H33" s="149"/>
      <c r="I33" s="149"/>
    </row>
    <row r="34" spans="1:11" ht="12" customHeight="1" x14ac:dyDescent="0.25">
      <c r="A34" s="5" t="s">
        <v>270</v>
      </c>
      <c r="B34" s="1054" t="s">
        <v>285</v>
      </c>
      <c r="C34" s="1054"/>
      <c r="D34" s="1054"/>
      <c r="E34" s="1054"/>
      <c r="F34" s="1054"/>
      <c r="G34" s="7"/>
      <c r="H34" s="7"/>
    </row>
    <row r="35" spans="1:11" ht="12" customHeight="1" x14ac:dyDescent="0.25">
      <c r="A35" s="5" t="s">
        <v>272</v>
      </c>
      <c r="B35" s="33" t="s">
        <v>286</v>
      </c>
      <c r="C35" s="145"/>
      <c r="D35" s="145"/>
      <c r="E35" s="145"/>
      <c r="F35" s="145"/>
      <c r="G35" s="7"/>
      <c r="H35" s="7"/>
    </row>
    <row r="36" spans="1:11" ht="19.5" customHeight="1" x14ac:dyDescent="0.25">
      <c r="A36" s="5" t="s">
        <v>274</v>
      </c>
      <c r="B36" s="1055"/>
      <c r="C36" s="1055"/>
      <c r="D36" s="1055"/>
      <c r="E36" s="1055"/>
      <c r="F36" s="1055"/>
      <c r="G36" s="1055"/>
      <c r="H36" s="1055"/>
    </row>
    <row r="38" spans="1:11" ht="15.5" x14ac:dyDescent="0.25">
      <c r="A38" s="4" t="s">
        <v>173</v>
      </c>
      <c r="B38" s="1163" t="s">
        <v>1434</v>
      </c>
      <c r="C38" s="1163"/>
      <c r="D38" s="1163"/>
      <c r="E38" s="1163"/>
      <c r="F38" s="1163"/>
      <c r="G38" s="76"/>
      <c r="H38" s="76"/>
      <c r="I38" s="67"/>
      <c r="J38" s="67"/>
      <c r="K38" s="67"/>
    </row>
    <row r="39" spans="1:11" ht="13" x14ac:dyDescent="0.25">
      <c r="A39" s="4" t="s">
        <v>210</v>
      </c>
      <c r="B39" s="33" t="s">
        <v>277</v>
      </c>
      <c r="C39" s="34"/>
      <c r="D39" s="34"/>
      <c r="E39" s="34"/>
      <c r="F39" s="34"/>
      <c r="G39" s="76"/>
      <c r="H39" s="76"/>
      <c r="I39" s="67"/>
      <c r="J39" s="67"/>
      <c r="K39" s="67"/>
    </row>
    <row r="40" spans="1:11" ht="13" x14ac:dyDescent="0.25">
      <c r="A40" s="4" t="s">
        <v>203</v>
      </c>
      <c r="B40" s="52" t="s">
        <v>303</v>
      </c>
      <c r="C40" s="77"/>
      <c r="D40" s="77"/>
      <c r="E40" s="77"/>
      <c r="F40" s="77"/>
      <c r="G40" s="77"/>
      <c r="H40" s="77"/>
      <c r="I40" s="77"/>
      <c r="J40" s="77"/>
      <c r="K40" s="77"/>
    </row>
    <row r="41" spans="1:11" ht="13" x14ac:dyDescent="0.25">
      <c r="A41" s="4" t="s">
        <v>939</v>
      </c>
      <c r="B41" s="1166" t="s">
        <v>1433</v>
      </c>
      <c r="C41" s="1166"/>
      <c r="D41" s="1166"/>
      <c r="E41" s="1166"/>
      <c r="F41" s="1166"/>
      <c r="G41" s="1166"/>
      <c r="H41" s="1166"/>
      <c r="I41" s="1166"/>
      <c r="J41" s="1166"/>
      <c r="K41" s="1166"/>
    </row>
    <row r="42" spans="1:11" ht="13" x14ac:dyDescent="0.25">
      <c r="A42" s="4" t="s">
        <v>268</v>
      </c>
      <c r="B42" s="50" t="s">
        <v>1435</v>
      </c>
      <c r="C42" s="149"/>
      <c r="D42" s="149"/>
      <c r="E42" s="149"/>
      <c r="F42" s="149"/>
      <c r="G42" s="149"/>
      <c r="H42" s="149"/>
      <c r="I42" s="149"/>
      <c r="J42" s="67"/>
      <c r="K42" s="67"/>
    </row>
    <row r="43" spans="1:11" ht="13" x14ac:dyDescent="0.25">
      <c r="A43" s="5" t="s">
        <v>270</v>
      </c>
      <c r="B43" s="1054" t="s">
        <v>285</v>
      </c>
      <c r="C43" s="1054"/>
      <c r="D43" s="1054"/>
      <c r="E43" s="1054"/>
      <c r="F43" s="1054"/>
      <c r="G43" s="76"/>
      <c r="H43" s="76"/>
      <c r="I43" s="67"/>
      <c r="J43" s="67"/>
      <c r="K43" s="67"/>
    </row>
    <row r="44" spans="1:11" ht="13" x14ac:dyDescent="0.25">
      <c r="A44" s="5" t="s">
        <v>272</v>
      </c>
      <c r="B44" s="33" t="s">
        <v>1436</v>
      </c>
      <c r="C44" s="145"/>
      <c r="D44" s="145"/>
      <c r="E44" s="145"/>
      <c r="F44" s="145"/>
      <c r="G44" s="76"/>
      <c r="H44" s="76"/>
      <c r="I44" s="67"/>
      <c r="J44" s="67"/>
      <c r="K44" s="67"/>
    </row>
    <row r="45" spans="1:11" ht="13" x14ac:dyDescent="0.25">
      <c r="A45" s="5" t="s">
        <v>274</v>
      </c>
      <c r="B45" s="1055" t="s">
        <v>1437</v>
      </c>
      <c r="C45" s="1055"/>
      <c r="D45" s="1055"/>
      <c r="E45" s="1055"/>
      <c r="F45" s="1055"/>
      <c r="G45" s="1055"/>
      <c r="H45" s="1055"/>
      <c r="I45" s="67"/>
      <c r="J45" s="67"/>
      <c r="K45" s="67"/>
    </row>
    <row r="47" spans="1:11" ht="12" customHeight="1" x14ac:dyDescent="0.3">
      <c r="A47" s="32"/>
      <c r="B47" s="9"/>
      <c r="C47" s="7"/>
      <c r="D47" s="7"/>
      <c r="E47" s="7"/>
      <c r="F47" s="10"/>
      <c r="G47" s="7"/>
      <c r="H47" s="7"/>
    </row>
    <row r="48" spans="1:11" ht="22.5" customHeight="1" x14ac:dyDescent="0.25">
      <c r="A48" s="4" t="s">
        <v>173</v>
      </c>
      <c r="B48" s="1163" t="s">
        <v>1438</v>
      </c>
      <c r="C48" s="1163"/>
      <c r="D48" s="1163"/>
      <c r="E48" s="1163"/>
      <c r="F48" s="1163"/>
      <c r="G48" s="7"/>
      <c r="H48" s="7"/>
    </row>
    <row r="49" spans="1:11" ht="12" customHeight="1" x14ac:dyDescent="0.25">
      <c r="A49" s="4" t="s">
        <v>210</v>
      </c>
      <c r="B49" s="33" t="s">
        <v>211</v>
      </c>
      <c r="C49" s="34"/>
      <c r="D49" s="34"/>
      <c r="E49" s="34"/>
      <c r="F49" s="34"/>
      <c r="G49" s="7"/>
      <c r="H49" s="7"/>
    </row>
    <row r="50" spans="1:11" ht="12" customHeight="1" x14ac:dyDescent="0.25">
      <c r="A50" s="4" t="s">
        <v>939</v>
      </c>
      <c r="B50" s="1166" t="s">
        <v>1430</v>
      </c>
      <c r="C50" s="1166"/>
      <c r="D50" s="1166"/>
      <c r="E50" s="1166"/>
      <c r="F50" s="1166"/>
      <c r="G50" s="1166"/>
      <c r="H50" s="1166"/>
      <c r="I50" s="1166"/>
      <c r="J50" s="1166"/>
      <c r="K50" s="1166"/>
    </row>
    <row r="51" spans="1:11" ht="12" customHeight="1" x14ac:dyDescent="0.25">
      <c r="A51" s="4" t="s">
        <v>203</v>
      </c>
      <c r="B51" s="52" t="s">
        <v>288</v>
      </c>
      <c r="C51" s="77"/>
      <c r="D51" s="77"/>
      <c r="E51" s="77"/>
      <c r="F51" s="77"/>
      <c r="G51" s="77"/>
      <c r="H51" s="77"/>
      <c r="I51" s="77"/>
      <c r="J51" s="77"/>
      <c r="K51" s="77"/>
    </row>
    <row r="52" spans="1:11" ht="18" customHeight="1" x14ac:dyDescent="0.25">
      <c r="A52" s="4" t="s">
        <v>268</v>
      </c>
      <c r="B52" s="50" t="s">
        <v>1431</v>
      </c>
      <c r="C52" s="149"/>
      <c r="D52" s="149"/>
      <c r="E52" s="149"/>
      <c r="F52" s="149"/>
      <c r="G52" s="149"/>
      <c r="H52" s="149"/>
      <c r="I52" s="149"/>
    </row>
    <row r="53" spans="1:11" ht="27" customHeight="1" x14ac:dyDescent="0.25">
      <c r="A53" s="5" t="s">
        <v>270</v>
      </c>
      <c r="B53" s="1059" t="s">
        <v>289</v>
      </c>
      <c r="C53" s="1059"/>
      <c r="D53" s="1059"/>
      <c r="E53" s="1059"/>
      <c r="F53" s="1059"/>
      <c r="G53" s="7"/>
      <c r="H53" s="7"/>
    </row>
    <row r="54" spans="1:11" ht="13" x14ac:dyDescent="0.25">
      <c r="A54" s="5" t="s">
        <v>272</v>
      </c>
      <c r="B54" s="30" t="s">
        <v>280</v>
      </c>
      <c r="C54" s="145"/>
      <c r="D54" s="145"/>
      <c r="E54" s="145"/>
      <c r="F54" s="145"/>
      <c r="G54" s="7"/>
      <c r="H54" s="7"/>
    </row>
    <row r="55" spans="1:11" ht="18.75" customHeight="1" x14ac:dyDescent="0.25">
      <c r="A55" s="5" t="s">
        <v>274</v>
      </c>
      <c r="B55" s="1055"/>
      <c r="C55" s="1055"/>
      <c r="D55" s="1055"/>
      <c r="E55" s="1055"/>
      <c r="F55" s="1055"/>
      <c r="G55" s="1055"/>
      <c r="H55" s="1055"/>
    </row>
    <row r="57" spans="1:11" ht="22.5" customHeight="1" x14ac:dyDescent="0.25">
      <c r="A57" s="4" t="s">
        <v>173</v>
      </c>
      <c r="B57" s="1163" t="s">
        <v>287</v>
      </c>
      <c r="C57" s="1163"/>
      <c r="D57" s="1163"/>
      <c r="E57" s="1163"/>
      <c r="F57" s="1163"/>
      <c r="G57" s="7"/>
      <c r="H57" s="7"/>
    </row>
    <row r="58" spans="1:11" ht="12" customHeight="1" x14ac:dyDescent="0.25">
      <c r="A58" s="4" t="s">
        <v>210</v>
      </c>
      <c r="B58" s="33" t="s">
        <v>211</v>
      </c>
      <c r="C58" s="34"/>
      <c r="D58" s="34"/>
      <c r="E58" s="34"/>
      <c r="F58" s="34"/>
      <c r="G58" s="7"/>
      <c r="H58" s="7"/>
    </row>
    <row r="59" spans="1:11" ht="12" customHeight="1" x14ac:dyDescent="0.25">
      <c r="A59" s="4" t="s">
        <v>939</v>
      </c>
      <c r="B59" s="1166" t="s">
        <v>1430</v>
      </c>
      <c r="C59" s="1166"/>
      <c r="D59" s="1166"/>
      <c r="E59" s="1166"/>
      <c r="F59" s="1166"/>
      <c r="G59" s="1166"/>
      <c r="H59" s="1166"/>
      <c r="I59" s="1166"/>
      <c r="J59" s="1166"/>
      <c r="K59" s="1166"/>
    </row>
    <row r="60" spans="1:11" ht="12" customHeight="1" x14ac:dyDescent="0.25">
      <c r="A60" s="4" t="s">
        <v>203</v>
      </c>
      <c r="B60" s="52" t="s">
        <v>288</v>
      </c>
      <c r="C60" s="77"/>
      <c r="D60" s="77"/>
      <c r="E60" s="77"/>
      <c r="F60" s="77"/>
      <c r="G60" s="77"/>
      <c r="H60" s="77"/>
      <c r="I60" s="77"/>
      <c r="J60" s="77"/>
      <c r="K60" s="77"/>
    </row>
    <row r="61" spans="1:11" ht="18" customHeight="1" x14ac:dyDescent="0.25">
      <c r="A61" s="4" t="s">
        <v>268</v>
      </c>
      <c r="B61" s="50"/>
      <c r="C61" s="149"/>
      <c r="D61" s="149"/>
      <c r="E61" s="149"/>
      <c r="F61" s="149"/>
      <c r="G61" s="149"/>
      <c r="H61" s="149"/>
      <c r="I61" s="149"/>
    </row>
    <row r="62" spans="1:11" ht="27" customHeight="1" x14ac:dyDescent="0.25">
      <c r="A62" s="5" t="s">
        <v>270</v>
      </c>
      <c r="B62" s="1059" t="s">
        <v>289</v>
      </c>
      <c r="C62" s="1059"/>
      <c r="D62" s="1059"/>
      <c r="E62" s="1059"/>
      <c r="F62" s="1059"/>
      <c r="G62" s="7"/>
      <c r="H62" s="7"/>
    </row>
    <row r="63" spans="1:11" ht="13" x14ac:dyDescent="0.25">
      <c r="A63" s="5" t="s">
        <v>272</v>
      </c>
      <c r="B63" s="30" t="s">
        <v>280</v>
      </c>
      <c r="C63" s="145"/>
      <c r="D63" s="145"/>
      <c r="E63" s="145"/>
      <c r="F63" s="145"/>
      <c r="G63" s="7"/>
      <c r="H63" s="7"/>
    </row>
    <row r="64" spans="1:11" ht="18.75" customHeight="1" x14ac:dyDescent="0.25">
      <c r="A64" s="5" t="s">
        <v>274</v>
      </c>
      <c r="B64" s="1055"/>
      <c r="C64" s="1055"/>
      <c r="D64" s="1055"/>
      <c r="E64" s="1055"/>
      <c r="F64" s="1055"/>
      <c r="G64" s="1055"/>
      <c r="H64" s="1055"/>
    </row>
  </sheetData>
  <mergeCells count="28">
    <mergeCell ref="B36:H36"/>
    <mergeCell ref="B64:H64"/>
    <mergeCell ref="B53:F53"/>
    <mergeCell ref="B55:H55"/>
    <mergeCell ref="B57:F57"/>
    <mergeCell ref="B59:K59"/>
    <mergeCell ref="B62:F62"/>
    <mergeCell ref="B48:F48"/>
    <mergeCell ref="B50:K50"/>
    <mergeCell ref="B38:F38"/>
    <mergeCell ref="B41:K41"/>
    <mergeCell ref="B43:F43"/>
    <mergeCell ref="B45:H45"/>
    <mergeCell ref="B14:I14"/>
    <mergeCell ref="B16:F16"/>
    <mergeCell ref="B18:H18"/>
    <mergeCell ref="B32:K32"/>
    <mergeCell ref="B34:F34"/>
    <mergeCell ref="B29:F29"/>
    <mergeCell ref="B20:F20"/>
    <mergeCell ref="B22:K22"/>
    <mergeCell ref="B25:F25"/>
    <mergeCell ref="B27:H27"/>
    <mergeCell ref="A1:H1"/>
    <mergeCell ref="B3:G3"/>
    <mergeCell ref="B6:E6"/>
    <mergeCell ref="B9:H9"/>
    <mergeCell ref="B11:F11"/>
  </mergeCells>
  <dataValidations count="1">
    <dataValidation type="list" allowBlank="1" showInputMessage="1" showErrorMessage="1" sqref="B4 B12 B30 B39 B21 B49 B58" xr:uid="{00000000-0002-0000-0700-000000000000}">
      <formula1>"Policy, Vehicle"</formula1>
    </dataValidation>
  </dataValidations>
  <pageMargins left="0.7" right="0.7" top="0.75" bottom="0.75" header="0.3" footer="0.3"/>
  <pageSetup scale="79" fitToHeight="50"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FF00"/>
    <pageSetUpPr fitToPage="1"/>
  </sheetPr>
  <dimension ref="A1:AA9"/>
  <sheetViews>
    <sheetView zoomScale="90" zoomScaleNormal="90" zoomScaleSheetLayoutView="115" workbookViewId="0">
      <selection activeCell="A8" sqref="A8"/>
    </sheetView>
  </sheetViews>
  <sheetFormatPr defaultColWidth="9.26953125" defaultRowHeight="12.5" x14ac:dyDescent="0.25"/>
  <cols>
    <col min="1" max="1" width="48.453125" style="3" customWidth="1"/>
    <col min="2" max="2" width="21.26953125" style="478" customWidth="1"/>
    <col min="3" max="3" width="10.7265625" style="3" customWidth="1"/>
    <col min="4" max="4" width="46.26953125" customWidth="1"/>
    <col min="5" max="5" width="6" style="296" customWidth="1"/>
    <col min="6" max="7" width="11.7265625" style="282" customWidth="1"/>
    <col min="8" max="8" width="6.7265625" style="7" customWidth="1"/>
    <col min="9" max="9" width="7.7265625" style="7" customWidth="1"/>
    <col min="10" max="11" width="5.7265625" style="7" customWidth="1"/>
    <col min="12" max="13" width="8.26953125" style="7" customWidth="1"/>
    <col min="14" max="14" width="7.453125" style="7" customWidth="1"/>
    <col min="15" max="15" width="7.7265625" style="7" customWidth="1"/>
    <col min="16" max="16" width="5.453125" style="7" customWidth="1"/>
    <col min="17" max="17" width="5.7265625" style="7" customWidth="1"/>
    <col min="18" max="18" width="6.26953125" style="7" customWidth="1"/>
    <col min="19" max="19" width="9.26953125" style="7"/>
    <col min="20" max="20" width="10.26953125" style="7" customWidth="1"/>
    <col min="21" max="24" width="9.26953125" style="7"/>
    <col min="25" max="27" width="9.26953125" style="24"/>
  </cols>
  <sheetData>
    <row r="1" spans="1:24" s="479" customFormat="1" ht="45.75" customHeight="1" x14ac:dyDescent="0.25">
      <c r="A1" s="285" t="s">
        <v>1131</v>
      </c>
      <c r="B1" s="489" t="s">
        <v>1134</v>
      </c>
      <c r="C1" s="285" t="s">
        <v>1135</v>
      </c>
      <c r="D1" s="285" t="s">
        <v>1136</v>
      </c>
      <c r="E1" s="475" t="s">
        <v>1137</v>
      </c>
      <c r="F1" s="476" t="s">
        <v>1138</v>
      </c>
      <c r="G1" s="476" t="s">
        <v>1139</v>
      </c>
      <c r="H1" s="285" t="s">
        <v>1439</v>
      </c>
      <c r="I1" s="285" t="s">
        <v>1440</v>
      </c>
      <c r="J1" s="285" t="s">
        <v>1441</v>
      </c>
      <c r="K1" s="285" t="s">
        <v>1442</v>
      </c>
      <c r="L1" s="285" t="s">
        <v>1443</v>
      </c>
      <c r="M1" s="285" t="s">
        <v>1444</v>
      </c>
      <c r="N1" s="285" t="s">
        <v>1445</v>
      </c>
      <c r="O1" s="285" t="s">
        <v>1446</v>
      </c>
      <c r="P1" s="285" t="s">
        <v>1447</v>
      </c>
      <c r="Q1" s="285" t="s">
        <v>1448</v>
      </c>
      <c r="R1" s="285" t="s">
        <v>1449</v>
      </c>
      <c r="S1" s="285" t="s">
        <v>1450</v>
      </c>
      <c r="T1" s="285" t="s">
        <v>1451</v>
      </c>
      <c r="U1" s="285" t="s">
        <v>1452</v>
      </c>
      <c r="V1" s="285" t="s">
        <v>1453</v>
      </c>
      <c r="W1" s="285" t="s">
        <v>1454</v>
      </c>
      <c r="X1" s="285" t="s">
        <v>1151</v>
      </c>
    </row>
    <row r="2" spans="1:24" s="477" customFormat="1" ht="62.5" x14ac:dyDescent="0.25">
      <c r="A2" s="655" t="s">
        <v>1455</v>
      </c>
      <c r="B2" s="655" t="s">
        <v>1456</v>
      </c>
      <c r="C2" s="655" t="s">
        <v>1457</v>
      </c>
      <c r="D2" s="655" t="s">
        <v>1458</v>
      </c>
      <c r="E2" s="672">
        <v>13</v>
      </c>
      <c r="F2" s="657">
        <v>45200</v>
      </c>
      <c r="G2" s="657">
        <v>45627</v>
      </c>
      <c r="H2" s="673" t="s">
        <v>29</v>
      </c>
      <c r="I2" s="673" t="s">
        <v>29</v>
      </c>
      <c r="J2" s="673" t="s">
        <v>29</v>
      </c>
      <c r="K2" s="673" t="s">
        <v>29</v>
      </c>
      <c r="L2" s="673" t="s">
        <v>29</v>
      </c>
      <c r="M2" s="673" t="s">
        <v>29</v>
      </c>
      <c r="N2" s="673" t="s">
        <v>29</v>
      </c>
      <c r="O2" s="673" t="s">
        <v>29</v>
      </c>
      <c r="P2" s="673"/>
      <c r="Q2" s="673"/>
      <c r="R2" s="673" t="s">
        <v>29</v>
      </c>
      <c r="S2" s="673"/>
      <c r="T2" s="673"/>
      <c r="U2" s="673"/>
      <c r="V2" s="673"/>
      <c r="W2" s="673"/>
      <c r="X2" s="673">
        <v>5141554</v>
      </c>
    </row>
    <row r="3" spans="1:24" s="12" customFormat="1" ht="50" x14ac:dyDescent="0.25">
      <c r="A3" s="646" t="s">
        <v>1459</v>
      </c>
      <c r="B3" s="646" t="s">
        <v>1460</v>
      </c>
      <c r="C3" s="646" t="s">
        <v>1461</v>
      </c>
      <c r="D3" s="646" t="s">
        <v>1462</v>
      </c>
      <c r="E3" s="668">
        <v>13</v>
      </c>
      <c r="F3" s="648">
        <v>45627</v>
      </c>
      <c r="G3" s="648"/>
      <c r="H3" s="669" t="s">
        <v>29</v>
      </c>
      <c r="I3" s="669" t="s">
        <v>29</v>
      </c>
      <c r="J3" s="669" t="s">
        <v>29</v>
      </c>
      <c r="K3" s="669" t="s">
        <v>29</v>
      </c>
      <c r="L3" s="669" t="s">
        <v>29</v>
      </c>
      <c r="M3" s="669" t="s">
        <v>29</v>
      </c>
      <c r="N3" s="669" t="s">
        <v>29</v>
      </c>
      <c r="O3" s="669" t="s">
        <v>29</v>
      </c>
      <c r="P3" s="669"/>
      <c r="Q3" s="669"/>
      <c r="R3" s="669" t="s">
        <v>29</v>
      </c>
      <c r="S3" s="708"/>
      <c r="T3" s="708"/>
      <c r="U3" s="708"/>
      <c r="V3" s="708"/>
      <c r="W3" s="708"/>
      <c r="X3" s="708">
        <v>5141982</v>
      </c>
    </row>
    <row r="4" spans="1:24" s="12" customFormat="1" x14ac:dyDescent="0.25">
      <c r="A4" s="646" t="s">
        <v>1463</v>
      </c>
      <c r="B4" s="646" t="s">
        <v>1464</v>
      </c>
      <c r="C4" s="646" t="s">
        <v>1465</v>
      </c>
      <c r="D4" s="646" t="s">
        <v>1466</v>
      </c>
      <c r="E4" s="668">
        <v>14</v>
      </c>
      <c r="F4" s="648">
        <v>45627</v>
      </c>
      <c r="G4" s="648"/>
      <c r="H4" s="669" t="s">
        <v>29</v>
      </c>
      <c r="I4" s="669" t="s">
        <v>29</v>
      </c>
      <c r="J4" s="669" t="s">
        <v>29</v>
      </c>
      <c r="K4" s="669" t="s">
        <v>29</v>
      </c>
      <c r="L4" s="669" t="s">
        <v>29</v>
      </c>
      <c r="M4" s="669" t="s">
        <v>29</v>
      </c>
      <c r="N4" s="669" t="s">
        <v>29</v>
      </c>
      <c r="O4" s="669" t="s">
        <v>29</v>
      </c>
      <c r="P4" s="669"/>
      <c r="Q4" s="669"/>
      <c r="R4" s="669" t="s">
        <v>29</v>
      </c>
      <c r="S4" s="708"/>
      <c r="T4" s="708"/>
      <c r="U4" s="708"/>
      <c r="V4" s="708"/>
      <c r="W4" s="708"/>
      <c r="X4" s="708">
        <v>5141983</v>
      </c>
    </row>
    <row r="5" spans="1:24" s="477" customFormat="1" ht="29" x14ac:dyDescent="0.25">
      <c r="A5" s="655" t="s">
        <v>1467</v>
      </c>
      <c r="B5" s="655" t="s">
        <v>1468</v>
      </c>
      <c r="C5" s="709" t="s">
        <v>1469</v>
      </c>
      <c r="D5" s="714" t="s">
        <v>1470</v>
      </c>
      <c r="E5" s="710">
        <v>2</v>
      </c>
      <c r="F5" s="711" t="s">
        <v>1471</v>
      </c>
      <c r="G5" s="711">
        <v>45627</v>
      </c>
      <c r="H5" s="674"/>
      <c r="I5" s="657"/>
      <c r="J5" s="657"/>
      <c r="K5" s="657"/>
      <c r="L5" s="657"/>
      <c r="M5" s="657"/>
      <c r="N5" s="674"/>
      <c r="O5" s="674"/>
      <c r="P5" s="674"/>
      <c r="Q5" s="674"/>
      <c r="R5" s="674"/>
      <c r="S5" s="674" t="s">
        <v>29</v>
      </c>
      <c r="T5" s="674" t="s">
        <v>29</v>
      </c>
      <c r="U5" s="674" t="s">
        <v>29</v>
      </c>
      <c r="V5" s="673"/>
      <c r="W5" s="673"/>
      <c r="X5" s="673">
        <v>5268</v>
      </c>
    </row>
    <row r="6" spans="1:24" s="12" customFormat="1" ht="29" x14ac:dyDescent="0.25">
      <c r="A6" s="646" t="s">
        <v>1467</v>
      </c>
      <c r="B6" s="646" t="s">
        <v>1472</v>
      </c>
      <c r="C6" s="705" t="s">
        <v>1469</v>
      </c>
      <c r="D6" s="715" t="s">
        <v>1470</v>
      </c>
      <c r="E6" s="706">
        <v>2</v>
      </c>
      <c r="F6" s="707">
        <v>45627</v>
      </c>
      <c r="G6" s="645"/>
      <c r="H6" s="670"/>
      <c r="I6" s="648"/>
      <c r="J6" s="648"/>
      <c r="K6" s="648"/>
      <c r="L6" s="648"/>
      <c r="M6" s="648"/>
      <c r="N6" s="670"/>
      <c r="O6" s="670"/>
      <c r="P6" s="670"/>
      <c r="Q6" s="670"/>
      <c r="R6" s="670"/>
      <c r="S6" s="670" t="s">
        <v>29</v>
      </c>
      <c r="T6" s="670" t="s">
        <v>29</v>
      </c>
      <c r="U6" s="670" t="s">
        <v>29</v>
      </c>
      <c r="V6" s="669"/>
      <c r="W6" s="708"/>
      <c r="X6" s="708">
        <v>5140913</v>
      </c>
    </row>
    <row r="7" spans="1:24" s="24" customFormat="1" ht="14.5" x14ac:dyDescent="0.25">
      <c r="A7" s="480" t="s">
        <v>1302</v>
      </c>
      <c r="B7" s="480" t="s">
        <v>1473</v>
      </c>
      <c r="C7" s="481"/>
      <c r="D7" s="482"/>
      <c r="E7" s="483"/>
      <c r="F7" s="484"/>
      <c r="G7" s="485"/>
      <c r="H7" s="486" t="s">
        <v>29</v>
      </c>
      <c r="I7" s="486" t="s">
        <v>29</v>
      </c>
      <c r="J7" s="486" t="s">
        <v>29</v>
      </c>
      <c r="K7" s="486" t="s">
        <v>29</v>
      </c>
      <c r="L7" s="486" t="s">
        <v>29</v>
      </c>
      <c r="M7" s="486" t="s">
        <v>29</v>
      </c>
      <c r="N7" s="486" t="s">
        <v>29</v>
      </c>
      <c r="O7" s="486" t="s">
        <v>29</v>
      </c>
      <c r="P7" s="486"/>
      <c r="Q7" s="486"/>
      <c r="R7" s="486" t="s">
        <v>29</v>
      </c>
      <c r="S7" s="289"/>
      <c r="T7" s="289"/>
      <c r="U7" s="289"/>
      <c r="V7" s="177"/>
      <c r="W7" s="487"/>
      <c r="X7" s="487">
        <v>5141638</v>
      </c>
    </row>
    <row r="8" spans="1:24" x14ac:dyDescent="0.25">
      <c r="A8" s="293" t="s">
        <v>1474</v>
      </c>
      <c r="B8" s="488" t="s">
        <v>1475</v>
      </c>
      <c r="C8" s="293" t="s">
        <v>1476</v>
      </c>
      <c r="D8" s="65" t="s">
        <v>1477</v>
      </c>
      <c r="E8" s="295">
        <v>6</v>
      </c>
      <c r="F8" s="291">
        <v>44593</v>
      </c>
      <c r="G8" s="291"/>
      <c r="H8" s="487"/>
      <c r="I8" s="487"/>
      <c r="J8" s="487"/>
      <c r="K8" s="487"/>
      <c r="L8" s="487"/>
      <c r="M8" s="487"/>
      <c r="N8" s="487"/>
      <c r="O8" s="487"/>
      <c r="P8" s="487"/>
      <c r="Q8" s="487"/>
      <c r="R8" s="487"/>
      <c r="S8" s="177" t="s">
        <v>29</v>
      </c>
      <c r="T8" s="487"/>
      <c r="U8" s="487"/>
      <c r="V8" s="487"/>
      <c r="W8" s="487"/>
      <c r="X8" s="487">
        <v>5141078</v>
      </c>
    </row>
    <row r="9" spans="1:24" x14ac:dyDescent="0.25">
      <c r="A9" s="293" t="s">
        <v>1478</v>
      </c>
      <c r="B9" s="488" t="s">
        <v>1479</v>
      </c>
      <c r="C9" s="293" t="s">
        <v>1480</v>
      </c>
      <c r="D9" s="65" t="s">
        <v>1481</v>
      </c>
      <c r="E9" s="295">
        <v>2</v>
      </c>
      <c r="F9" s="291">
        <v>45184</v>
      </c>
      <c r="G9" s="291"/>
      <c r="H9" s="487"/>
      <c r="I9" s="487"/>
      <c r="J9" s="487"/>
      <c r="K9" s="487"/>
      <c r="L9" s="487"/>
      <c r="M9" s="487"/>
      <c r="N9" s="487"/>
      <c r="O9" s="487"/>
      <c r="P9" s="487"/>
      <c r="Q9" s="487"/>
      <c r="R9" s="487"/>
      <c r="S9" s="487"/>
      <c r="T9" s="487"/>
      <c r="U9" s="487"/>
      <c r="V9" s="177" t="s">
        <v>29</v>
      </c>
      <c r="W9" s="177" t="s">
        <v>29</v>
      </c>
      <c r="X9" s="487">
        <v>5141538</v>
      </c>
    </row>
  </sheetData>
  <autoFilter ref="A1:AA1" xr:uid="{00000000-0001-0000-0F00-000000000000}"/>
  <phoneticPr fontId="13" type="noConversion"/>
  <pageMargins left="0.7" right="0.7" top="0.75" bottom="0.75" header="0.3" footer="0.3"/>
  <pageSetup scale="48" fitToHeight="100" orientation="landscape" horizontalDpi="200" verticalDpi="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J38"/>
  <sheetViews>
    <sheetView topLeftCell="A21" workbookViewId="0">
      <selection activeCell="L38" sqref="L38"/>
    </sheetView>
  </sheetViews>
  <sheetFormatPr defaultColWidth="9.26953125" defaultRowHeight="12.5" x14ac:dyDescent="0.25"/>
  <cols>
    <col min="1" max="1" width="17.7265625" style="81" bestFit="1" customWidth="1"/>
    <col min="2" max="2" width="9.26953125" style="81"/>
    <col min="3" max="3" width="11.7265625" style="81" bestFit="1" customWidth="1"/>
    <col min="4" max="4" width="11.54296875" style="81" bestFit="1" customWidth="1"/>
    <col min="5" max="16384" width="9.26953125" style="81"/>
  </cols>
  <sheetData>
    <row r="1" spans="1:10" customFormat="1" ht="13" thickBot="1" x14ac:dyDescent="0.3">
      <c r="A1" s="20"/>
    </row>
    <row r="2" spans="1:10" customFormat="1" x14ac:dyDescent="0.25">
      <c r="A2" s="235" t="s">
        <v>29</v>
      </c>
      <c r="B2" s="236" t="s">
        <v>1482</v>
      </c>
      <c r="C2" s="237"/>
      <c r="D2" s="1168" t="s">
        <v>1483</v>
      </c>
      <c r="E2" s="1168"/>
      <c r="F2" s="237"/>
      <c r="G2" s="1168" t="s">
        <v>1484</v>
      </c>
      <c r="H2" s="1168"/>
      <c r="I2" s="1168"/>
      <c r="J2" s="1169"/>
    </row>
    <row r="3" spans="1:10" customFormat="1" ht="13" thickBot="1" x14ac:dyDescent="0.3">
      <c r="A3" s="238" t="s">
        <v>29</v>
      </c>
      <c r="B3" s="239" t="s">
        <v>1485</v>
      </c>
      <c r="C3" s="240"/>
      <c r="D3" s="1170" t="s">
        <v>1486</v>
      </c>
      <c r="E3" s="1170"/>
      <c r="F3" s="240"/>
      <c r="G3" s="1170" t="s">
        <v>1487</v>
      </c>
      <c r="H3" s="1170"/>
      <c r="I3" s="1170"/>
      <c r="J3" s="1171"/>
    </row>
    <row r="4" spans="1:10" customFormat="1" x14ac:dyDescent="0.25">
      <c r="A4" s="20"/>
    </row>
    <row r="5" spans="1:10" customFormat="1" x14ac:dyDescent="0.25">
      <c r="A5" s="20"/>
    </row>
    <row r="6" spans="1:10" ht="18" x14ac:dyDescent="0.25">
      <c r="A6" s="1167" t="s">
        <v>323</v>
      </c>
      <c r="B6" s="1167"/>
      <c r="C6" s="1167"/>
      <c r="D6" s="1167"/>
      <c r="E6" s="1167"/>
      <c r="F6" s="490"/>
    </row>
    <row r="7" spans="1:10" ht="13" thickBot="1" x14ac:dyDescent="0.3"/>
    <row r="8" spans="1:10" ht="13" x14ac:dyDescent="0.3">
      <c r="A8" s="251" t="s">
        <v>1488</v>
      </c>
      <c r="B8" s="306" t="s">
        <v>119</v>
      </c>
      <c r="C8" s="306" t="s">
        <v>213</v>
      </c>
      <c r="D8" s="306" t="s">
        <v>214</v>
      </c>
      <c r="E8" s="250" t="s">
        <v>1489</v>
      </c>
    </row>
    <row r="9" spans="1:10" x14ac:dyDescent="0.25">
      <c r="A9" s="348" t="s">
        <v>236</v>
      </c>
      <c r="B9" s="136">
        <v>525</v>
      </c>
      <c r="C9" s="136">
        <v>0</v>
      </c>
      <c r="D9" s="136">
        <v>525</v>
      </c>
      <c r="E9" s="314" t="s">
        <v>29</v>
      </c>
    </row>
    <row r="10" spans="1:10" x14ac:dyDescent="0.25">
      <c r="A10" s="348" t="s">
        <v>238</v>
      </c>
      <c r="B10" s="136">
        <v>526</v>
      </c>
      <c r="C10" s="136">
        <v>526</v>
      </c>
      <c r="D10" s="136">
        <v>550</v>
      </c>
      <c r="E10" s="314" t="s">
        <v>29</v>
      </c>
    </row>
    <row r="11" spans="1:10" x14ac:dyDescent="0.25">
      <c r="A11" s="348" t="s">
        <v>239</v>
      </c>
      <c r="B11" s="136">
        <v>551</v>
      </c>
      <c r="C11" s="136">
        <v>551</v>
      </c>
      <c r="D11" s="136">
        <v>575</v>
      </c>
      <c r="E11" s="314" t="s">
        <v>29</v>
      </c>
    </row>
    <row r="12" spans="1:10" x14ac:dyDescent="0.25">
      <c r="A12" s="348" t="s">
        <v>240</v>
      </c>
      <c r="B12" s="136">
        <v>576</v>
      </c>
      <c r="C12" s="136">
        <v>576</v>
      </c>
      <c r="D12" s="136">
        <v>600</v>
      </c>
      <c r="E12" s="314" t="s">
        <v>29</v>
      </c>
    </row>
    <row r="13" spans="1:10" x14ac:dyDescent="0.25">
      <c r="A13" s="348" t="s">
        <v>241</v>
      </c>
      <c r="B13" s="136">
        <v>601</v>
      </c>
      <c r="C13" s="136">
        <v>601</v>
      </c>
      <c r="D13" s="136">
        <v>625</v>
      </c>
      <c r="E13" s="314" t="s">
        <v>29</v>
      </c>
    </row>
    <row r="14" spans="1:10" x14ac:dyDescent="0.25">
      <c r="A14" s="348" t="s">
        <v>242</v>
      </c>
      <c r="B14" s="136">
        <v>626</v>
      </c>
      <c r="C14" s="136">
        <v>626</v>
      </c>
      <c r="D14" s="136">
        <v>650</v>
      </c>
      <c r="E14" s="314" t="s">
        <v>29</v>
      </c>
    </row>
    <row r="15" spans="1:10" x14ac:dyDescent="0.25">
      <c r="A15" s="348" t="s">
        <v>243</v>
      </c>
      <c r="B15" s="136">
        <v>651</v>
      </c>
      <c r="C15" s="136">
        <v>651</v>
      </c>
      <c r="D15" s="136">
        <v>675</v>
      </c>
      <c r="E15" s="314" t="s">
        <v>29</v>
      </c>
    </row>
    <row r="16" spans="1:10" x14ac:dyDescent="0.25">
      <c r="A16" s="348" t="s">
        <v>244</v>
      </c>
      <c r="B16" s="136">
        <v>676</v>
      </c>
      <c r="C16" s="136">
        <v>676</v>
      </c>
      <c r="D16" s="136">
        <v>700</v>
      </c>
      <c r="E16" s="314" t="s">
        <v>29</v>
      </c>
    </row>
    <row r="17" spans="1:8" x14ac:dyDescent="0.25">
      <c r="A17" s="348" t="s">
        <v>245</v>
      </c>
      <c r="B17" s="136">
        <v>701</v>
      </c>
      <c r="C17" s="136">
        <v>701</v>
      </c>
      <c r="D17" s="136">
        <v>725</v>
      </c>
      <c r="E17" s="314" t="s">
        <v>29</v>
      </c>
    </row>
    <row r="18" spans="1:8" ht="12.75" customHeight="1" x14ac:dyDescent="0.25">
      <c r="A18" s="348" t="s">
        <v>246</v>
      </c>
      <c r="B18" s="136">
        <v>726</v>
      </c>
      <c r="C18" s="136">
        <v>726</v>
      </c>
      <c r="D18" s="136">
        <v>750</v>
      </c>
      <c r="E18" s="314" t="s">
        <v>29</v>
      </c>
    </row>
    <row r="19" spans="1:8" ht="13.5" customHeight="1" x14ac:dyDescent="0.25">
      <c r="A19" s="348" t="s">
        <v>247</v>
      </c>
      <c r="B19" s="136">
        <v>751</v>
      </c>
      <c r="C19" s="136">
        <v>751</v>
      </c>
      <c r="D19" s="136">
        <v>775</v>
      </c>
      <c r="E19" s="314" t="s">
        <v>29</v>
      </c>
    </row>
    <row r="20" spans="1:8" x14ac:dyDescent="0.25">
      <c r="A20" s="348" t="s">
        <v>248</v>
      </c>
      <c r="B20" s="136">
        <v>776</v>
      </c>
      <c r="C20" s="136">
        <v>776</v>
      </c>
      <c r="D20" s="136">
        <v>800</v>
      </c>
      <c r="E20" s="314" t="s">
        <v>29</v>
      </c>
    </row>
    <row r="21" spans="1:8" x14ac:dyDescent="0.25">
      <c r="A21" s="348" t="s">
        <v>249</v>
      </c>
      <c r="B21" s="136">
        <v>801</v>
      </c>
      <c r="C21" s="136">
        <v>801</v>
      </c>
      <c r="D21" s="136">
        <v>825</v>
      </c>
      <c r="E21" s="314" t="s">
        <v>29</v>
      </c>
    </row>
    <row r="22" spans="1:8" x14ac:dyDescent="0.25">
      <c r="A22" s="348" t="s">
        <v>250</v>
      </c>
      <c r="B22" s="136">
        <v>826</v>
      </c>
      <c r="C22" s="136">
        <v>826</v>
      </c>
      <c r="D22" s="136">
        <v>850</v>
      </c>
      <c r="E22" s="314" t="s">
        <v>29</v>
      </c>
    </row>
    <row r="23" spans="1:8" x14ac:dyDescent="0.25">
      <c r="A23" s="348" t="s">
        <v>251</v>
      </c>
      <c r="B23" s="136">
        <v>851</v>
      </c>
      <c r="C23" s="136">
        <v>851</v>
      </c>
      <c r="D23" s="136">
        <v>875</v>
      </c>
      <c r="E23" s="314" t="s">
        <v>29</v>
      </c>
    </row>
    <row r="24" spans="1:8" x14ac:dyDescent="0.25">
      <c r="A24" s="348" t="s">
        <v>252</v>
      </c>
      <c r="B24" s="136">
        <v>876</v>
      </c>
      <c r="C24" s="136">
        <v>876</v>
      </c>
      <c r="D24" s="136">
        <v>900</v>
      </c>
      <c r="E24" s="314" t="s">
        <v>29</v>
      </c>
    </row>
    <row r="25" spans="1:8" x14ac:dyDescent="0.25">
      <c r="A25" s="348" t="s">
        <v>253</v>
      </c>
      <c r="B25" s="136">
        <v>901</v>
      </c>
      <c r="C25" s="136">
        <v>901</v>
      </c>
      <c r="D25" s="136">
        <v>997</v>
      </c>
      <c r="E25" s="314" t="s">
        <v>29</v>
      </c>
    </row>
    <row r="26" spans="1:8" x14ac:dyDescent="0.25">
      <c r="A26" s="348" t="s">
        <v>254</v>
      </c>
      <c r="B26" s="136">
        <v>998</v>
      </c>
      <c r="C26" s="136">
        <v>998</v>
      </c>
      <c r="D26" s="136">
        <v>998</v>
      </c>
      <c r="E26" s="314" t="s">
        <v>29</v>
      </c>
    </row>
    <row r="27" spans="1:8" x14ac:dyDescent="0.25">
      <c r="A27" s="348" t="s">
        <v>255</v>
      </c>
      <c r="B27" s="136">
        <v>999</v>
      </c>
      <c r="C27" s="136">
        <v>999</v>
      </c>
      <c r="D27" s="136">
        <v>999</v>
      </c>
      <c r="E27" s="314" t="s">
        <v>29</v>
      </c>
    </row>
    <row r="28" spans="1:8" x14ac:dyDescent="0.25">
      <c r="A28" s="348" t="s">
        <v>256</v>
      </c>
      <c r="B28" s="136">
        <v>1003</v>
      </c>
      <c r="C28" s="136">
        <v>1003</v>
      </c>
      <c r="D28" s="136">
        <v>1003</v>
      </c>
      <c r="E28" s="314" t="s">
        <v>29</v>
      </c>
    </row>
    <row r="29" spans="1:8" x14ac:dyDescent="0.25">
      <c r="A29" s="348" t="s">
        <v>257</v>
      </c>
      <c r="B29" s="136">
        <v>1004</v>
      </c>
      <c r="C29" s="136">
        <v>1004</v>
      </c>
      <c r="D29" s="136">
        <v>1004</v>
      </c>
      <c r="E29" s="314" t="s">
        <v>29</v>
      </c>
    </row>
    <row r="30" spans="1:8" x14ac:dyDescent="0.25">
      <c r="A30" s="348" t="s">
        <v>258</v>
      </c>
      <c r="B30" s="136">
        <v>1002</v>
      </c>
      <c r="C30" s="136">
        <v>1002</v>
      </c>
      <c r="D30" s="136">
        <v>1002</v>
      </c>
      <c r="E30" s="314" t="s">
        <v>29</v>
      </c>
    </row>
    <row r="31" spans="1:8" x14ac:dyDescent="0.25">
      <c r="A31" s="720" t="s">
        <v>259</v>
      </c>
      <c r="B31" s="721">
        <v>1005</v>
      </c>
      <c r="C31" s="721">
        <v>1005</v>
      </c>
      <c r="D31" s="721">
        <v>1005</v>
      </c>
      <c r="E31" s="722" t="s">
        <v>29</v>
      </c>
    </row>
    <row r="32" spans="1:8" ht="13" thickBot="1" x14ac:dyDescent="0.3">
      <c r="A32" s="723" t="s">
        <v>523</v>
      </c>
      <c r="B32" s="724">
        <v>1006</v>
      </c>
      <c r="C32" s="724">
        <v>1006</v>
      </c>
      <c r="D32" s="724">
        <v>1006</v>
      </c>
      <c r="E32" s="725" t="s">
        <v>29</v>
      </c>
      <c r="F32" s="726" t="s">
        <v>1490</v>
      </c>
      <c r="G32" s="726"/>
      <c r="H32" s="726"/>
    </row>
    <row r="35" spans="1:10" ht="18" x14ac:dyDescent="0.25">
      <c r="A35" s="1167" t="s">
        <v>1491</v>
      </c>
      <c r="B35" s="1167"/>
      <c r="C35" s="1167"/>
      <c r="D35" s="1167"/>
      <c r="E35" s="1167"/>
      <c r="F35" s="1167"/>
      <c r="G35" s="1167"/>
      <c r="H35" s="1167"/>
      <c r="I35" s="1167"/>
      <c r="J35" s="1167"/>
    </row>
    <row r="36" spans="1:10" ht="13" thickBot="1" x14ac:dyDescent="0.3"/>
    <row r="37" spans="1:10" ht="78" x14ac:dyDescent="0.25">
      <c r="A37" s="492" t="s">
        <v>525</v>
      </c>
      <c r="B37" s="493" t="s">
        <v>1492</v>
      </c>
      <c r="C37" s="493" t="s">
        <v>1493</v>
      </c>
      <c r="D37" s="493" t="s">
        <v>1494</v>
      </c>
      <c r="E37" s="493" t="s">
        <v>1495</v>
      </c>
      <c r="F37" s="493" t="s">
        <v>1496</v>
      </c>
      <c r="G37" s="493" t="s">
        <v>1497</v>
      </c>
      <c r="H37" s="493" t="s">
        <v>1498</v>
      </c>
      <c r="I37" s="493" t="s">
        <v>1499</v>
      </c>
      <c r="J37" s="494" t="s">
        <v>1500</v>
      </c>
    </row>
    <row r="38" spans="1:10" ht="13" thickBot="1" x14ac:dyDescent="0.3">
      <c r="A38" s="247" t="s">
        <v>8</v>
      </c>
      <c r="B38" s="315"/>
      <c r="C38" s="315" t="s">
        <v>29</v>
      </c>
      <c r="D38" s="315"/>
      <c r="E38" s="315">
        <v>90</v>
      </c>
      <c r="F38" s="315"/>
      <c r="G38" s="315"/>
      <c r="H38" s="315">
        <v>3</v>
      </c>
      <c r="I38" s="491">
        <v>43307</v>
      </c>
      <c r="J38" s="316"/>
    </row>
  </sheetData>
  <mergeCells count="6">
    <mergeCell ref="A35:J35"/>
    <mergeCell ref="D2:E2"/>
    <mergeCell ref="G2:J2"/>
    <mergeCell ref="D3:E3"/>
    <mergeCell ref="G3:J3"/>
    <mergeCell ref="A6:E6"/>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77"/>
  <sheetViews>
    <sheetView topLeftCell="A31" zoomScale="89" zoomScaleNormal="55" workbookViewId="0">
      <selection activeCell="G51" sqref="G50:G51"/>
    </sheetView>
  </sheetViews>
  <sheetFormatPr defaultColWidth="9.26953125" defaultRowHeight="12.5" x14ac:dyDescent="0.25"/>
  <cols>
    <col min="1" max="1" width="7.453125" style="81" customWidth="1"/>
    <col min="2" max="2" width="12.453125" style="81" customWidth="1"/>
    <col min="3" max="3" width="15.26953125" style="81" customWidth="1"/>
    <col min="4" max="4" width="16.54296875" style="81" customWidth="1"/>
    <col min="5" max="5" width="14.7265625" style="81" customWidth="1"/>
    <col min="6" max="6" width="15.7265625" style="81" customWidth="1"/>
    <col min="7" max="7" width="13" style="81" customWidth="1"/>
    <col min="8" max="8" width="15.7265625" style="81" customWidth="1"/>
    <col min="9" max="9" width="5.7265625" style="88" customWidth="1"/>
    <col min="10" max="10" width="36.26953125" style="81" bestFit="1" customWidth="1"/>
    <col min="11" max="11" width="13.54296875" style="81" customWidth="1"/>
    <col min="12" max="16384" width="9.26953125" style="81"/>
  </cols>
  <sheetData>
    <row r="1" spans="1:11" s="115" customFormat="1" ht="39" x14ac:dyDescent="0.3">
      <c r="A1" s="242" t="s">
        <v>1501</v>
      </c>
      <c r="B1" s="242" t="s">
        <v>1502</v>
      </c>
      <c r="C1" s="242" t="s">
        <v>1503</v>
      </c>
      <c r="D1" s="242" t="s">
        <v>1504</v>
      </c>
      <c r="E1" s="242" t="s">
        <v>1505</v>
      </c>
      <c r="F1" s="242" t="s">
        <v>1506</v>
      </c>
      <c r="G1" s="242" t="s">
        <v>1507</v>
      </c>
      <c r="H1" s="242" t="s">
        <v>1508</v>
      </c>
    </row>
    <row r="2" spans="1:11" x14ac:dyDescent="0.25">
      <c r="A2" s="136" t="s">
        <v>8</v>
      </c>
      <c r="B2" s="136" t="s">
        <v>1509</v>
      </c>
      <c r="C2" s="136">
        <v>0</v>
      </c>
      <c r="D2" s="136">
        <v>50</v>
      </c>
      <c r="E2" s="136">
        <v>50</v>
      </c>
      <c r="F2" s="136" t="s">
        <v>1510</v>
      </c>
      <c r="G2" s="136">
        <v>16</v>
      </c>
      <c r="H2" s="136">
        <v>5</v>
      </c>
    </row>
    <row r="3" spans="1:11" s="85" customFormat="1" ht="39" x14ac:dyDescent="0.3">
      <c r="A3" s="91"/>
      <c r="B3" s="91"/>
      <c r="C3" s="242" t="s">
        <v>1511</v>
      </c>
      <c r="D3" s="242" t="s">
        <v>1512</v>
      </c>
      <c r="E3" s="242" t="s">
        <v>1513</v>
      </c>
      <c r="F3" s="115"/>
      <c r="G3" s="91"/>
      <c r="I3" s="115"/>
    </row>
    <row r="4" spans="1:11" ht="13" thickBot="1" x14ac:dyDescent="0.3">
      <c r="C4" s="136">
        <v>65</v>
      </c>
      <c r="D4" s="136">
        <v>80</v>
      </c>
      <c r="E4" s="137">
        <v>43831</v>
      </c>
    </row>
    <row r="5" spans="1:11" ht="13.5" thickBot="1" x14ac:dyDescent="0.35">
      <c r="I5" s="243"/>
      <c r="J5" s="244"/>
      <c r="K5" s="245" t="s">
        <v>18</v>
      </c>
    </row>
    <row r="6" spans="1:11" ht="13" x14ac:dyDescent="0.3">
      <c r="A6" s="1178" t="s">
        <v>1514</v>
      </c>
      <c r="B6" s="1179"/>
      <c r="C6" s="1179"/>
      <c r="D6" s="1179"/>
      <c r="E6" s="1179"/>
      <c r="F6" s="1180"/>
      <c r="I6" s="246"/>
      <c r="J6" s="135" t="s">
        <v>1515</v>
      </c>
      <c r="K6" s="228"/>
    </row>
    <row r="7" spans="1:11" x14ac:dyDescent="0.25">
      <c r="A7" s="1181"/>
      <c r="B7" s="1182"/>
      <c r="C7" s="1182"/>
      <c r="D7" s="1182"/>
      <c r="E7" s="1182"/>
      <c r="F7" s="1183"/>
      <c r="I7" s="246" t="s">
        <v>29</v>
      </c>
      <c r="J7" s="135" t="s">
        <v>1516</v>
      </c>
      <c r="K7" s="228"/>
    </row>
    <row r="8" spans="1:11" x14ac:dyDescent="0.25">
      <c r="A8" s="1181"/>
      <c r="B8" s="1182"/>
      <c r="C8" s="1182"/>
      <c r="D8" s="1182"/>
      <c r="E8" s="1182"/>
      <c r="F8" s="1183"/>
      <c r="I8" s="246" t="s">
        <v>29</v>
      </c>
      <c r="J8" s="135" t="s">
        <v>1517</v>
      </c>
      <c r="K8" s="228"/>
    </row>
    <row r="9" spans="1:11" x14ac:dyDescent="0.25">
      <c r="A9" s="1181"/>
      <c r="B9" s="1182"/>
      <c r="C9" s="1182"/>
      <c r="D9" s="1182"/>
      <c r="E9" s="1182"/>
      <c r="F9" s="1183"/>
      <c r="I9" s="246"/>
      <c r="J9" s="135" t="s">
        <v>1518</v>
      </c>
      <c r="K9" s="228"/>
    </row>
    <row r="10" spans="1:11" ht="13" thickBot="1" x14ac:dyDescent="0.3">
      <c r="A10" s="1184"/>
      <c r="B10" s="1185"/>
      <c r="C10" s="1185"/>
      <c r="D10" s="1185"/>
      <c r="E10" s="1185"/>
      <c r="F10" s="1186"/>
      <c r="I10" s="246"/>
      <c r="J10" s="135" t="s">
        <v>1519</v>
      </c>
      <c r="K10" s="228"/>
    </row>
    <row r="11" spans="1:11" ht="13" thickBot="1" x14ac:dyDescent="0.3">
      <c r="I11" s="246" t="s">
        <v>29</v>
      </c>
      <c r="J11" s="135" t="s">
        <v>52</v>
      </c>
      <c r="K11" s="228"/>
    </row>
    <row r="12" spans="1:11" ht="13" x14ac:dyDescent="0.3">
      <c r="A12" s="1178" t="s">
        <v>1520</v>
      </c>
      <c r="B12" s="1179"/>
      <c r="C12" s="1179"/>
      <c r="D12" s="1179"/>
      <c r="E12" s="1179"/>
      <c r="F12" s="1180"/>
      <c r="I12" s="246"/>
      <c r="J12" s="135" t="s">
        <v>1521</v>
      </c>
      <c r="K12" s="228"/>
    </row>
    <row r="13" spans="1:11" x14ac:dyDescent="0.25">
      <c r="A13" s="1172" t="s">
        <v>1522</v>
      </c>
      <c r="B13" s="1173"/>
      <c r="C13" s="1173"/>
      <c r="D13" s="1173"/>
      <c r="E13" s="1173"/>
      <c r="F13" s="1174"/>
      <c r="I13" s="246"/>
      <c r="J13" s="135" t="s">
        <v>1523</v>
      </c>
      <c r="K13" s="228"/>
    </row>
    <row r="14" spans="1:11" x14ac:dyDescent="0.25">
      <c r="A14" s="1172"/>
      <c r="B14" s="1173"/>
      <c r="C14" s="1173"/>
      <c r="D14" s="1173"/>
      <c r="E14" s="1173"/>
      <c r="F14" s="1174"/>
      <c r="I14" s="246"/>
      <c r="J14" s="135" t="s">
        <v>1524</v>
      </c>
      <c r="K14" s="228"/>
    </row>
    <row r="15" spans="1:11" x14ac:dyDescent="0.25">
      <c r="A15" s="1172"/>
      <c r="B15" s="1173"/>
      <c r="C15" s="1173"/>
      <c r="D15" s="1173"/>
      <c r="E15" s="1173"/>
      <c r="F15" s="1174"/>
      <c r="I15" s="246"/>
      <c r="J15" s="135" t="s">
        <v>1525</v>
      </c>
      <c r="K15" s="228"/>
    </row>
    <row r="16" spans="1:11" x14ac:dyDescent="0.25">
      <c r="A16" s="1172"/>
      <c r="B16" s="1173"/>
      <c r="C16" s="1173"/>
      <c r="D16" s="1173"/>
      <c r="E16" s="1173"/>
      <c r="F16" s="1174"/>
      <c r="I16" s="246"/>
      <c r="J16" s="135" t="s">
        <v>1526</v>
      </c>
      <c r="K16" s="228"/>
    </row>
    <row r="17" spans="1:11" ht="13" thickBot="1" x14ac:dyDescent="0.3">
      <c r="A17" s="1175"/>
      <c r="B17" s="1176"/>
      <c r="C17" s="1176"/>
      <c r="D17" s="1176"/>
      <c r="E17" s="1176"/>
      <c r="F17" s="1177"/>
      <c r="I17" s="246"/>
      <c r="J17" s="135" t="s">
        <v>1527</v>
      </c>
      <c r="K17" s="228"/>
    </row>
    <row r="18" spans="1:11" ht="13" thickBot="1" x14ac:dyDescent="0.3">
      <c r="I18" s="246"/>
      <c r="J18" s="135" t="s">
        <v>1528</v>
      </c>
      <c r="K18" s="228"/>
    </row>
    <row r="19" spans="1:11" ht="13" x14ac:dyDescent="0.3">
      <c r="A19" s="1178" t="s">
        <v>1529</v>
      </c>
      <c r="B19" s="1179"/>
      <c r="C19" s="1179"/>
      <c r="D19" s="1179"/>
      <c r="E19" s="1179"/>
      <c r="F19" s="1180"/>
      <c r="I19" s="246"/>
      <c r="J19" s="135" t="s">
        <v>1530</v>
      </c>
      <c r="K19" s="228"/>
    </row>
    <row r="20" spans="1:11" x14ac:dyDescent="0.25">
      <c r="A20" s="1181"/>
      <c r="B20" s="1182"/>
      <c r="C20" s="1182"/>
      <c r="D20" s="1182"/>
      <c r="E20" s="1182"/>
      <c r="F20" s="1183"/>
      <c r="I20" s="246" t="s">
        <v>29</v>
      </c>
      <c r="J20" s="135" t="s">
        <v>1531</v>
      </c>
      <c r="K20" s="228"/>
    </row>
    <row r="21" spans="1:11" x14ac:dyDescent="0.25">
      <c r="A21" s="1181"/>
      <c r="B21" s="1182"/>
      <c r="C21" s="1182"/>
      <c r="D21" s="1182"/>
      <c r="E21" s="1182"/>
      <c r="F21" s="1183"/>
      <c r="I21" s="246"/>
      <c r="J21" s="135" t="s">
        <v>1532</v>
      </c>
      <c r="K21" s="228"/>
    </row>
    <row r="22" spans="1:11" x14ac:dyDescent="0.25">
      <c r="A22" s="1181"/>
      <c r="B22" s="1182"/>
      <c r="C22" s="1182"/>
      <c r="D22" s="1182"/>
      <c r="E22" s="1182"/>
      <c r="F22" s="1183"/>
      <c r="I22" s="246"/>
      <c r="J22" s="135" t="s">
        <v>1533</v>
      </c>
      <c r="K22" s="228"/>
    </row>
    <row r="23" spans="1:11" ht="13" thickBot="1" x14ac:dyDescent="0.3">
      <c r="A23" s="1184"/>
      <c r="B23" s="1185"/>
      <c r="C23" s="1185"/>
      <c r="D23" s="1185"/>
      <c r="E23" s="1185"/>
      <c r="F23" s="1186"/>
      <c r="I23" s="246" t="s">
        <v>29</v>
      </c>
      <c r="J23" s="135" t="s">
        <v>1534</v>
      </c>
      <c r="K23" s="228"/>
    </row>
    <row r="24" spans="1:11" ht="13" thickBot="1" x14ac:dyDescent="0.3">
      <c r="I24" s="246" t="s">
        <v>29</v>
      </c>
      <c r="J24" s="135" t="s">
        <v>1535</v>
      </c>
      <c r="K24" s="228"/>
    </row>
    <row r="25" spans="1:11" ht="13" x14ac:dyDescent="0.3">
      <c r="A25" s="1178" t="s">
        <v>1536</v>
      </c>
      <c r="B25" s="1179"/>
      <c r="C25" s="1179"/>
      <c r="D25" s="1179"/>
      <c r="E25" s="1179"/>
      <c r="F25" s="1180"/>
      <c r="I25" s="246"/>
      <c r="J25" s="135" t="s">
        <v>1537</v>
      </c>
      <c r="K25" s="228"/>
    </row>
    <row r="26" spans="1:11" x14ac:dyDescent="0.25">
      <c r="A26" s="1172" t="s">
        <v>1538</v>
      </c>
      <c r="B26" s="1173"/>
      <c r="C26" s="1173"/>
      <c r="D26" s="1173"/>
      <c r="E26" s="1173"/>
      <c r="F26" s="1174"/>
      <c r="I26" s="246"/>
      <c r="J26" s="135" t="s">
        <v>1539</v>
      </c>
      <c r="K26" s="228"/>
    </row>
    <row r="27" spans="1:11" x14ac:dyDescent="0.25">
      <c r="A27" s="1172"/>
      <c r="B27" s="1173"/>
      <c r="C27" s="1173"/>
      <c r="D27" s="1173"/>
      <c r="E27" s="1173"/>
      <c r="F27" s="1174"/>
      <c r="I27" s="246"/>
      <c r="J27" s="135" t="s">
        <v>1540</v>
      </c>
      <c r="K27" s="228"/>
    </row>
    <row r="28" spans="1:11" x14ac:dyDescent="0.25">
      <c r="A28" s="1172"/>
      <c r="B28" s="1173"/>
      <c r="C28" s="1173"/>
      <c r="D28" s="1173"/>
      <c r="E28" s="1173"/>
      <c r="F28" s="1174"/>
      <c r="I28" s="246" t="s">
        <v>29</v>
      </c>
      <c r="J28" s="135" t="s">
        <v>1541</v>
      </c>
      <c r="K28" s="228"/>
    </row>
    <row r="29" spans="1:11" ht="14.25" customHeight="1" thickBot="1" x14ac:dyDescent="0.3">
      <c r="A29" s="1175"/>
      <c r="B29" s="1176"/>
      <c r="C29" s="1176"/>
      <c r="D29" s="1176"/>
      <c r="E29" s="1176"/>
      <c r="F29" s="1177"/>
      <c r="I29" s="246"/>
      <c r="J29" s="135" t="s">
        <v>1542</v>
      </c>
      <c r="K29" s="228"/>
    </row>
    <row r="30" spans="1:11" ht="13" thickBot="1" x14ac:dyDescent="0.3">
      <c r="I30" s="246"/>
      <c r="J30" s="135" t="s">
        <v>1543</v>
      </c>
      <c r="K30" s="228"/>
    </row>
    <row r="31" spans="1:11" ht="13" x14ac:dyDescent="0.3">
      <c r="A31" s="1178" t="s">
        <v>1544</v>
      </c>
      <c r="B31" s="1179"/>
      <c r="C31" s="1179"/>
      <c r="D31" s="1179"/>
      <c r="E31" s="1179"/>
      <c r="F31" s="1180"/>
      <c r="I31" s="246" t="s">
        <v>29</v>
      </c>
      <c r="J31" s="135" t="s">
        <v>1545</v>
      </c>
      <c r="K31" s="228"/>
    </row>
    <row r="32" spans="1:11" x14ac:dyDescent="0.25">
      <c r="A32" s="1181"/>
      <c r="B32" s="1182"/>
      <c r="C32" s="1182"/>
      <c r="D32" s="1182"/>
      <c r="E32" s="1182"/>
      <c r="F32" s="1183"/>
      <c r="I32" s="246"/>
      <c r="J32" s="135" t="s">
        <v>1546</v>
      </c>
      <c r="K32" s="228"/>
    </row>
    <row r="33" spans="1:11" x14ac:dyDescent="0.25">
      <c r="A33" s="1181"/>
      <c r="B33" s="1182"/>
      <c r="C33" s="1182"/>
      <c r="D33" s="1182"/>
      <c r="E33" s="1182"/>
      <c r="F33" s="1183"/>
      <c r="I33" s="246"/>
      <c r="J33" s="135" t="s">
        <v>1547</v>
      </c>
      <c r="K33" s="228"/>
    </row>
    <row r="34" spans="1:11" x14ac:dyDescent="0.25">
      <c r="A34" s="1181"/>
      <c r="B34" s="1182"/>
      <c r="C34" s="1182"/>
      <c r="D34" s="1182"/>
      <c r="E34" s="1182"/>
      <c r="F34" s="1183"/>
      <c r="I34" s="246"/>
      <c r="J34" s="135" t="s">
        <v>1548</v>
      </c>
      <c r="K34" s="228"/>
    </row>
    <row r="35" spans="1:11" ht="13" thickBot="1" x14ac:dyDescent="0.3">
      <c r="A35" s="1184"/>
      <c r="B35" s="1185"/>
      <c r="C35" s="1185"/>
      <c r="D35" s="1185"/>
      <c r="E35" s="1185"/>
      <c r="F35" s="1186"/>
      <c r="I35" s="246"/>
      <c r="J35" s="135" t="s">
        <v>1549</v>
      </c>
      <c r="K35" s="228"/>
    </row>
    <row r="36" spans="1:11" ht="13" thickBot="1" x14ac:dyDescent="0.3">
      <c r="I36" s="247" t="s">
        <v>29</v>
      </c>
      <c r="J36" s="248" t="s">
        <v>1550</v>
      </c>
      <c r="K36" s="232"/>
    </row>
    <row r="37" spans="1:11" ht="13" x14ac:dyDescent="0.3">
      <c r="A37" s="1178" t="s">
        <v>1551</v>
      </c>
      <c r="B37" s="1179"/>
      <c r="C37" s="1179"/>
      <c r="D37" s="1179"/>
      <c r="E37" s="1179"/>
      <c r="F37" s="1180"/>
    </row>
    <row r="38" spans="1:11" x14ac:dyDescent="0.25">
      <c r="A38" s="1172" t="s">
        <v>1552</v>
      </c>
      <c r="B38" s="1173"/>
      <c r="C38" s="1173"/>
      <c r="D38" s="1173"/>
      <c r="E38" s="1173"/>
      <c r="F38" s="1174"/>
    </row>
    <row r="39" spans="1:11" x14ac:dyDescent="0.25">
      <c r="A39" s="1172"/>
      <c r="B39" s="1173"/>
      <c r="C39" s="1173"/>
      <c r="D39" s="1173"/>
      <c r="E39" s="1173"/>
      <c r="F39" s="1174"/>
    </row>
    <row r="40" spans="1:11" x14ac:dyDescent="0.25">
      <c r="A40" s="1172"/>
      <c r="B40" s="1173"/>
      <c r="C40" s="1173"/>
      <c r="D40" s="1173"/>
      <c r="E40" s="1173"/>
      <c r="F40" s="1174"/>
    </row>
    <row r="41" spans="1:11" ht="13" thickBot="1" x14ac:dyDescent="0.3">
      <c r="A41" s="1175"/>
      <c r="B41" s="1176"/>
      <c r="C41" s="1176"/>
      <c r="D41" s="1176"/>
      <c r="E41" s="1176"/>
      <c r="F41" s="1177"/>
    </row>
    <row r="42" spans="1:11" ht="13" thickBot="1" x14ac:dyDescent="0.3"/>
    <row r="43" spans="1:11" ht="13" x14ac:dyDescent="0.3">
      <c r="A43" s="1178" t="s">
        <v>1553</v>
      </c>
      <c r="B43" s="1179"/>
      <c r="C43" s="1179"/>
      <c r="D43" s="1179"/>
      <c r="E43" s="1179"/>
      <c r="F43" s="1180"/>
    </row>
    <row r="44" spans="1:11" x14ac:dyDescent="0.25">
      <c r="A44" s="1172" t="s">
        <v>1554</v>
      </c>
      <c r="B44" s="1187"/>
      <c r="C44" s="1187"/>
      <c r="D44" s="1187"/>
      <c r="E44" s="1187"/>
      <c r="F44" s="1188"/>
    </row>
    <row r="45" spans="1:11" x14ac:dyDescent="0.25">
      <c r="A45" s="1189"/>
      <c r="B45" s="1187"/>
      <c r="C45" s="1187"/>
      <c r="D45" s="1187"/>
      <c r="E45" s="1187"/>
      <c r="F45" s="1188"/>
    </row>
    <row r="46" spans="1:11" x14ac:dyDescent="0.25">
      <c r="A46" s="1189"/>
      <c r="B46" s="1187"/>
      <c r="C46" s="1187"/>
      <c r="D46" s="1187"/>
      <c r="E46" s="1187"/>
      <c r="F46" s="1188"/>
    </row>
    <row r="47" spans="1:11" ht="13" thickBot="1" x14ac:dyDescent="0.3">
      <c r="A47" s="1190"/>
      <c r="B47" s="1191"/>
      <c r="C47" s="1191"/>
      <c r="D47" s="1191"/>
      <c r="E47" s="1191"/>
      <c r="F47" s="1192"/>
    </row>
    <row r="48" spans="1:11" ht="13" thickBot="1" x14ac:dyDescent="0.3"/>
    <row r="49" spans="1:6" ht="13" x14ac:dyDescent="0.3">
      <c r="A49" s="1178" t="s">
        <v>1555</v>
      </c>
      <c r="B49" s="1179"/>
      <c r="C49" s="1179"/>
      <c r="D49" s="1179"/>
      <c r="E49" s="1179"/>
      <c r="F49" s="1180"/>
    </row>
    <row r="50" spans="1:6" x14ac:dyDescent="0.25">
      <c r="A50" s="1181"/>
      <c r="B50" s="1182"/>
      <c r="C50" s="1182"/>
      <c r="D50" s="1182"/>
      <c r="E50" s="1182"/>
      <c r="F50" s="1183"/>
    </row>
    <row r="51" spans="1:6" x14ac:dyDescent="0.25">
      <c r="A51" s="1181"/>
      <c r="B51" s="1182"/>
      <c r="C51" s="1182"/>
      <c r="D51" s="1182"/>
      <c r="E51" s="1182"/>
      <c r="F51" s="1183"/>
    </row>
    <row r="52" spans="1:6" x14ac:dyDescent="0.25">
      <c r="A52" s="1181"/>
      <c r="B52" s="1182"/>
      <c r="C52" s="1182"/>
      <c r="D52" s="1182"/>
      <c r="E52" s="1182"/>
      <c r="F52" s="1183"/>
    </row>
    <row r="53" spans="1:6" ht="13" thickBot="1" x14ac:dyDescent="0.3">
      <c r="A53" s="1184"/>
      <c r="B53" s="1185"/>
      <c r="C53" s="1185"/>
      <c r="D53" s="1185"/>
      <c r="E53" s="1185"/>
      <c r="F53" s="1186"/>
    </row>
    <row r="54" spans="1:6" ht="13" thickBot="1" x14ac:dyDescent="0.3"/>
    <row r="55" spans="1:6" ht="13" x14ac:dyDescent="0.3">
      <c r="A55" s="1178" t="s">
        <v>1556</v>
      </c>
      <c r="B55" s="1179"/>
      <c r="C55" s="1179"/>
      <c r="D55" s="1179"/>
      <c r="E55" s="1179"/>
      <c r="F55" s="1180"/>
    </row>
    <row r="56" spans="1:6" x14ac:dyDescent="0.25">
      <c r="A56" s="1181"/>
      <c r="B56" s="1182"/>
      <c r="C56" s="1182"/>
      <c r="D56" s="1182"/>
      <c r="E56" s="1182"/>
      <c r="F56" s="1183"/>
    </row>
    <row r="57" spans="1:6" x14ac:dyDescent="0.25">
      <c r="A57" s="1181"/>
      <c r="B57" s="1182"/>
      <c r="C57" s="1182"/>
      <c r="D57" s="1182"/>
      <c r="E57" s="1182"/>
      <c r="F57" s="1183"/>
    </row>
    <row r="58" spans="1:6" x14ac:dyDescent="0.25">
      <c r="A58" s="1181"/>
      <c r="B58" s="1182"/>
      <c r="C58" s="1182"/>
      <c r="D58" s="1182"/>
      <c r="E58" s="1182"/>
      <c r="F58" s="1183"/>
    </row>
    <row r="59" spans="1:6" ht="13" thickBot="1" x14ac:dyDescent="0.3">
      <c r="A59" s="1184"/>
      <c r="B59" s="1185"/>
      <c r="C59" s="1185"/>
      <c r="D59" s="1185"/>
      <c r="E59" s="1185"/>
      <c r="F59" s="1186"/>
    </row>
    <row r="60" spans="1:6" ht="13" thickBot="1" x14ac:dyDescent="0.3"/>
    <row r="61" spans="1:6" ht="13" x14ac:dyDescent="0.3">
      <c r="A61" s="1178" t="s">
        <v>1557</v>
      </c>
      <c r="B61" s="1179"/>
      <c r="C61" s="1179"/>
      <c r="D61" s="1179"/>
      <c r="E61" s="1179"/>
      <c r="F61" s="1180"/>
    </row>
    <row r="62" spans="1:6" x14ac:dyDescent="0.25">
      <c r="A62" s="1181"/>
      <c r="B62" s="1182"/>
      <c r="C62" s="1182"/>
      <c r="D62" s="1182"/>
      <c r="E62" s="1182"/>
      <c r="F62" s="1183"/>
    </row>
    <row r="63" spans="1:6" x14ac:dyDescent="0.25">
      <c r="A63" s="1181"/>
      <c r="B63" s="1182"/>
      <c r="C63" s="1182"/>
      <c r="D63" s="1182"/>
      <c r="E63" s="1182"/>
      <c r="F63" s="1183"/>
    </row>
    <row r="64" spans="1:6" x14ac:dyDescent="0.25">
      <c r="A64" s="1181"/>
      <c r="B64" s="1182"/>
      <c r="C64" s="1182"/>
      <c r="D64" s="1182"/>
      <c r="E64" s="1182"/>
      <c r="F64" s="1183"/>
    </row>
    <row r="65" spans="1:6" ht="13" thickBot="1" x14ac:dyDescent="0.3">
      <c r="A65" s="1184"/>
      <c r="B65" s="1185"/>
      <c r="C65" s="1185"/>
      <c r="D65" s="1185"/>
      <c r="E65" s="1185"/>
      <c r="F65" s="1186"/>
    </row>
    <row r="66" spans="1:6" ht="13" thickBot="1" x14ac:dyDescent="0.3"/>
    <row r="67" spans="1:6" ht="13" x14ac:dyDescent="0.3">
      <c r="A67" s="1178" t="s">
        <v>1558</v>
      </c>
      <c r="B67" s="1179"/>
      <c r="C67" s="1179"/>
      <c r="D67" s="1179"/>
      <c r="E67" s="1179"/>
      <c r="F67" s="1180"/>
    </row>
    <row r="68" spans="1:6" x14ac:dyDescent="0.25">
      <c r="A68" s="1172" t="s">
        <v>1559</v>
      </c>
      <c r="B68" s="1187"/>
      <c r="C68" s="1187"/>
      <c r="D68" s="1187"/>
      <c r="E68" s="1187"/>
      <c r="F68" s="1188"/>
    </row>
    <row r="69" spans="1:6" x14ac:dyDescent="0.25">
      <c r="A69" s="1189"/>
      <c r="B69" s="1187"/>
      <c r="C69" s="1187"/>
      <c r="D69" s="1187"/>
      <c r="E69" s="1187"/>
      <c r="F69" s="1188"/>
    </row>
    <row r="70" spans="1:6" x14ac:dyDescent="0.25">
      <c r="A70" s="1189"/>
      <c r="B70" s="1187"/>
      <c r="C70" s="1187"/>
      <c r="D70" s="1187"/>
      <c r="E70" s="1187"/>
      <c r="F70" s="1188"/>
    </row>
    <row r="71" spans="1:6" ht="13" thickBot="1" x14ac:dyDescent="0.3">
      <c r="A71" s="1190"/>
      <c r="B71" s="1191"/>
      <c r="C71" s="1191"/>
      <c r="D71" s="1191"/>
      <c r="E71" s="1191"/>
      <c r="F71" s="1192"/>
    </row>
    <row r="72" spans="1:6" ht="13" thickBot="1" x14ac:dyDescent="0.3"/>
    <row r="73" spans="1:6" ht="13" x14ac:dyDescent="0.3">
      <c r="A73" s="1178" t="s">
        <v>1560</v>
      </c>
      <c r="B73" s="1179"/>
      <c r="C73" s="1179"/>
      <c r="D73" s="1179"/>
      <c r="E73" s="1179"/>
      <c r="F73" s="1180"/>
    </row>
    <row r="74" spans="1:6" x14ac:dyDescent="0.25">
      <c r="A74" s="1172" t="s">
        <v>1561</v>
      </c>
      <c r="B74" s="1187"/>
      <c r="C74" s="1187"/>
      <c r="D74" s="1187"/>
      <c r="E74" s="1187"/>
      <c r="F74" s="1188"/>
    </row>
    <row r="75" spans="1:6" x14ac:dyDescent="0.25">
      <c r="A75" s="1189"/>
      <c r="B75" s="1187"/>
      <c r="C75" s="1187"/>
      <c r="D75" s="1187"/>
      <c r="E75" s="1187"/>
      <c r="F75" s="1188"/>
    </row>
    <row r="76" spans="1:6" x14ac:dyDescent="0.25">
      <c r="A76" s="1189"/>
      <c r="B76" s="1187"/>
      <c r="C76" s="1187"/>
      <c r="D76" s="1187"/>
      <c r="E76" s="1187"/>
      <c r="F76" s="1188"/>
    </row>
    <row r="77" spans="1:6" ht="13" thickBot="1" x14ac:dyDescent="0.3">
      <c r="A77" s="1190"/>
      <c r="B77" s="1191"/>
      <c r="C77" s="1191"/>
      <c r="D77" s="1191"/>
      <c r="E77" s="1191"/>
      <c r="F77" s="1192"/>
    </row>
  </sheetData>
  <mergeCells count="24">
    <mergeCell ref="A74:F77"/>
    <mergeCell ref="A43:F43"/>
    <mergeCell ref="A44:F47"/>
    <mergeCell ref="A49:F49"/>
    <mergeCell ref="A50:F53"/>
    <mergeCell ref="A55:F55"/>
    <mergeCell ref="A56:F59"/>
    <mergeCell ref="A61:F61"/>
    <mergeCell ref="A62:F65"/>
    <mergeCell ref="A67:F67"/>
    <mergeCell ref="A68:F71"/>
    <mergeCell ref="A73:F73"/>
    <mergeCell ref="A38:F41"/>
    <mergeCell ref="A6:F6"/>
    <mergeCell ref="A7:F10"/>
    <mergeCell ref="A12:F12"/>
    <mergeCell ref="A13:F17"/>
    <mergeCell ref="A19:F19"/>
    <mergeCell ref="A20:F23"/>
    <mergeCell ref="A25:F25"/>
    <mergeCell ref="A26:F29"/>
    <mergeCell ref="A31:F31"/>
    <mergeCell ref="A32:F35"/>
    <mergeCell ref="A37:F3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F98"/>
  <sheetViews>
    <sheetView zoomScale="85" zoomScaleNormal="85" zoomScaleSheetLayoutView="85" workbookViewId="0">
      <selection activeCell="J13" sqref="J13"/>
    </sheetView>
  </sheetViews>
  <sheetFormatPr defaultColWidth="9.26953125" defaultRowHeight="12.5" x14ac:dyDescent="0.25"/>
  <cols>
    <col min="1" max="4" width="14.26953125" style="1" customWidth="1"/>
    <col min="5" max="6" width="14.26953125" style="68" customWidth="1"/>
    <col min="7" max="16384" width="9.26953125" style="1"/>
  </cols>
  <sheetData>
    <row r="1" spans="1:6" ht="42" customHeight="1" x14ac:dyDescent="0.3">
      <c r="A1" s="66" t="s">
        <v>18</v>
      </c>
      <c r="B1" s="66" t="s">
        <v>96</v>
      </c>
      <c r="C1" s="66" t="s">
        <v>1562</v>
      </c>
    </row>
    <row r="2" spans="1:6" ht="12.75" customHeight="1" x14ac:dyDescent="0.3">
      <c r="A2" s="98"/>
      <c r="B2" s="98"/>
      <c r="C2" s="66" t="s">
        <v>945</v>
      </c>
    </row>
    <row r="4" spans="1:6" ht="13" x14ac:dyDescent="0.3">
      <c r="A4" s="69"/>
      <c r="B4" s="69"/>
      <c r="C4" s="69"/>
      <c r="D4" s="69"/>
      <c r="E4" s="70" t="s">
        <v>1563</v>
      </c>
      <c r="F4" s="70" t="s">
        <v>1564</v>
      </c>
    </row>
    <row r="6" spans="1:6" ht="13" x14ac:dyDescent="0.3">
      <c r="A6" s="1147" t="s">
        <v>1565</v>
      </c>
      <c r="B6" s="1147"/>
      <c r="C6" s="1147"/>
      <c r="D6" s="1147"/>
    </row>
    <row r="7" spans="1:6" x14ac:dyDescent="0.25">
      <c r="A7" s="1193" t="s">
        <v>1566</v>
      </c>
      <c r="B7" s="1193"/>
      <c r="C7" s="1193"/>
      <c r="D7" s="1193"/>
      <c r="E7" s="1193"/>
      <c r="F7" s="1193"/>
    </row>
    <row r="9" spans="1:6" ht="13" x14ac:dyDescent="0.3">
      <c r="A9" s="1147" t="s">
        <v>1567</v>
      </c>
      <c r="B9" s="1147"/>
      <c r="C9" s="1147"/>
      <c r="D9" s="1147"/>
    </row>
    <row r="10" spans="1:6" ht="43.5" customHeight="1" x14ac:dyDescent="0.25">
      <c r="A10" s="1057" t="s">
        <v>1568</v>
      </c>
      <c r="B10" s="1058"/>
      <c r="C10" s="1058"/>
      <c r="D10" s="1058"/>
      <c r="E10" s="68" t="s">
        <v>592</v>
      </c>
      <c r="F10" s="71" t="s">
        <v>673</v>
      </c>
    </row>
    <row r="12" spans="1:6" ht="13" x14ac:dyDescent="0.3">
      <c r="A12" s="1147" t="s">
        <v>1569</v>
      </c>
      <c r="B12" s="1147"/>
      <c r="C12" s="1147"/>
      <c r="D12" s="1147"/>
    </row>
    <row r="13" spans="1:6" ht="38.25" customHeight="1" x14ac:dyDescent="0.25">
      <c r="A13" s="1057" t="s">
        <v>1570</v>
      </c>
      <c r="B13" s="1058"/>
      <c r="C13" s="1058"/>
      <c r="D13" s="1058"/>
      <c r="E13" s="71" t="s">
        <v>592</v>
      </c>
      <c r="F13" s="71" t="s">
        <v>673</v>
      </c>
    </row>
    <row r="15" spans="1:6" ht="13" x14ac:dyDescent="0.3">
      <c r="A15" s="1147" t="s">
        <v>1571</v>
      </c>
      <c r="B15" s="1147"/>
      <c r="C15" s="1147"/>
      <c r="D15" s="1147"/>
      <c r="E15" s="1147"/>
      <c r="F15" s="1147"/>
    </row>
    <row r="16" spans="1:6" x14ac:dyDescent="0.25">
      <c r="A16" s="1145" t="s">
        <v>592</v>
      </c>
      <c r="B16" s="1145"/>
      <c r="C16" s="1145"/>
      <c r="D16" s="1145"/>
      <c r="E16" s="68" t="s">
        <v>673</v>
      </c>
      <c r="F16" s="71" t="s">
        <v>673</v>
      </c>
    </row>
    <row r="18" spans="1:6" ht="13" x14ac:dyDescent="0.3">
      <c r="A18" s="1147" t="s">
        <v>1572</v>
      </c>
      <c r="B18" s="1147"/>
      <c r="C18" s="1147"/>
      <c r="D18" s="1147"/>
      <c r="E18" s="1147"/>
      <c r="F18" s="1147"/>
    </row>
    <row r="19" spans="1:6" x14ac:dyDescent="0.25">
      <c r="A19" s="1145" t="s">
        <v>1573</v>
      </c>
      <c r="B19" s="1145"/>
      <c r="C19" s="1145"/>
      <c r="D19" s="1145"/>
      <c r="E19" s="71" t="s">
        <v>673</v>
      </c>
      <c r="F19" s="71" t="s">
        <v>673</v>
      </c>
    </row>
    <row r="20" spans="1:6" x14ac:dyDescent="0.25">
      <c r="A20" s="170"/>
      <c r="B20" s="170"/>
      <c r="C20" s="170"/>
      <c r="D20" s="170"/>
      <c r="E20" s="171"/>
      <c r="F20" s="171"/>
    </row>
    <row r="21" spans="1:6" ht="13" x14ac:dyDescent="0.3">
      <c r="A21" s="1147" t="s">
        <v>1574</v>
      </c>
      <c r="B21" s="1147"/>
      <c r="C21" s="1147"/>
      <c r="D21" s="1147"/>
      <c r="E21" s="1147"/>
      <c r="F21" s="1147"/>
    </row>
    <row r="22" spans="1:6" ht="26.25" customHeight="1" x14ac:dyDescent="0.25">
      <c r="A22" s="1051" t="s">
        <v>1575</v>
      </c>
      <c r="B22" s="1051"/>
      <c r="C22" s="1051"/>
      <c r="D22" s="1051"/>
      <c r="E22" s="71" t="s">
        <v>673</v>
      </c>
      <c r="F22" s="71" t="s">
        <v>673</v>
      </c>
    </row>
    <row r="24" spans="1:6" ht="13" x14ac:dyDescent="0.3">
      <c r="A24" s="1147" t="s">
        <v>1576</v>
      </c>
      <c r="B24" s="1147"/>
      <c r="C24" s="1147"/>
      <c r="D24" s="1147"/>
      <c r="E24" s="1147"/>
      <c r="F24" s="1147"/>
    </row>
    <row r="25" spans="1:6" x14ac:dyDescent="0.25">
      <c r="A25" s="1145" t="s">
        <v>1577</v>
      </c>
      <c r="B25" s="1145"/>
      <c r="C25" s="1145"/>
      <c r="D25" s="1145"/>
      <c r="E25" s="71" t="s">
        <v>673</v>
      </c>
      <c r="F25" s="71" t="s">
        <v>673</v>
      </c>
    </row>
    <row r="27" spans="1:6" ht="13" x14ac:dyDescent="0.3">
      <c r="A27" s="1147" t="s">
        <v>1578</v>
      </c>
      <c r="B27" s="1147"/>
      <c r="C27" s="1147"/>
      <c r="D27" s="1147"/>
      <c r="E27" s="1147"/>
      <c r="F27" s="1147"/>
    </row>
    <row r="28" spans="1:6" x14ac:dyDescent="0.25">
      <c r="A28" s="1144" t="s">
        <v>1579</v>
      </c>
      <c r="B28" s="1145"/>
      <c r="C28" s="1145"/>
      <c r="D28" s="1145"/>
      <c r="E28" s="71" t="s">
        <v>592</v>
      </c>
      <c r="F28" s="71" t="s">
        <v>673</v>
      </c>
    </row>
    <row r="30" spans="1:6" ht="13" x14ac:dyDescent="0.3">
      <c r="A30" s="1147" t="s">
        <v>1580</v>
      </c>
      <c r="B30" s="1147"/>
      <c r="C30" s="1147"/>
      <c r="D30" s="1147"/>
      <c r="E30" s="1147"/>
      <c r="F30" s="1147"/>
    </row>
    <row r="31" spans="1:6" x14ac:dyDescent="0.25">
      <c r="A31" s="1145" t="s">
        <v>592</v>
      </c>
      <c r="B31" s="1145"/>
      <c r="C31" s="1145"/>
      <c r="D31" s="1145"/>
      <c r="E31" s="71" t="s">
        <v>673</v>
      </c>
      <c r="F31" s="71" t="s">
        <v>673</v>
      </c>
    </row>
    <row r="32" spans="1:6" ht="13" x14ac:dyDescent="0.3">
      <c r="A32" s="1147" t="s">
        <v>1581</v>
      </c>
      <c r="B32" s="1147"/>
      <c r="C32" s="1147"/>
      <c r="D32" s="1147"/>
      <c r="E32" s="1147"/>
      <c r="F32" s="1147"/>
    </row>
    <row r="33" spans="1:6" x14ac:dyDescent="0.25">
      <c r="A33" s="1145" t="s">
        <v>1577</v>
      </c>
      <c r="B33" s="1145"/>
      <c r="C33" s="1145"/>
      <c r="D33" s="1145"/>
      <c r="E33" s="71" t="s">
        <v>673</v>
      </c>
      <c r="F33" s="71" t="s">
        <v>673</v>
      </c>
    </row>
    <row r="35" spans="1:6" ht="13" x14ac:dyDescent="0.3">
      <c r="A35" s="1147" t="s">
        <v>1582</v>
      </c>
      <c r="B35" s="1147"/>
      <c r="C35" s="1147"/>
      <c r="D35" s="1147"/>
      <c r="E35" s="1147"/>
      <c r="F35" s="1147"/>
    </row>
    <row r="36" spans="1:6" x14ac:dyDescent="0.25">
      <c r="A36" s="1145" t="s">
        <v>1583</v>
      </c>
      <c r="B36" s="1145"/>
      <c r="C36" s="1145"/>
      <c r="D36" s="1145"/>
      <c r="E36" s="71" t="s">
        <v>673</v>
      </c>
      <c r="F36" s="71" t="s">
        <v>673</v>
      </c>
    </row>
    <row r="38" spans="1:6" ht="13" x14ac:dyDescent="0.3">
      <c r="A38" s="1147" t="s">
        <v>1584</v>
      </c>
      <c r="B38" s="1147"/>
      <c r="C38" s="1147"/>
      <c r="D38" s="1147"/>
      <c r="E38" s="1147"/>
      <c r="F38" s="1147"/>
    </row>
    <row r="39" spans="1:6" ht="39.75" customHeight="1" x14ac:dyDescent="0.25">
      <c r="A39" s="1130" t="s">
        <v>1585</v>
      </c>
      <c r="B39" s="1130"/>
      <c r="C39" s="1130"/>
      <c r="D39" s="1130"/>
      <c r="E39" s="68" t="s">
        <v>579</v>
      </c>
      <c r="F39" s="71" t="s">
        <v>673</v>
      </c>
    </row>
    <row r="41" spans="1:6" ht="13" x14ac:dyDescent="0.3">
      <c r="A41" s="1147" t="s">
        <v>1586</v>
      </c>
      <c r="B41" s="1145"/>
      <c r="C41" s="1145"/>
      <c r="D41" s="1145"/>
      <c r="E41" s="1145"/>
      <c r="F41" s="1145"/>
    </row>
    <row r="42" spans="1:6" x14ac:dyDescent="0.25">
      <c r="A42" s="1145" t="s">
        <v>1587</v>
      </c>
      <c r="B42" s="1145"/>
      <c r="C42" s="1145"/>
      <c r="D42" s="1145"/>
      <c r="E42" s="68" t="s">
        <v>579</v>
      </c>
      <c r="F42" s="68">
        <v>10</v>
      </c>
    </row>
    <row r="43" spans="1:6" ht="13" x14ac:dyDescent="0.3">
      <c r="A43" s="1147" t="s">
        <v>1588</v>
      </c>
      <c r="B43" s="1147"/>
      <c r="C43" s="1147"/>
      <c r="D43" s="1147"/>
      <c r="E43" s="1147"/>
      <c r="F43" s="1147"/>
    </row>
    <row r="44" spans="1:6" ht="40.5" customHeight="1" x14ac:dyDescent="0.25">
      <c r="A44" s="1144" t="s">
        <v>1589</v>
      </c>
      <c r="B44" s="1145"/>
      <c r="C44" s="1145"/>
      <c r="D44" s="1145"/>
      <c r="E44" s="68" t="s">
        <v>592</v>
      </c>
      <c r="F44" s="71" t="s">
        <v>673</v>
      </c>
    </row>
    <row r="46" spans="1:6" ht="13" x14ac:dyDescent="0.3">
      <c r="A46" s="1147" t="s">
        <v>1590</v>
      </c>
      <c r="B46" s="1145"/>
      <c r="C46" s="1145"/>
      <c r="D46" s="1145"/>
      <c r="E46" s="1145"/>
      <c r="F46" s="1145"/>
    </row>
    <row r="47" spans="1:6" x14ac:dyDescent="0.25">
      <c r="A47" s="1145" t="s">
        <v>1591</v>
      </c>
      <c r="B47" s="1145"/>
      <c r="C47" s="1145"/>
      <c r="D47" s="1145"/>
      <c r="E47" s="68" t="s">
        <v>579</v>
      </c>
      <c r="F47" s="68">
        <v>20</v>
      </c>
    </row>
    <row r="48" spans="1:6" ht="13" x14ac:dyDescent="0.3">
      <c r="A48" s="1147" t="s">
        <v>1592</v>
      </c>
      <c r="B48" s="1147"/>
      <c r="C48" s="1147"/>
      <c r="D48" s="1147"/>
      <c r="E48" s="1147"/>
      <c r="F48" s="1147"/>
    </row>
    <row r="49" spans="1:6" ht="81.75" customHeight="1" x14ac:dyDescent="0.25">
      <c r="A49" s="1145" t="s">
        <v>1593</v>
      </c>
      <c r="B49" s="1145"/>
      <c r="C49" s="1145"/>
      <c r="D49" s="1145"/>
      <c r="E49" s="68" t="s">
        <v>592</v>
      </c>
      <c r="F49" s="71" t="s">
        <v>673</v>
      </c>
    </row>
    <row r="51" spans="1:6" ht="13" x14ac:dyDescent="0.3">
      <c r="A51" s="1147" t="s">
        <v>1594</v>
      </c>
      <c r="B51" s="1145"/>
      <c r="C51" s="1145"/>
      <c r="D51" s="1145"/>
      <c r="E51" s="1145"/>
      <c r="F51" s="1145"/>
    </row>
    <row r="52" spans="1:6" ht="12.75" customHeight="1" x14ac:dyDescent="0.25">
      <c r="A52" s="1144" t="s">
        <v>1595</v>
      </c>
      <c r="B52" s="1145"/>
      <c r="C52" s="1145"/>
      <c r="D52" s="1145"/>
      <c r="E52" s="68" t="s">
        <v>579</v>
      </c>
      <c r="F52" s="68">
        <v>30</v>
      </c>
    </row>
    <row r="53" spans="1:6" ht="13" x14ac:dyDescent="0.3">
      <c r="A53" s="1147" t="s">
        <v>1596</v>
      </c>
      <c r="B53" s="1147"/>
      <c r="C53" s="1147"/>
      <c r="D53" s="1147"/>
      <c r="E53" s="1147"/>
      <c r="F53" s="1147"/>
    </row>
    <row r="54" spans="1:6" ht="123" customHeight="1" x14ac:dyDescent="0.25">
      <c r="A54" s="1144" t="s">
        <v>1597</v>
      </c>
      <c r="B54" s="1145"/>
      <c r="C54" s="1145"/>
      <c r="D54" s="1145"/>
      <c r="E54" s="68" t="s">
        <v>592</v>
      </c>
      <c r="F54" s="71" t="s">
        <v>673</v>
      </c>
    </row>
    <row r="56" spans="1:6" ht="13" x14ac:dyDescent="0.3">
      <c r="A56" s="1147" t="s">
        <v>1598</v>
      </c>
      <c r="B56" s="1145"/>
      <c r="C56" s="1145"/>
      <c r="D56" s="1145"/>
      <c r="E56" s="1145"/>
      <c r="F56" s="1145"/>
    </row>
    <row r="57" spans="1:6" x14ac:dyDescent="0.25">
      <c r="A57" s="1145" t="s">
        <v>1577</v>
      </c>
      <c r="B57" s="1145"/>
      <c r="C57" s="1145"/>
      <c r="D57" s="1145"/>
      <c r="E57" s="71" t="s">
        <v>673</v>
      </c>
      <c r="F57" s="68">
        <v>40</v>
      </c>
    </row>
    <row r="58" spans="1:6" ht="13" x14ac:dyDescent="0.3">
      <c r="A58" s="1147" t="s">
        <v>1599</v>
      </c>
      <c r="B58" s="1147"/>
      <c r="C58" s="1147"/>
      <c r="D58" s="1147"/>
      <c r="E58" s="1147"/>
      <c r="F58" s="1147"/>
    </row>
    <row r="59" spans="1:6" x14ac:dyDescent="0.25">
      <c r="A59" s="1145" t="s">
        <v>1577</v>
      </c>
      <c r="B59" s="1145"/>
      <c r="C59" s="1145"/>
      <c r="D59" s="1145"/>
      <c r="E59" s="71" t="s">
        <v>673</v>
      </c>
      <c r="F59" s="71" t="s">
        <v>673</v>
      </c>
    </row>
    <row r="61" spans="1:6" ht="13" x14ac:dyDescent="0.3">
      <c r="A61" s="1195" t="s">
        <v>1600</v>
      </c>
      <c r="B61" s="1195"/>
      <c r="C61" s="1195"/>
      <c r="D61" s="1195"/>
      <c r="E61" s="1195"/>
      <c r="F61" s="1195"/>
    </row>
    <row r="62" spans="1:6" ht="13.5" customHeight="1" x14ac:dyDescent="0.25">
      <c r="A62" s="1194" t="s">
        <v>1601</v>
      </c>
      <c r="B62" s="1194"/>
      <c r="C62" s="1194"/>
      <c r="D62" s="1194"/>
      <c r="E62" s="120" t="s">
        <v>579</v>
      </c>
      <c r="F62" s="120">
        <v>45</v>
      </c>
    </row>
    <row r="63" spans="1:6" ht="13" x14ac:dyDescent="0.3">
      <c r="A63" s="1195" t="s">
        <v>1602</v>
      </c>
      <c r="B63" s="1195"/>
      <c r="C63" s="1195"/>
      <c r="D63" s="1195"/>
      <c r="E63" s="1195"/>
      <c r="F63" s="1195"/>
    </row>
    <row r="64" spans="1:6" ht="222" customHeight="1" x14ac:dyDescent="0.25">
      <c r="A64" s="1194" t="s">
        <v>1603</v>
      </c>
      <c r="B64" s="1194"/>
      <c r="C64" s="1194"/>
      <c r="D64" s="1194"/>
      <c r="E64" s="120" t="s">
        <v>592</v>
      </c>
      <c r="F64" s="120" t="s">
        <v>673</v>
      </c>
    </row>
    <row r="66" spans="1:6" ht="13" x14ac:dyDescent="0.3">
      <c r="A66" s="1147" t="s">
        <v>1604</v>
      </c>
      <c r="B66" s="1145"/>
      <c r="C66" s="1145"/>
      <c r="D66" s="1145"/>
      <c r="E66" s="1145"/>
      <c r="F66" s="1145"/>
    </row>
    <row r="67" spans="1:6" x14ac:dyDescent="0.25">
      <c r="A67" s="1144" t="s">
        <v>1605</v>
      </c>
      <c r="B67" s="1145"/>
      <c r="C67" s="1145"/>
      <c r="D67" s="1145"/>
      <c r="E67" s="71" t="s">
        <v>579</v>
      </c>
      <c r="F67" s="68">
        <v>50</v>
      </c>
    </row>
    <row r="68" spans="1:6" ht="13" x14ac:dyDescent="0.3">
      <c r="A68" s="1147" t="s">
        <v>1606</v>
      </c>
      <c r="B68" s="1147"/>
      <c r="C68" s="1147"/>
      <c r="D68" s="1147"/>
      <c r="E68" s="1147"/>
      <c r="F68" s="1147"/>
    </row>
    <row r="69" spans="1:6" ht="142.5" customHeight="1" x14ac:dyDescent="0.25">
      <c r="A69" s="1051" t="s">
        <v>1607</v>
      </c>
      <c r="B69" s="1051"/>
      <c r="C69" s="1051"/>
      <c r="D69" s="1051"/>
      <c r="E69" s="68" t="s">
        <v>592</v>
      </c>
      <c r="F69" s="71" t="s">
        <v>673</v>
      </c>
    </row>
    <row r="71" spans="1:6" ht="13" x14ac:dyDescent="0.3">
      <c r="A71" s="1147" t="s">
        <v>1608</v>
      </c>
      <c r="B71" s="1145"/>
      <c r="C71" s="1145"/>
      <c r="D71" s="1145"/>
      <c r="E71" s="1145"/>
      <c r="F71" s="1145"/>
    </row>
    <row r="72" spans="1:6" x14ac:dyDescent="0.25">
      <c r="A72" s="1145" t="s">
        <v>1577</v>
      </c>
      <c r="B72" s="1145"/>
      <c r="C72" s="1145"/>
      <c r="D72" s="1145"/>
      <c r="E72" s="71" t="s">
        <v>673</v>
      </c>
      <c r="F72" s="68">
        <v>60</v>
      </c>
    </row>
    <row r="73" spans="1:6" ht="13" x14ac:dyDescent="0.3">
      <c r="A73" s="1147" t="s">
        <v>1609</v>
      </c>
      <c r="B73" s="1147"/>
      <c r="C73" s="1147"/>
      <c r="D73" s="1147"/>
      <c r="E73" s="1147"/>
      <c r="F73" s="1147"/>
    </row>
    <row r="74" spans="1:6" x14ac:dyDescent="0.25">
      <c r="A74" s="1145" t="s">
        <v>1583</v>
      </c>
      <c r="B74" s="1145"/>
      <c r="C74" s="1145"/>
      <c r="D74" s="1145"/>
      <c r="E74" s="71" t="s">
        <v>673</v>
      </c>
      <c r="F74" s="71" t="s">
        <v>673</v>
      </c>
    </row>
    <row r="76" spans="1:6" ht="13" x14ac:dyDescent="0.3">
      <c r="A76" s="1147" t="s">
        <v>1610</v>
      </c>
      <c r="B76" s="1145"/>
      <c r="C76" s="1145"/>
      <c r="D76" s="1145"/>
      <c r="E76" s="1145"/>
      <c r="F76" s="1145"/>
    </row>
    <row r="77" spans="1:6" x14ac:dyDescent="0.25">
      <c r="A77" s="1145" t="s">
        <v>1583</v>
      </c>
      <c r="B77" s="1145"/>
      <c r="C77" s="1145"/>
      <c r="D77" s="1145"/>
      <c r="E77" s="71" t="s">
        <v>673</v>
      </c>
      <c r="F77" s="71" t="s">
        <v>673</v>
      </c>
    </row>
    <row r="79" spans="1:6" ht="13" x14ac:dyDescent="0.3">
      <c r="A79" s="1147" t="s">
        <v>1611</v>
      </c>
      <c r="B79" s="1145"/>
      <c r="C79" s="1145"/>
      <c r="D79" s="1145"/>
      <c r="E79" s="1145"/>
      <c r="F79" s="1145"/>
    </row>
    <row r="80" spans="1:6" x14ac:dyDescent="0.25">
      <c r="A80" s="1145" t="s">
        <v>1612</v>
      </c>
      <c r="B80" s="1145"/>
      <c r="C80" s="1145"/>
      <c r="D80" s="1145"/>
      <c r="E80" s="71" t="s">
        <v>579</v>
      </c>
      <c r="F80" s="68">
        <v>10</v>
      </c>
    </row>
    <row r="81" spans="1:6" ht="13" x14ac:dyDescent="0.3">
      <c r="A81" s="1147" t="s">
        <v>1613</v>
      </c>
      <c r="B81" s="1147"/>
      <c r="C81" s="1147"/>
      <c r="D81" s="1147"/>
      <c r="E81" s="1147"/>
      <c r="F81" s="1147"/>
    </row>
    <row r="82" spans="1:6" ht="313.5" customHeight="1" x14ac:dyDescent="0.25">
      <c r="A82" s="1057" t="s">
        <v>1614</v>
      </c>
      <c r="B82" s="1058"/>
      <c r="C82" s="1058"/>
      <c r="D82" s="1058"/>
      <c r="E82" s="68" t="s">
        <v>592</v>
      </c>
      <c r="F82" s="71" t="s">
        <v>673</v>
      </c>
    </row>
    <row r="84" spans="1:6" ht="13" x14ac:dyDescent="0.3">
      <c r="A84" s="1147" t="s">
        <v>1615</v>
      </c>
      <c r="B84" s="1145"/>
      <c r="C84" s="1145"/>
      <c r="D84" s="1145"/>
      <c r="E84" s="1145"/>
      <c r="F84" s="1145"/>
    </row>
    <row r="85" spans="1:6" x14ac:dyDescent="0.25">
      <c r="A85" s="1144" t="s">
        <v>1616</v>
      </c>
      <c r="B85" s="1145"/>
      <c r="C85" s="1145"/>
      <c r="D85" s="1145"/>
      <c r="E85" s="71" t="s">
        <v>579</v>
      </c>
      <c r="F85" s="68">
        <v>11</v>
      </c>
    </row>
    <row r="86" spans="1:6" ht="13" x14ac:dyDescent="0.3">
      <c r="A86" s="1147" t="s">
        <v>1617</v>
      </c>
      <c r="B86" s="1147"/>
      <c r="C86" s="1147"/>
      <c r="D86" s="1147"/>
      <c r="E86" s="1147"/>
      <c r="F86" s="1147"/>
    </row>
    <row r="87" spans="1:6" ht="143.25" customHeight="1" x14ac:dyDescent="0.25">
      <c r="A87" s="1057" t="s">
        <v>1618</v>
      </c>
      <c r="B87" s="1058"/>
      <c r="C87" s="1058"/>
      <c r="D87" s="1058"/>
      <c r="E87" s="68" t="s">
        <v>592</v>
      </c>
      <c r="F87" s="71" t="s">
        <v>673</v>
      </c>
    </row>
    <row r="88" spans="1:6" ht="13.5" customHeight="1" x14ac:dyDescent="0.25"/>
    <row r="89" spans="1:6" ht="13" x14ac:dyDescent="0.3">
      <c r="A89" s="1147" t="s">
        <v>1619</v>
      </c>
      <c r="B89" s="1145"/>
      <c r="C89" s="1145"/>
      <c r="D89" s="1145"/>
      <c r="E89" s="1145"/>
      <c r="F89" s="1145"/>
    </row>
    <row r="90" spans="1:6" x14ac:dyDescent="0.25">
      <c r="A90" s="1145" t="s">
        <v>1577</v>
      </c>
      <c r="B90" s="1145"/>
      <c r="C90" s="1145"/>
      <c r="D90" s="1145"/>
      <c r="E90" s="68" t="s">
        <v>673</v>
      </c>
      <c r="F90" s="68">
        <v>12</v>
      </c>
    </row>
    <row r="91" spans="1:6" ht="13" x14ac:dyDescent="0.3">
      <c r="A91" s="1147" t="s">
        <v>1620</v>
      </c>
      <c r="B91" s="1147"/>
      <c r="C91" s="1147"/>
      <c r="D91" s="1147"/>
      <c r="E91" s="1147"/>
      <c r="F91" s="1147"/>
    </row>
    <row r="92" spans="1:6" x14ac:dyDescent="0.25">
      <c r="A92" s="1145" t="s">
        <v>1577</v>
      </c>
      <c r="B92" s="1145"/>
      <c r="C92" s="1145"/>
      <c r="D92" s="1145"/>
      <c r="E92" s="68" t="s">
        <v>673</v>
      </c>
      <c r="F92" s="71" t="s">
        <v>673</v>
      </c>
    </row>
    <row r="93" spans="1:6" x14ac:dyDescent="0.25">
      <c r="E93" s="1"/>
      <c r="F93" s="1"/>
    </row>
    <row r="94" spans="1:6" x14ac:dyDescent="0.25">
      <c r="E94" s="1"/>
      <c r="F94" s="1"/>
    </row>
    <row r="95" spans="1:6" x14ac:dyDescent="0.25">
      <c r="E95" s="1"/>
      <c r="F95" s="1"/>
    </row>
    <row r="96" spans="1:6" x14ac:dyDescent="0.25">
      <c r="E96" s="1"/>
      <c r="F96" s="1"/>
    </row>
    <row r="97" s="1" customFormat="1" x14ac:dyDescent="0.25"/>
    <row r="98" s="1" customFormat="1" x14ac:dyDescent="0.25"/>
  </sheetData>
  <mergeCells count="66">
    <mergeCell ref="A92:D92"/>
    <mergeCell ref="A79:F79"/>
    <mergeCell ref="A80:D80"/>
    <mergeCell ref="A81:F81"/>
    <mergeCell ref="A82:D82"/>
    <mergeCell ref="A84:F84"/>
    <mergeCell ref="A85:D85"/>
    <mergeCell ref="A86:F86"/>
    <mergeCell ref="A87:D87"/>
    <mergeCell ref="A89:F89"/>
    <mergeCell ref="A90:D90"/>
    <mergeCell ref="A91:F91"/>
    <mergeCell ref="A77:D77"/>
    <mergeCell ref="A63:F63"/>
    <mergeCell ref="A64:D64"/>
    <mergeCell ref="A66:F66"/>
    <mergeCell ref="A67:D67"/>
    <mergeCell ref="A68:F68"/>
    <mergeCell ref="A69:D69"/>
    <mergeCell ref="A71:F71"/>
    <mergeCell ref="A72:D72"/>
    <mergeCell ref="A73:F73"/>
    <mergeCell ref="A74:D74"/>
    <mergeCell ref="A76:F76"/>
    <mergeCell ref="A62:D62"/>
    <mergeCell ref="A48:F48"/>
    <mergeCell ref="A49:D49"/>
    <mergeCell ref="A51:F51"/>
    <mergeCell ref="A52:D52"/>
    <mergeCell ref="A53:F53"/>
    <mergeCell ref="A54:D54"/>
    <mergeCell ref="A56:F56"/>
    <mergeCell ref="A57:D57"/>
    <mergeCell ref="A58:F58"/>
    <mergeCell ref="A59:D59"/>
    <mergeCell ref="A61:F61"/>
    <mergeCell ref="A47:D47"/>
    <mergeCell ref="A32:F32"/>
    <mergeCell ref="A33:D33"/>
    <mergeCell ref="A35:F35"/>
    <mergeCell ref="A36:D36"/>
    <mergeCell ref="A38:F38"/>
    <mergeCell ref="A39:D39"/>
    <mergeCell ref="A41:F41"/>
    <mergeCell ref="A42:D42"/>
    <mergeCell ref="A43:F43"/>
    <mergeCell ref="A44:D44"/>
    <mergeCell ref="A46:F46"/>
    <mergeCell ref="A31:D31"/>
    <mergeCell ref="A15:F15"/>
    <mergeCell ref="A16:D16"/>
    <mergeCell ref="A18:F18"/>
    <mergeCell ref="A19:D19"/>
    <mergeCell ref="A21:F21"/>
    <mergeCell ref="A22:D22"/>
    <mergeCell ref="A24:F24"/>
    <mergeCell ref="A25:D25"/>
    <mergeCell ref="A27:F27"/>
    <mergeCell ref="A28:D28"/>
    <mergeCell ref="A30:F30"/>
    <mergeCell ref="A13:D13"/>
    <mergeCell ref="A6:D6"/>
    <mergeCell ref="A7:F7"/>
    <mergeCell ref="A9:D9"/>
    <mergeCell ref="A10:D10"/>
    <mergeCell ref="A12:D12"/>
  </mergeCells>
  <pageMargins left="0.7" right="0.7" top="0.75" bottom="0.75" header="0.3" footer="0.3"/>
  <pageSetup scale="75" orientation="portrait" r:id="rId1"/>
  <rowBreaks count="2" manualBreakCount="2">
    <brk id="44" max="16383" man="1"/>
    <brk id="65"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dimension ref="A1:F81"/>
  <sheetViews>
    <sheetView topLeftCell="A52" zoomScale="85" zoomScaleNormal="85" workbookViewId="0"/>
  </sheetViews>
  <sheetFormatPr defaultColWidth="9.26953125" defaultRowHeight="12.5" x14ac:dyDescent="0.25"/>
  <cols>
    <col min="1" max="1" width="15.26953125" customWidth="1"/>
    <col min="2" max="2" width="13.7265625" customWidth="1"/>
    <col min="3" max="3" width="15.26953125" customWidth="1"/>
    <col min="4" max="4" width="16.453125" customWidth="1"/>
    <col min="5" max="5" width="13.54296875" customWidth="1"/>
    <col min="6" max="6" width="15.7265625" customWidth="1"/>
  </cols>
  <sheetData>
    <row r="1" spans="1:6" ht="26" x14ac:dyDescent="0.3">
      <c r="A1" s="66" t="s">
        <v>18</v>
      </c>
      <c r="B1" s="66" t="s">
        <v>96</v>
      </c>
      <c r="C1" s="66" t="s">
        <v>1562</v>
      </c>
      <c r="D1" s="1"/>
      <c r="E1" s="68"/>
      <c r="F1" s="68"/>
    </row>
    <row r="2" spans="1:6" ht="13" x14ac:dyDescent="0.3">
      <c r="A2" s="98">
        <v>41534</v>
      </c>
      <c r="B2" s="66"/>
      <c r="C2" s="66" t="s">
        <v>945</v>
      </c>
      <c r="D2" s="1"/>
      <c r="E2" s="68"/>
      <c r="F2" s="68"/>
    </row>
    <row r="3" spans="1:6" ht="13" x14ac:dyDescent="0.3">
      <c r="A3" s="79"/>
      <c r="B3" s="70"/>
      <c r="C3" s="70"/>
      <c r="D3" s="1"/>
      <c r="E3" s="68"/>
      <c r="F3" s="68"/>
    </row>
    <row r="4" spans="1:6" ht="12.75" customHeight="1" x14ac:dyDescent="0.3">
      <c r="A4" s="69"/>
      <c r="B4" s="69"/>
      <c r="C4" s="69"/>
      <c r="D4" s="69"/>
      <c r="E4" s="70" t="s">
        <v>1563</v>
      </c>
      <c r="F4" s="70" t="s">
        <v>1564</v>
      </c>
    </row>
    <row r="5" spans="1:6" ht="12.75" customHeight="1" x14ac:dyDescent="0.3">
      <c r="A5" s="1147" t="s">
        <v>1567</v>
      </c>
      <c r="B5" s="1147"/>
      <c r="C5" s="1147"/>
      <c r="D5" s="1147"/>
      <c r="E5" s="68"/>
      <c r="F5" s="68"/>
    </row>
    <row r="6" spans="1:6" ht="39" customHeight="1" x14ac:dyDescent="0.25">
      <c r="A6" s="1144" t="s">
        <v>1621</v>
      </c>
      <c r="B6" s="1145"/>
      <c r="C6" s="1145"/>
      <c r="D6" s="1145"/>
      <c r="E6" s="68" t="s">
        <v>673</v>
      </c>
      <c r="F6" s="71" t="s">
        <v>673</v>
      </c>
    </row>
    <row r="7" spans="1:6" x14ac:dyDescent="0.25">
      <c r="A7" s="72"/>
      <c r="B7" s="72"/>
      <c r="C7" s="72"/>
      <c r="D7" s="72"/>
      <c r="E7" s="73"/>
      <c r="F7" s="73"/>
    </row>
    <row r="8" spans="1:6" ht="12.75" customHeight="1" x14ac:dyDescent="0.3">
      <c r="A8" s="1147" t="s">
        <v>1571</v>
      </c>
      <c r="B8" s="1147"/>
      <c r="C8" s="1147"/>
      <c r="D8" s="1147"/>
      <c r="E8" s="1147"/>
      <c r="F8" s="1147"/>
    </row>
    <row r="9" spans="1:6" ht="12.75" customHeight="1" x14ac:dyDescent="0.25">
      <c r="A9" s="1144" t="s">
        <v>1622</v>
      </c>
      <c r="B9" s="1145"/>
      <c r="C9" s="1145"/>
      <c r="D9" s="1145"/>
      <c r="E9" s="68" t="s">
        <v>673</v>
      </c>
      <c r="F9" s="71" t="s">
        <v>673</v>
      </c>
    </row>
    <row r="10" spans="1:6" ht="12.75" customHeight="1" x14ac:dyDescent="0.25">
      <c r="A10" s="72"/>
      <c r="B10" s="72"/>
      <c r="C10" s="72"/>
      <c r="D10" s="72"/>
      <c r="E10" s="73"/>
      <c r="F10" s="73"/>
    </row>
    <row r="11" spans="1:6" ht="12.75" customHeight="1" x14ac:dyDescent="0.3">
      <c r="A11" s="1147" t="s">
        <v>1572</v>
      </c>
      <c r="B11" s="1147"/>
      <c r="C11" s="1147"/>
      <c r="D11" s="1147"/>
      <c r="E11" s="1147"/>
      <c r="F11" s="1147"/>
    </row>
    <row r="12" spans="1:6" ht="13.5" customHeight="1" x14ac:dyDescent="0.25">
      <c r="A12" s="1145" t="s">
        <v>1583</v>
      </c>
      <c r="B12" s="1145"/>
      <c r="C12" s="1145"/>
      <c r="D12" s="1145"/>
      <c r="E12" s="68" t="s">
        <v>673</v>
      </c>
      <c r="F12" s="71" t="s">
        <v>673</v>
      </c>
    </row>
    <row r="13" spans="1:6" x14ac:dyDescent="0.25">
      <c r="A13" s="74"/>
      <c r="B13" s="74"/>
      <c r="C13" s="74"/>
      <c r="D13" s="74"/>
      <c r="E13" s="75"/>
      <c r="F13" s="75"/>
    </row>
    <row r="14" spans="1:6" ht="12.75" customHeight="1" x14ac:dyDescent="0.3">
      <c r="A14" s="1147" t="s">
        <v>1574</v>
      </c>
      <c r="B14" s="1147"/>
      <c r="C14" s="1147"/>
      <c r="D14" s="1147"/>
      <c r="E14" s="1147"/>
      <c r="F14" s="1147"/>
    </row>
    <row r="15" spans="1:6" ht="26.25" customHeight="1" x14ac:dyDescent="0.25">
      <c r="A15" s="1144" t="s">
        <v>1575</v>
      </c>
      <c r="B15" s="1145"/>
      <c r="C15" s="1145"/>
      <c r="D15" s="1145"/>
      <c r="E15" s="68" t="s">
        <v>673</v>
      </c>
      <c r="F15" s="71" t="s">
        <v>673</v>
      </c>
    </row>
    <row r="16" spans="1:6" ht="12.75" customHeight="1" x14ac:dyDescent="0.25">
      <c r="A16" s="72"/>
      <c r="B16" s="72"/>
      <c r="C16" s="72"/>
      <c r="D16" s="72"/>
      <c r="E16" s="73"/>
      <c r="F16" s="73"/>
    </row>
    <row r="17" spans="1:6" ht="13" x14ac:dyDescent="0.3">
      <c r="A17" s="1147" t="s">
        <v>1576</v>
      </c>
      <c r="B17" s="1147"/>
      <c r="C17" s="1147"/>
      <c r="D17" s="1147"/>
      <c r="E17" s="1147"/>
      <c r="F17" s="1147"/>
    </row>
    <row r="18" spans="1:6" ht="12.75" customHeight="1" x14ac:dyDescent="0.25">
      <c r="A18" s="1145" t="s">
        <v>1577</v>
      </c>
      <c r="B18" s="1145"/>
      <c r="C18" s="1145"/>
      <c r="D18" s="1145"/>
      <c r="E18" s="68" t="s">
        <v>673</v>
      </c>
      <c r="F18" s="71" t="s">
        <v>673</v>
      </c>
    </row>
    <row r="19" spans="1:6" x14ac:dyDescent="0.25">
      <c r="A19" s="72"/>
      <c r="B19" s="72"/>
      <c r="C19" s="72"/>
      <c r="D19" s="72"/>
      <c r="E19" s="73"/>
      <c r="F19" s="73"/>
    </row>
    <row r="20" spans="1:6" ht="12.75" customHeight="1" x14ac:dyDescent="0.3">
      <c r="A20" s="1147" t="s">
        <v>1578</v>
      </c>
      <c r="B20" s="1147"/>
      <c r="C20" s="1147"/>
      <c r="D20" s="1147"/>
      <c r="E20" s="1147"/>
      <c r="F20" s="1147"/>
    </row>
    <row r="21" spans="1:6" x14ac:dyDescent="0.25">
      <c r="A21" s="1144" t="s">
        <v>1623</v>
      </c>
      <c r="B21" s="1144"/>
      <c r="C21" s="1144"/>
      <c r="D21" s="1144"/>
      <c r="E21" s="71" t="s">
        <v>592</v>
      </c>
      <c r="F21" s="71" t="s">
        <v>673</v>
      </c>
    </row>
    <row r="22" spans="1:6" ht="12.75" customHeight="1" x14ac:dyDescent="0.25">
      <c r="A22" s="72"/>
      <c r="B22" s="72"/>
      <c r="C22" s="72"/>
      <c r="D22" s="72"/>
      <c r="E22" s="73"/>
      <c r="F22" s="73"/>
    </row>
    <row r="23" spans="1:6" ht="12.75" customHeight="1" x14ac:dyDescent="0.3">
      <c r="A23" s="1147" t="s">
        <v>1580</v>
      </c>
      <c r="B23" s="1147"/>
      <c r="C23" s="1147"/>
      <c r="D23" s="1147"/>
      <c r="E23" s="1147"/>
      <c r="F23" s="1147"/>
    </row>
    <row r="24" spans="1:6" ht="12.75" customHeight="1" x14ac:dyDescent="0.25">
      <c r="A24" s="1145" t="s">
        <v>1577</v>
      </c>
      <c r="B24" s="1145"/>
      <c r="C24" s="1145"/>
      <c r="D24" s="1145"/>
      <c r="E24" s="68" t="s">
        <v>673</v>
      </c>
      <c r="F24" s="71" t="s">
        <v>673</v>
      </c>
    </row>
    <row r="25" spans="1:6" ht="13" x14ac:dyDescent="0.3">
      <c r="A25" s="1147" t="s">
        <v>1581</v>
      </c>
      <c r="B25" s="1147"/>
      <c r="C25" s="1147"/>
      <c r="D25" s="1147"/>
      <c r="E25" s="1147"/>
      <c r="F25" s="1147"/>
    </row>
    <row r="26" spans="1:6" ht="12.75" customHeight="1" x14ac:dyDescent="0.25">
      <c r="A26" s="1144" t="s">
        <v>592</v>
      </c>
      <c r="B26" s="1145"/>
      <c r="C26" s="1145"/>
      <c r="D26" s="1145"/>
      <c r="E26" s="68" t="s">
        <v>673</v>
      </c>
      <c r="F26" s="71" t="s">
        <v>673</v>
      </c>
    </row>
    <row r="27" spans="1:6" ht="12.75" customHeight="1" x14ac:dyDescent="0.25">
      <c r="A27" s="72"/>
      <c r="B27" s="72"/>
      <c r="C27" s="72"/>
      <c r="D27" s="72"/>
      <c r="E27" s="73"/>
      <c r="F27" s="73"/>
    </row>
    <row r="28" spans="1:6" ht="12.75" customHeight="1" x14ac:dyDescent="0.3">
      <c r="A28" s="1147" t="s">
        <v>1582</v>
      </c>
      <c r="B28" s="1147"/>
      <c r="C28" s="1147"/>
      <c r="D28" s="1147"/>
      <c r="E28" s="1147"/>
      <c r="F28" s="1147"/>
    </row>
    <row r="29" spans="1:6" x14ac:dyDescent="0.25">
      <c r="A29" s="1145" t="s">
        <v>1583</v>
      </c>
      <c r="B29" s="1145"/>
      <c r="C29" s="1145"/>
      <c r="D29" s="1145"/>
      <c r="E29" s="71" t="s">
        <v>673</v>
      </c>
      <c r="F29" s="71" t="s">
        <v>673</v>
      </c>
    </row>
    <row r="30" spans="1:6" ht="12.75" customHeight="1" x14ac:dyDescent="0.25">
      <c r="A30" s="72"/>
      <c r="B30" s="72"/>
      <c r="C30" s="72"/>
      <c r="D30" s="72"/>
      <c r="E30" s="73"/>
      <c r="F30" s="73"/>
    </row>
    <row r="31" spans="1:6" ht="12.75" customHeight="1" x14ac:dyDescent="0.3">
      <c r="A31" s="1147" t="s">
        <v>1584</v>
      </c>
      <c r="B31" s="1147"/>
      <c r="C31" s="1147"/>
      <c r="D31" s="1147"/>
      <c r="E31" s="1147"/>
      <c r="F31" s="1147"/>
    </row>
    <row r="32" spans="1:6" ht="44.25" customHeight="1" x14ac:dyDescent="0.25">
      <c r="A32" s="1057" t="s">
        <v>1585</v>
      </c>
      <c r="B32" s="1058"/>
      <c r="C32" s="1058"/>
      <c r="D32" s="1058"/>
      <c r="E32" s="68" t="s">
        <v>579</v>
      </c>
      <c r="F32" s="71" t="s">
        <v>673</v>
      </c>
    </row>
    <row r="33" spans="1:6" ht="12.75" customHeight="1" x14ac:dyDescent="0.25">
      <c r="A33" s="72"/>
      <c r="B33" s="72"/>
      <c r="C33" s="72"/>
      <c r="D33" s="72"/>
      <c r="E33" s="73"/>
      <c r="F33" s="73"/>
    </row>
    <row r="34" spans="1:6" ht="12.75" customHeight="1" x14ac:dyDescent="0.3">
      <c r="A34" s="1147" t="s">
        <v>1586</v>
      </c>
      <c r="B34" s="1145"/>
      <c r="C34" s="1145"/>
      <c r="D34" s="1145"/>
      <c r="E34" s="1145"/>
      <c r="F34" s="1145"/>
    </row>
    <row r="35" spans="1:6" ht="12.75" customHeight="1" x14ac:dyDescent="0.25">
      <c r="A35" s="1145" t="s">
        <v>1587</v>
      </c>
      <c r="B35" s="1145"/>
      <c r="C35" s="1145"/>
      <c r="D35" s="1145"/>
      <c r="E35" s="68" t="s">
        <v>579</v>
      </c>
      <c r="F35" s="68">
        <v>10</v>
      </c>
    </row>
    <row r="36" spans="1:6" ht="12.75" customHeight="1" x14ac:dyDescent="0.3">
      <c r="A36" s="1147" t="s">
        <v>1588</v>
      </c>
      <c r="B36" s="1147"/>
      <c r="C36" s="1147"/>
      <c r="D36" s="1147"/>
      <c r="E36" s="1147"/>
      <c r="F36" s="1147"/>
    </row>
    <row r="37" spans="1:6" ht="57.75" customHeight="1" x14ac:dyDescent="0.25">
      <c r="A37" s="1057" t="s">
        <v>1624</v>
      </c>
      <c r="B37" s="1058"/>
      <c r="C37" s="1058"/>
      <c r="D37" s="1058"/>
      <c r="E37" s="68" t="s">
        <v>592</v>
      </c>
      <c r="F37" s="71" t="s">
        <v>673</v>
      </c>
    </row>
    <row r="38" spans="1:6" ht="12.75" customHeight="1" x14ac:dyDescent="0.25">
      <c r="A38" s="72"/>
      <c r="B38" s="72"/>
      <c r="C38" s="72"/>
      <c r="D38" s="72"/>
      <c r="E38" s="73"/>
      <c r="F38" s="73"/>
    </row>
    <row r="39" spans="1:6" ht="12.75" customHeight="1" x14ac:dyDescent="0.3">
      <c r="A39" s="1147" t="s">
        <v>1590</v>
      </c>
      <c r="B39" s="1145"/>
      <c r="C39" s="1145"/>
      <c r="D39" s="1145"/>
      <c r="E39" s="1145"/>
      <c r="F39" s="1145"/>
    </row>
    <row r="40" spans="1:6" ht="12.75" customHeight="1" x14ac:dyDescent="0.25">
      <c r="A40" s="1145" t="s">
        <v>1591</v>
      </c>
      <c r="B40" s="1145"/>
      <c r="C40" s="1145"/>
      <c r="D40" s="1145"/>
      <c r="E40" s="68" t="s">
        <v>579</v>
      </c>
      <c r="F40" s="68">
        <v>20</v>
      </c>
    </row>
    <row r="41" spans="1:6" ht="12.75" customHeight="1" x14ac:dyDescent="0.3">
      <c r="A41" s="1147" t="s">
        <v>1592</v>
      </c>
      <c r="B41" s="1147"/>
      <c r="C41" s="1147"/>
      <c r="D41" s="1147"/>
      <c r="E41" s="1147"/>
      <c r="F41" s="1147"/>
    </row>
    <row r="42" spans="1:6" ht="69" customHeight="1" x14ac:dyDescent="0.25">
      <c r="A42" s="1057" t="s">
        <v>1625</v>
      </c>
      <c r="B42" s="1058"/>
      <c r="C42" s="1058"/>
      <c r="D42" s="1058"/>
      <c r="E42" s="68" t="s">
        <v>592</v>
      </c>
      <c r="F42" s="71" t="s">
        <v>673</v>
      </c>
    </row>
    <row r="43" spans="1:6" ht="12.75" customHeight="1" x14ac:dyDescent="0.25">
      <c r="A43" s="72"/>
      <c r="B43" s="72"/>
      <c r="C43" s="72"/>
      <c r="D43" s="72"/>
      <c r="E43" s="73"/>
      <c r="F43" s="73"/>
    </row>
    <row r="44" spans="1:6" ht="12.75" customHeight="1" x14ac:dyDescent="0.3">
      <c r="A44" s="1147" t="s">
        <v>1594</v>
      </c>
      <c r="B44" s="1145"/>
      <c r="C44" s="1145"/>
      <c r="D44" s="1145"/>
      <c r="E44" s="1145"/>
      <c r="F44" s="1145"/>
    </row>
    <row r="45" spans="1:6" ht="24.75" customHeight="1" x14ac:dyDescent="0.3">
      <c r="A45" s="1147" t="s">
        <v>1626</v>
      </c>
      <c r="B45" s="1147"/>
      <c r="C45" s="1147"/>
      <c r="D45" s="1147"/>
      <c r="E45" s="68" t="s">
        <v>579</v>
      </c>
      <c r="F45" s="68">
        <v>30</v>
      </c>
    </row>
    <row r="46" spans="1:6" ht="12.75" customHeight="1" x14ac:dyDescent="0.3">
      <c r="A46" s="1147" t="s">
        <v>1596</v>
      </c>
      <c r="B46" s="1147"/>
      <c r="C46" s="1147"/>
      <c r="D46" s="1147"/>
      <c r="E46" s="1147"/>
      <c r="F46" s="1147"/>
    </row>
    <row r="47" spans="1:6" ht="50.25" customHeight="1" x14ac:dyDescent="0.25">
      <c r="A47" s="1057" t="s">
        <v>1627</v>
      </c>
      <c r="B47" s="1058"/>
      <c r="C47" s="1058"/>
      <c r="D47" s="1058"/>
      <c r="E47" s="68" t="s">
        <v>1622</v>
      </c>
      <c r="F47" s="71" t="s">
        <v>673</v>
      </c>
    </row>
    <row r="48" spans="1:6" ht="12.75" customHeight="1" x14ac:dyDescent="0.25">
      <c r="A48" s="72"/>
      <c r="B48" s="72"/>
      <c r="C48" s="72"/>
      <c r="D48" s="72"/>
      <c r="E48" s="73"/>
      <c r="F48" s="73"/>
    </row>
    <row r="49" spans="1:6" ht="13" x14ac:dyDescent="0.25">
      <c r="A49" s="1196" t="s">
        <v>1628</v>
      </c>
      <c r="B49" s="1196"/>
      <c r="C49" s="1196"/>
      <c r="D49" s="1196"/>
      <c r="E49" s="68"/>
      <c r="F49" s="71"/>
    </row>
    <row r="50" spans="1:6" ht="12.75" customHeight="1" x14ac:dyDescent="0.25">
      <c r="A50" s="1057" t="s">
        <v>1601</v>
      </c>
      <c r="B50" s="1058"/>
      <c r="C50" s="1058"/>
      <c r="D50" s="1058"/>
      <c r="E50" s="71" t="s">
        <v>579</v>
      </c>
      <c r="F50" s="71">
        <v>45</v>
      </c>
    </row>
    <row r="51" spans="1:6" ht="12.75" customHeight="1" x14ac:dyDescent="0.25">
      <c r="A51" s="1196" t="s">
        <v>1629</v>
      </c>
      <c r="B51" s="1058"/>
      <c r="C51" s="1058"/>
      <c r="D51" s="1058"/>
      <c r="E51" s="68"/>
      <c r="F51" s="71"/>
    </row>
    <row r="52" spans="1:6" ht="237" customHeight="1" x14ac:dyDescent="0.25">
      <c r="A52" s="1057" t="s">
        <v>1630</v>
      </c>
      <c r="B52" s="1058"/>
      <c r="C52" s="1058"/>
      <c r="D52" s="1058"/>
      <c r="E52" s="71" t="s">
        <v>592</v>
      </c>
      <c r="F52" s="71" t="s">
        <v>673</v>
      </c>
    </row>
    <row r="53" spans="1:6" ht="12.75" customHeight="1" x14ac:dyDescent="0.25">
      <c r="A53" s="72"/>
      <c r="B53" s="72"/>
      <c r="C53" s="72"/>
      <c r="D53" s="72"/>
      <c r="E53" s="73"/>
      <c r="F53" s="73"/>
    </row>
    <row r="54" spans="1:6" ht="12.75" customHeight="1" x14ac:dyDescent="0.3">
      <c r="A54" s="1147" t="s">
        <v>1604</v>
      </c>
      <c r="B54" s="1145"/>
      <c r="C54" s="1145"/>
      <c r="D54" s="1145"/>
      <c r="E54" s="1145"/>
      <c r="F54" s="1145"/>
    </row>
    <row r="55" spans="1:6" ht="12.75" customHeight="1" x14ac:dyDescent="0.25">
      <c r="A55" s="1144" t="s">
        <v>1605</v>
      </c>
      <c r="B55" s="1145"/>
      <c r="C55" s="1145"/>
      <c r="D55" s="1145"/>
      <c r="E55" s="71" t="s">
        <v>579</v>
      </c>
      <c r="F55" s="68">
        <v>50</v>
      </c>
    </row>
    <row r="56" spans="1:6" ht="12.75" customHeight="1" x14ac:dyDescent="0.3">
      <c r="A56" s="1147" t="s">
        <v>1606</v>
      </c>
      <c r="B56" s="1147"/>
      <c r="C56" s="1147"/>
      <c r="D56" s="1147"/>
      <c r="E56" s="1147"/>
      <c r="F56" s="1147"/>
    </row>
    <row r="57" spans="1:6" ht="135" customHeight="1" x14ac:dyDescent="0.25">
      <c r="A57" s="1057" t="s">
        <v>1631</v>
      </c>
      <c r="B57" s="1057"/>
      <c r="C57" s="1057"/>
      <c r="D57" s="1057"/>
      <c r="E57" s="68" t="s">
        <v>592</v>
      </c>
      <c r="F57" s="71" t="s">
        <v>673</v>
      </c>
    </row>
    <row r="58" spans="1:6" ht="12.75" customHeight="1" x14ac:dyDescent="0.25">
      <c r="A58" s="72"/>
      <c r="B58" s="72"/>
      <c r="C58" s="72"/>
      <c r="D58" s="72"/>
      <c r="E58" s="73"/>
      <c r="F58" s="73"/>
    </row>
    <row r="59" spans="1:6" ht="13" x14ac:dyDescent="0.3">
      <c r="A59" s="1147" t="s">
        <v>1608</v>
      </c>
      <c r="B59" s="1145"/>
      <c r="C59" s="1145"/>
      <c r="D59" s="1145"/>
      <c r="E59" s="1145"/>
      <c r="F59" s="1145"/>
    </row>
    <row r="60" spans="1:6" ht="12.75" customHeight="1" x14ac:dyDescent="0.25">
      <c r="A60" s="1145" t="s">
        <v>1577</v>
      </c>
      <c r="B60" s="1145"/>
      <c r="C60" s="1145"/>
      <c r="D60" s="1145"/>
      <c r="E60" s="68" t="s">
        <v>673</v>
      </c>
      <c r="F60" s="68">
        <v>60</v>
      </c>
    </row>
    <row r="61" spans="1:6" ht="13" x14ac:dyDescent="0.3">
      <c r="A61" s="1147" t="s">
        <v>1632</v>
      </c>
      <c r="B61" s="1147"/>
      <c r="C61" s="1147"/>
      <c r="D61" s="1147"/>
      <c r="E61" s="1147"/>
      <c r="F61" s="1147"/>
    </row>
    <row r="62" spans="1:6" x14ac:dyDescent="0.25">
      <c r="A62" s="1145" t="s">
        <v>1577</v>
      </c>
      <c r="B62" s="1145"/>
      <c r="C62" s="1145"/>
      <c r="D62" s="1145"/>
      <c r="E62" s="68" t="s">
        <v>673</v>
      </c>
      <c r="F62" s="71" t="s">
        <v>673</v>
      </c>
    </row>
    <row r="63" spans="1:6" x14ac:dyDescent="0.25">
      <c r="A63" s="72"/>
      <c r="B63" s="72"/>
      <c r="C63" s="72"/>
      <c r="D63" s="72"/>
      <c r="E63" s="73"/>
      <c r="F63" s="73"/>
    </row>
    <row r="64" spans="1:6" ht="13" x14ac:dyDescent="0.3">
      <c r="A64" s="1147" t="s">
        <v>1633</v>
      </c>
      <c r="B64" s="1145"/>
      <c r="C64" s="1145"/>
      <c r="D64" s="1145"/>
      <c r="E64" s="1145"/>
      <c r="F64" s="1145"/>
    </row>
    <row r="65" spans="1:6" x14ac:dyDescent="0.25">
      <c r="A65" s="1145" t="s">
        <v>1583</v>
      </c>
      <c r="B65" s="1145"/>
      <c r="C65" s="1145"/>
      <c r="D65" s="1145"/>
      <c r="E65" s="71" t="s">
        <v>673</v>
      </c>
      <c r="F65" s="71" t="s">
        <v>673</v>
      </c>
    </row>
    <row r="66" spans="1:6" x14ac:dyDescent="0.25">
      <c r="A66" s="72"/>
      <c r="B66" s="72"/>
      <c r="C66" s="72"/>
      <c r="D66" s="72"/>
      <c r="E66" s="73"/>
      <c r="F66" s="73"/>
    </row>
    <row r="67" spans="1:6" ht="13" x14ac:dyDescent="0.3">
      <c r="A67" s="1147" t="s">
        <v>1634</v>
      </c>
      <c r="B67" s="1145"/>
      <c r="C67" s="1145"/>
      <c r="D67" s="1145"/>
      <c r="E67" s="1145"/>
      <c r="F67" s="1145"/>
    </row>
    <row r="68" spans="1:6" x14ac:dyDescent="0.25">
      <c r="A68" s="1145" t="s">
        <v>1612</v>
      </c>
      <c r="B68" s="1145"/>
      <c r="C68" s="1145"/>
      <c r="D68" s="1145"/>
      <c r="E68" s="71" t="s">
        <v>579</v>
      </c>
      <c r="F68" s="68">
        <v>10</v>
      </c>
    </row>
    <row r="69" spans="1:6" ht="13" x14ac:dyDescent="0.3">
      <c r="A69" s="1147" t="s">
        <v>1635</v>
      </c>
      <c r="B69" s="1147"/>
      <c r="C69" s="1147"/>
      <c r="D69" s="1147"/>
      <c r="E69" s="1147"/>
      <c r="F69" s="1147"/>
    </row>
    <row r="70" spans="1:6" ht="289.5" customHeight="1" x14ac:dyDescent="0.25">
      <c r="A70" s="1057" t="s">
        <v>1636</v>
      </c>
      <c r="B70" s="1058"/>
      <c r="C70" s="1058"/>
      <c r="D70" s="1058"/>
      <c r="E70" s="68" t="s">
        <v>592</v>
      </c>
      <c r="F70" s="71" t="s">
        <v>673</v>
      </c>
    </row>
    <row r="71" spans="1:6" x14ac:dyDescent="0.25">
      <c r="A71" s="72"/>
      <c r="B71" s="72"/>
      <c r="C71" s="72"/>
      <c r="D71" s="72"/>
      <c r="E71" s="73"/>
      <c r="F71" s="73"/>
    </row>
    <row r="72" spans="1:6" ht="13" x14ac:dyDescent="0.3">
      <c r="A72" s="1147" t="s">
        <v>1637</v>
      </c>
      <c r="B72" s="1145"/>
      <c r="C72" s="1145"/>
      <c r="D72" s="1145"/>
      <c r="E72" s="1145"/>
      <c r="F72" s="1145"/>
    </row>
    <row r="73" spans="1:6" ht="12.75" customHeight="1" x14ac:dyDescent="0.3">
      <c r="A73" s="1147" t="s">
        <v>1638</v>
      </c>
      <c r="B73" s="1145"/>
      <c r="C73" s="1145"/>
      <c r="D73" s="1145"/>
      <c r="E73" s="71" t="s">
        <v>579</v>
      </c>
      <c r="F73" s="68">
        <v>11</v>
      </c>
    </row>
    <row r="74" spans="1:6" ht="13" x14ac:dyDescent="0.3">
      <c r="A74" s="1147" t="s">
        <v>1617</v>
      </c>
      <c r="B74" s="1147"/>
      <c r="C74" s="1147"/>
      <c r="D74" s="1147"/>
      <c r="E74" s="1147"/>
      <c r="F74" s="1147"/>
    </row>
    <row r="75" spans="1:6" ht="52.5" customHeight="1" x14ac:dyDescent="0.25">
      <c r="A75" s="1057" t="s">
        <v>1639</v>
      </c>
      <c r="B75" s="1058"/>
      <c r="C75" s="1058"/>
      <c r="D75" s="1058"/>
      <c r="E75" s="71" t="s">
        <v>673</v>
      </c>
      <c r="F75" s="71" t="s">
        <v>673</v>
      </c>
    </row>
    <row r="76" spans="1:6" x14ac:dyDescent="0.25">
      <c r="A76" s="72"/>
      <c r="B76" s="72"/>
      <c r="C76" s="72"/>
      <c r="D76" s="72"/>
      <c r="E76" s="73"/>
      <c r="F76" s="73"/>
    </row>
    <row r="77" spans="1:6" ht="13" x14ac:dyDescent="0.3">
      <c r="A77" s="1147" t="s">
        <v>1640</v>
      </c>
      <c r="B77" s="1147"/>
      <c r="C77" s="1147"/>
      <c r="D77" s="1147"/>
      <c r="E77" s="1147"/>
      <c r="F77" s="1147"/>
    </row>
    <row r="78" spans="1:6" ht="13" x14ac:dyDescent="0.3">
      <c r="A78" s="1147" t="s">
        <v>1616</v>
      </c>
      <c r="B78" s="1147"/>
      <c r="C78" s="1147"/>
      <c r="D78" s="1147"/>
      <c r="E78" s="71" t="s">
        <v>579</v>
      </c>
      <c r="F78" s="68">
        <v>12</v>
      </c>
    </row>
    <row r="79" spans="1:6" ht="13" x14ac:dyDescent="0.3">
      <c r="A79" s="1147" t="s">
        <v>1641</v>
      </c>
      <c r="B79" s="1147"/>
      <c r="C79" s="1147"/>
      <c r="D79" s="1147"/>
      <c r="E79" s="1147"/>
      <c r="F79" s="1147"/>
    </row>
    <row r="80" spans="1:6" ht="139.5" customHeight="1" x14ac:dyDescent="0.25">
      <c r="A80" s="1057" t="s">
        <v>1642</v>
      </c>
      <c r="B80" s="1058"/>
      <c r="C80" s="1058"/>
      <c r="D80" s="1058"/>
      <c r="E80" s="71" t="s">
        <v>592</v>
      </c>
      <c r="F80" s="71" t="s">
        <v>673</v>
      </c>
    </row>
    <row r="81" spans="1:6" x14ac:dyDescent="0.25">
      <c r="A81" s="72"/>
      <c r="B81" s="72"/>
      <c r="C81" s="72"/>
      <c r="D81" s="72"/>
      <c r="E81" s="73"/>
      <c r="F81" s="73"/>
    </row>
  </sheetData>
  <mergeCells count="58">
    <mergeCell ref="A21:D21"/>
    <mergeCell ref="A5:D5"/>
    <mergeCell ref="A6:D6"/>
    <mergeCell ref="A8:F8"/>
    <mergeCell ref="A9:D9"/>
    <mergeCell ref="A11:F11"/>
    <mergeCell ref="A12:D12"/>
    <mergeCell ref="A14:F14"/>
    <mergeCell ref="A15:D15"/>
    <mergeCell ref="A17:F17"/>
    <mergeCell ref="A18:D18"/>
    <mergeCell ref="A20:F20"/>
    <mergeCell ref="A37:D37"/>
    <mergeCell ref="A23:F23"/>
    <mergeCell ref="A26:D26"/>
    <mergeCell ref="A25:F25"/>
    <mergeCell ref="A24:D24"/>
    <mergeCell ref="A28:F28"/>
    <mergeCell ref="A29:D29"/>
    <mergeCell ref="A31:F31"/>
    <mergeCell ref="A32:D32"/>
    <mergeCell ref="A34:F34"/>
    <mergeCell ref="A35:D35"/>
    <mergeCell ref="A36:F36"/>
    <mergeCell ref="A52:D52"/>
    <mergeCell ref="A39:F39"/>
    <mergeCell ref="A40:D40"/>
    <mergeCell ref="A41:F41"/>
    <mergeCell ref="A42:D42"/>
    <mergeCell ref="A44:F44"/>
    <mergeCell ref="A45:D45"/>
    <mergeCell ref="A46:F46"/>
    <mergeCell ref="A47:D47"/>
    <mergeCell ref="A49:D49"/>
    <mergeCell ref="A50:D50"/>
    <mergeCell ref="A51:D51"/>
    <mergeCell ref="A68:D68"/>
    <mergeCell ref="A54:F54"/>
    <mergeCell ref="A55:D55"/>
    <mergeCell ref="A56:F56"/>
    <mergeCell ref="A57:D57"/>
    <mergeCell ref="A59:F59"/>
    <mergeCell ref="A60:D60"/>
    <mergeCell ref="A61:F61"/>
    <mergeCell ref="A62:D62"/>
    <mergeCell ref="A64:F64"/>
    <mergeCell ref="A65:D65"/>
    <mergeCell ref="A67:F67"/>
    <mergeCell ref="A80:D80"/>
    <mergeCell ref="A72:F72"/>
    <mergeCell ref="A74:F74"/>
    <mergeCell ref="A78:D78"/>
    <mergeCell ref="A69:F69"/>
    <mergeCell ref="A70:D70"/>
    <mergeCell ref="A77:F77"/>
    <mergeCell ref="A73:D73"/>
    <mergeCell ref="A79:F79"/>
    <mergeCell ref="A75:D75"/>
  </mergeCell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pageSetUpPr fitToPage="1"/>
  </sheetPr>
  <dimension ref="A1:H28"/>
  <sheetViews>
    <sheetView zoomScale="115" zoomScaleNormal="115" workbookViewId="0">
      <selection activeCell="D8" sqref="D8"/>
    </sheetView>
  </sheetViews>
  <sheetFormatPr defaultRowHeight="12.5" x14ac:dyDescent="0.25"/>
  <cols>
    <col min="1" max="1" width="14.453125" customWidth="1"/>
    <col min="2" max="2" width="30.36328125" customWidth="1"/>
    <col min="3" max="3" width="27.453125" customWidth="1"/>
    <col min="4" max="4" width="51.453125" bestFit="1" customWidth="1"/>
    <col min="5" max="5" width="5.453125" customWidth="1"/>
    <col min="6" max="6" width="28" customWidth="1"/>
    <col min="7" max="7" width="5.26953125" customWidth="1"/>
    <col min="8" max="8" width="15.26953125" bestFit="1" customWidth="1"/>
  </cols>
  <sheetData>
    <row r="1" spans="1:8" ht="14.5" x14ac:dyDescent="0.35">
      <c r="A1" s="59" t="s">
        <v>513</v>
      </c>
      <c r="B1" s="970" t="s">
        <v>1643</v>
      </c>
      <c r="C1" s="970"/>
      <c r="D1" s="970"/>
    </row>
    <row r="2" spans="1:8" ht="14.5" x14ac:dyDescent="0.35">
      <c r="A2" s="60" t="s">
        <v>1644</v>
      </c>
      <c r="B2" s="60" t="s">
        <v>1645</v>
      </c>
      <c r="C2" s="60" t="s">
        <v>1646</v>
      </c>
      <c r="D2" s="60" t="s">
        <v>1647</v>
      </c>
      <c r="E2" s="60" t="s">
        <v>1648</v>
      </c>
      <c r="F2" s="60" t="s">
        <v>1649</v>
      </c>
      <c r="G2" s="61"/>
      <c r="H2" s="61"/>
    </row>
    <row r="4" spans="1:8" x14ac:dyDescent="0.25">
      <c r="B4" t="s">
        <v>546</v>
      </c>
      <c r="C4" t="s">
        <v>1650</v>
      </c>
      <c r="D4" t="s">
        <v>1651</v>
      </c>
    </row>
    <row r="5" spans="1:8" x14ac:dyDescent="0.25">
      <c r="B5" t="s">
        <v>550</v>
      </c>
      <c r="C5" t="s">
        <v>1652</v>
      </c>
      <c r="D5" t="s">
        <v>1651</v>
      </c>
    </row>
    <row r="6" spans="1:8" x14ac:dyDescent="0.25">
      <c r="B6" t="s">
        <v>557</v>
      </c>
      <c r="C6" t="s">
        <v>1653</v>
      </c>
      <c r="D6" t="s">
        <v>1654</v>
      </c>
      <c r="E6" t="s">
        <v>1655</v>
      </c>
      <c r="F6" t="s">
        <v>545</v>
      </c>
    </row>
    <row r="7" spans="1:8" x14ac:dyDescent="0.25">
      <c r="B7" t="s">
        <v>546</v>
      </c>
      <c r="C7" t="s">
        <v>1652</v>
      </c>
      <c r="D7" t="s">
        <v>1656</v>
      </c>
    </row>
    <row r="8" spans="1:8" x14ac:dyDescent="0.25">
      <c r="B8" t="s">
        <v>548</v>
      </c>
      <c r="C8" t="s">
        <v>1653</v>
      </c>
      <c r="D8" t="s">
        <v>1657</v>
      </c>
      <c r="E8" t="s">
        <v>1655</v>
      </c>
      <c r="F8" t="s">
        <v>545</v>
      </c>
    </row>
    <row r="9" spans="1:8" x14ac:dyDescent="0.25">
      <c r="B9" t="s">
        <v>558</v>
      </c>
      <c r="C9" t="s">
        <v>1653</v>
      </c>
      <c r="D9" t="s">
        <v>1657</v>
      </c>
      <c r="E9" t="s">
        <v>1655</v>
      </c>
      <c r="F9" t="s">
        <v>545</v>
      </c>
    </row>
    <row r="10" spans="1:8" x14ac:dyDescent="0.25">
      <c r="B10" t="s">
        <v>549</v>
      </c>
      <c r="C10" t="s">
        <v>1652</v>
      </c>
      <c r="D10" t="s">
        <v>1656</v>
      </c>
    </row>
    <row r="11" spans="1:8" x14ac:dyDescent="0.25">
      <c r="B11" t="s">
        <v>559</v>
      </c>
      <c r="C11" t="s">
        <v>1653</v>
      </c>
      <c r="D11" t="s">
        <v>1658</v>
      </c>
      <c r="E11" t="s">
        <v>1655</v>
      </c>
      <c r="F11" t="s">
        <v>557</v>
      </c>
    </row>
    <row r="12" spans="1:8" x14ac:dyDescent="0.25">
      <c r="B12" t="s">
        <v>561</v>
      </c>
      <c r="C12" t="s">
        <v>1653</v>
      </c>
      <c r="D12" t="s">
        <v>1659</v>
      </c>
    </row>
    <row r="13" spans="1:8" x14ac:dyDescent="0.25">
      <c r="B13" t="s">
        <v>561</v>
      </c>
      <c r="C13" t="s">
        <v>1652</v>
      </c>
      <c r="D13" t="s">
        <v>1659</v>
      </c>
    </row>
    <row r="14" spans="1:8" x14ac:dyDescent="0.25">
      <c r="B14" t="s">
        <v>1660</v>
      </c>
      <c r="C14" t="s">
        <v>1661</v>
      </c>
      <c r="D14" t="s">
        <v>1662</v>
      </c>
    </row>
    <row r="15" spans="1:8" x14ac:dyDescent="0.25">
      <c r="B15" t="s">
        <v>1663</v>
      </c>
      <c r="C15" t="s">
        <v>1664</v>
      </c>
      <c r="D15" t="s">
        <v>1662</v>
      </c>
    </row>
    <row r="16" spans="1:8" x14ac:dyDescent="0.25">
      <c r="B16" s="67"/>
      <c r="C16" s="67"/>
      <c r="D16" s="67"/>
    </row>
    <row r="17" spans="1:8" x14ac:dyDescent="0.25">
      <c r="B17" s="67"/>
      <c r="C17" s="67"/>
      <c r="D17" s="67"/>
    </row>
    <row r="19" spans="1:8" ht="14.5" x14ac:dyDescent="0.35">
      <c r="A19" s="63" t="s">
        <v>1665</v>
      </c>
      <c r="B19" s="63"/>
      <c r="C19" s="63"/>
      <c r="D19" s="63"/>
      <c r="E19" s="63"/>
      <c r="F19" s="63"/>
      <c r="G19" s="61"/>
      <c r="H19" s="61"/>
    </row>
    <row r="21" spans="1:8" x14ac:dyDescent="0.25">
      <c r="B21" t="s">
        <v>1666</v>
      </c>
    </row>
    <row r="22" spans="1:8" x14ac:dyDescent="0.25">
      <c r="B22" t="s">
        <v>1667</v>
      </c>
    </row>
    <row r="23" spans="1:8" x14ac:dyDescent="0.25">
      <c r="B23" s="622" t="s">
        <v>1668</v>
      </c>
      <c r="C23" s="727"/>
    </row>
    <row r="26" spans="1:8" ht="14.5" x14ac:dyDescent="0.35">
      <c r="A26" s="64" t="s">
        <v>1669</v>
      </c>
      <c r="B26" s="64"/>
      <c r="C26" s="64"/>
      <c r="D26" s="64"/>
      <c r="E26" s="64"/>
      <c r="F26" s="64"/>
      <c r="G26" s="61"/>
      <c r="H26" s="61"/>
    </row>
    <row r="28" spans="1:8" x14ac:dyDescent="0.25">
      <c r="A28" s="2"/>
      <c r="B28" s="67" t="s">
        <v>1670</v>
      </c>
    </row>
  </sheetData>
  <mergeCells count="1">
    <mergeCell ref="B1:D1"/>
  </mergeCells>
  <pageMargins left="0.7" right="0.7" top="0.75" bottom="0.75" header="0.3" footer="0.3"/>
  <pageSetup scale="96" fitToHeight="10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A1:O74"/>
  <sheetViews>
    <sheetView zoomScale="90" zoomScaleNormal="90" zoomScaleSheetLayoutView="90" workbookViewId="0">
      <selection activeCell="M39" sqref="M39"/>
    </sheetView>
  </sheetViews>
  <sheetFormatPr defaultColWidth="9.26953125" defaultRowHeight="12.5" x14ac:dyDescent="0.25"/>
  <cols>
    <col min="1" max="1" width="12" style="81" bestFit="1" customWidth="1"/>
    <col min="2" max="2" width="67.453125" style="81" bestFit="1" customWidth="1"/>
    <col min="3" max="3" width="11.81640625" style="81" customWidth="1"/>
    <col min="4" max="4" width="9" style="81" customWidth="1"/>
    <col min="5" max="5" width="56.453125" style="81" bestFit="1" customWidth="1"/>
    <col min="6" max="6" width="9.26953125" style="88" customWidth="1"/>
    <col min="7" max="7" width="10.453125" style="88" customWidth="1"/>
    <col min="8" max="8" width="8.54296875" style="88" customWidth="1"/>
    <col min="9" max="9" width="13.1796875" style="88" customWidth="1"/>
    <col min="10" max="10" width="9" style="88" customWidth="1"/>
    <col min="11" max="11" width="9.54296875" style="88" customWidth="1"/>
    <col min="12" max="12" width="11.453125" style="500" customWidth="1"/>
    <col min="13" max="13" width="12.26953125" style="500" customWidth="1"/>
    <col min="14" max="14" width="12.453125" style="500" customWidth="1"/>
    <col min="15" max="15" width="12.1796875" style="500" customWidth="1"/>
    <col min="16" max="16384" width="9.26953125" style="81"/>
  </cols>
  <sheetData>
    <row r="1" spans="1:15" s="496" customFormat="1" ht="64.5" customHeight="1" x14ac:dyDescent="0.25">
      <c r="A1" s="501" t="s">
        <v>119</v>
      </c>
      <c r="B1" s="501" t="s">
        <v>1671</v>
      </c>
      <c r="C1" s="501" t="s">
        <v>1672</v>
      </c>
      <c r="D1" s="501" t="s">
        <v>1673</v>
      </c>
      <c r="E1" s="501" t="s">
        <v>1674</v>
      </c>
      <c r="F1" s="501" t="s">
        <v>1675</v>
      </c>
      <c r="G1" s="501" t="s">
        <v>1676</v>
      </c>
      <c r="H1" s="501" t="s">
        <v>1677</v>
      </c>
      <c r="I1" s="501" t="s">
        <v>1678</v>
      </c>
      <c r="J1" s="501" t="s">
        <v>1679</v>
      </c>
      <c r="K1" s="501" t="s">
        <v>1680</v>
      </c>
      <c r="L1" s="501" t="s">
        <v>1681</v>
      </c>
      <c r="M1" s="501" t="s">
        <v>96</v>
      </c>
      <c r="N1" s="501" t="s">
        <v>14</v>
      </c>
      <c r="O1" s="501" t="s">
        <v>1682</v>
      </c>
    </row>
    <row r="2" spans="1:15" s="134" customFormat="1" x14ac:dyDescent="0.25">
      <c r="A2" s="135" t="s">
        <v>1683</v>
      </c>
      <c r="B2" s="135" t="s">
        <v>1684</v>
      </c>
      <c r="C2" s="136">
        <v>26</v>
      </c>
      <c r="D2" s="136">
        <v>0</v>
      </c>
      <c r="E2" s="502"/>
      <c r="F2" s="497"/>
      <c r="G2" s="497"/>
      <c r="H2" s="497"/>
      <c r="I2" s="497"/>
      <c r="J2" s="136"/>
      <c r="K2" s="136" t="s">
        <v>29</v>
      </c>
      <c r="L2" s="137">
        <v>43617</v>
      </c>
      <c r="M2" s="137"/>
      <c r="N2" s="137">
        <v>43617</v>
      </c>
      <c r="O2" s="137"/>
    </row>
    <row r="3" spans="1:15" s="134" customFormat="1" x14ac:dyDescent="0.25">
      <c r="A3" s="135" t="s">
        <v>1685</v>
      </c>
      <c r="B3" s="135" t="s">
        <v>1686</v>
      </c>
      <c r="C3" s="136">
        <v>9</v>
      </c>
      <c r="D3" s="136">
        <v>0</v>
      </c>
      <c r="E3" s="502"/>
      <c r="F3" s="497"/>
      <c r="G3" s="497"/>
      <c r="H3" s="497"/>
      <c r="I3" s="497"/>
      <c r="J3" s="136"/>
      <c r="K3" s="136" t="s">
        <v>29</v>
      </c>
      <c r="L3" s="137">
        <v>43617</v>
      </c>
      <c r="M3" s="137"/>
      <c r="N3" s="137">
        <v>43617</v>
      </c>
      <c r="O3" s="137"/>
    </row>
    <row r="4" spans="1:15" x14ac:dyDescent="0.25">
      <c r="A4" s="135" t="s">
        <v>1687</v>
      </c>
      <c r="B4" s="135" t="s">
        <v>1688</v>
      </c>
      <c r="C4" s="136">
        <v>25</v>
      </c>
      <c r="D4" s="136">
        <v>0</v>
      </c>
      <c r="E4" s="502"/>
      <c r="F4" s="497"/>
      <c r="G4" s="497"/>
      <c r="H4" s="497"/>
      <c r="I4" s="497"/>
      <c r="J4" s="136"/>
      <c r="K4" s="136" t="s">
        <v>29</v>
      </c>
      <c r="L4" s="137">
        <v>43617</v>
      </c>
      <c r="M4" s="137"/>
      <c r="N4" s="137">
        <v>43617</v>
      </c>
      <c r="O4" s="137"/>
    </row>
    <row r="5" spans="1:15" x14ac:dyDescent="0.25">
      <c r="A5" s="135" t="s">
        <v>1689</v>
      </c>
      <c r="B5" s="135" t="s">
        <v>1690</v>
      </c>
      <c r="C5" s="136">
        <v>26</v>
      </c>
      <c r="D5" s="136">
        <v>0</v>
      </c>
      <c r="E5" s="502"/>
      <c r="F5" s="497"/>
      <c r="G5" s="497"/>
      <c r="H5" s="497"/>
      <c r="I5" s="497"/>
      <c r="J5" s="136"/>
      <c r="K5" s="136" t="s">
        <v>29</v>
      </c>
      <c r="L5" s="137">
        <v>43617</v>
      </c>
      <c r="M5" s="137"/>
      <c r="N5" s="137">
        <v>43617</v>
      </c>
      <c r="O5" s="137"/>
    </row>
    <row r="6" spans="1:15" x14ac:dyDescent="0.25">
      <c r="A6" s="135" t="s">
        <v>1691</v>
      </c>
      <c r="B6" s="135" t="s">
        <v>1692</v>
      </c>
      <c r="C6" s="136">
        <v>26</v>
      </c>
      <c r="D6" s="136">
        <v>0</v>
      </c>
      <c r="E6" s="502"/>
      <c r="F6" s="497"/>
      <c r="G6" s="497"/>
      <c r="H6" s="497"/>
      <c r="I6" s="497"/>
      <c r="J6" s="136"/>
      <c r="K6" s="136" t="s">
        <v>29</v>
      </c>
      <c r="L6" s="137">
        <v>43617</v>
      </c>
      <c r="M6" s="137"/>
      <c r="N6" s="137">
        <v>43617</v>
      </c>
      <c r="O6" s="137"/>
    </row>
    <row r="7" spans="1:15" x14ac:dyDescent="0.25">
      <c r="A7" s="135" t="s">
        <v>1693</v>
      </c>
      <c r="B7" s="135" t="s">
        <v>1694</v>
      </c>
      <c r="C7" s="136">
        <v>25</v>
      </c>
      <c r="D7" s="136">
        <v>0</v>
      </c>
      <c r="E7" s="502"/>
      <c r="F7" s="497"/>
      <c r="G7" s="497"/>
      <c r="H7" s="497"/>
      <c r="I7" s="497"/>
      <c r="J7" s="136"/>
      <c r="K7" s="136" t="s">
        <v>29</v>
      </c>
      <c r="L7" s="137">
        <v>43617</v>
      </c>
      <c r="M7" s="137"/>
      <c r="N7" s="137">
        <v>43617</v>
      </c>
      <c r="O7" s="137"/>
    </row>
    <row r="8" spans="1:15" x14ac:dyDescent="0.25">
      <c r="A8" s="135" t="s">
        <v>1695</v>
      </c>
      <c r="B8" s="135" t="s">
        <v>1696</v>
      </c>
      <c r="C8" s="136">
        <v>9</v>
      </c>
      <c r="D8" s="136">
        <v>0</v>
      </c>
      <c r="E8" s="502"/>
      <c r="F8" s="497"/>
      <c r="G8" s="497"/>
      <c r="H8" s="497"/>
      <c r="I8" s="497"/>
      <c r="J8" s="136" t="s">
        <v>29</v>
      </c>
      <c r="K8" s="136"/>
      <c r="L8" s="137">
        <v>42401</v>
      </c>
      <c r="M8" s="137"/>
      <c r="N8" s="137">
        <v>42430</v>
      </c>
      <c r="O8" s="137"/>
    </row>
    <row r="9" spans="1:15" s="29" customFormat="1" x14ac:dyDescent="0.25">
      <c r="A9" s="687" t="s">
        <v>1697</v>
      </c>
      <c r="B9" s="588" t="s">
        <v>1698</v>
      </c>
      <c r="C9" s="649">
        <v>0</v>
      </c>
      <c r="D9" s="649">
        <v>4</v>
      </c>
      <c r="E9" s="729" t="s">
        <v>1699</v>
      </c>
      <c r="F9" s="605">
        <v>1.25</v>
      </c>
      <c r="G9" s="605">
        <v>1.45</v>
      </c>
      <c r="H9" s="605">
        <v>1.45</v>
      </c>
      <c r="I9" s="605">
        <v>1.45</v>
      </c>
      <c r="J9" s="651"/>
      <c r="K9" s="651" t="s">
        <v>29</v>
      </c>
      <c r="L9" s="730">
        <v>45627</v>
      </c>
      <c r="M9" s="730"/>
      <c r="N9" s="730">
        <v>45658</v>
      </c>
      <c r="O9" s="730"/>
    </row>
    <row r="10" spans="1:15" s="29" customFormat="1" x14ac:dyDescent="0.25">
      <c r="A10" s="689" t="s">
        <v>1697</v>
      </c>
      <c r="B10" s="698" t="s">
        <v>1698</v>
      </c>
      <c r="C10" s="658">
        <v>0</v>
      </c>
      <c r="D10" s="658">
        <v>4</v>
      </c>
      <c r="E10" s="731" t="s">
        <v>1699</v>
      </c>
      <c r="F10" s="614">
        <v>1.1000000000000001</v>
      </c>
      <c r="G10" s="614">
        <v>1.1499999999999999</v>
      </c>
      <c r="H10" s="614">
        <v>1.1499999999999999</v>
      </c>
      <c r="I10" s="614">
        <v>1.1499999999999999</v>
      </c>
      <c r="J10" s="660"/>
      <c r="K10" s="660" t="s">
        <v>29</v>
      </c>
      <c r="L10" s="732">
        <v>43876</v>
      </c>
      <c r="M10" s="732">
        <v>45627</v>
      </c>
      <c r="N10" s="732">
        <v>43876</v>
      </c>
      <c r="O10" s="732">
        <v>45658</v>
      </c>
    </row>
    <row r="11" spans="1:15" x14ac:dyDescent="0.25">
      <c r="A11" s="588" t="s">
        <v>1700</v>
      </c>
      <c r="B11" s="588" t="s">
        <v>1701</v>
      </c>
      <c r="C11" s="586">
        <v>26</v>
      </c>
      <c r="D11" s="586">
        <v>26</v>
      </c>
      <c r="E11" s="733" t="s">
        <v>1702</v>
      </c>
      <c r="F11" s="605">
        <v>1.35</v>
      </c>
      <c r="G11" s="605">
        <v>1.6</v>
      </c>
      <c r="H11" s="605">
        <v>1.6</v>
      </c>
      <c r="I11" s="605">
        <v>1.55</v>
      </c>
      <c r="J11" s="594"/>
      <c r="K11" s="594" t="s">
        <v>29</v>
      </c>
      <c r="L11" s="730">
        <v>45627</v>
      </c>
      <c r="M11" s="730"/>
      <c r="N11" s="730">
        <v>45658</v>
      </c>
      <c r="O11" s="730"/>
    </row>
    <row r="12" spans="1:15" s="29" customFormat="1" x14ac:dyDescent="0.25">
      <c r="A12" s="698" t="s">
        <v>1700</v>
      </c>
      <c r="B12" s="698" t="s">
        <v>1701</v>
      </c>
      <c r="C12" s="737">
        <v>26</v>
      </c>
      <c r="D12" s="737">
        <v>26</v>
      </c>
      <c r="E12" s="738" t="s">
        <v>1702</v>
      </c>
      <c r="F12" s="614">
        <v>1.2</v>
      </c>
      <c r="G12" s="614">
        <v>1.25</v>
      </c>
      <c r="H12" s="614">
        <v>1.25</v>
      </c>
      <c r="I12" s="614">
        <v>1.25</v>
      </c>
      <c r="J12" s="640"/>
      <c r="K12" s="640" t="s">
        <v>29</v>
      </c>
      <c r="L12" s="732">
        <v>43876</v>
      </c>
      <c r="M12" s="732">
        <v>45627</v>
      </c>
      <c r="N12" s="732">
        <v>43876</v>
      </c>
      <c r="O12" s="732">
        <v>45658</v>
      </c>
    </row>
    <row r="13" spans="1:15" x14ac:dyDescent="0.25">
      <c r="A13" s="588" t="s">
        <v>1703</v>
      </c>
      <c r="B13" s="734" t="s">
        <v>1704</v>
      </c>
      <c r="C13" s="594">
        <v>0</v>
      </c>
      <c r="D13" s="594">
        <v>6</v>
      </c>
      <c r="E13" s="733" t="s">
        <v>1702</v>
      </c>
      <c r="F13" s="735">
        <v>1.35</v>
      </c>
      <c r="G13" s="735">
        <v>1.6</v>
      </c>
      <c r="H13" s="735">
        <v>1.6</v>
      </c>
      <c r="I13" s="735">
        <v>1.55</v>
      </c>
      <c r="J13" s="594"/>
      <c r="K13" s="594" t="s">
        <v>29</v>
      </c>
      <c r="L13" s="736">
        <v>45627</v>
      </c>
      <c r="M13" s="736"/>
      <c r="N13" s="736">
        <v>45658</v>
      </c>
      <c r="O13" s="736"/>
    </row>
    <row r="14" spans="1:15" s="134" customFormat="1" x14ac:dyDescent="0.25">
      <c r="A14" s="698" t="s">
        <v>1703</v>
      </c>
      <c r="B14" s="739" t="s">
        <v>1704</v>
      </c>
      <c r="C14" s="640">
        <v>0</v>
      </c>
      <c r="D14" s="640">
        <v>6</v>
      </c>
      <c r="E14" s="738" t="s">
        <v>1702</v>
      </c>
      <c r="F14" s="740">
        <v>1.2</v>
      </c>
      <c r="G14" s="740">
        <v>1.25</v>
      </c>
      <c r="H14" s="740">
        <v>1.25</v>
      </c>
      <c r="I14" s="740">
        <v>1.25</v>
      </c>
      <c r="J14" s="640"/>
      <c r="K14" s="640" t="s">
        <v>29</v>
      </c>
      <c r="L14" s="741">
        <v>43876</v>
      </c>
      <c r="M14" s="741">
        <v>45627</v>
      </c>
      <c r="N14" s="741">
        <v>43876</v>
      </c>
      <c r="O14" s="741">
        <v>45658</v>
      </c>
    </row>
    <row r="15" spans="1:15" x14ac:dyDescent="0.25">
      <c r="A15" s="588" t="s">
        <v>1705</v>
      </c>
      <c r="B15" s="734" t="s">
        <v>1706</v>
      </c>
      <c r="C15" s="594">
        <v>0</v>
      </c>
      <c r="D15" s="594">
        <v>6</v>
      </c>
      <c r="E15" s="733" t="s">
        <v>1702</v>
      </c>
      <c r="F15" s="735">
        <v>1.35</v>
      </c>
      <c r="G15" s="735">
        <v>1.6</v>
      </c>
      <c r="H15" s="735">
        <v>1.6</v>
      </c>
      <c r="I15" s="735">
        <v>1.55</v>
      </c>
      <c r="J15" s="594"/>
      <c r="K15" s="594" t="s">
        <v>29</v>
      </c>
      <c r="L15" s="736">
        <v>45627</v>
      </c>
      <c r="M15" s="736"/>
      <c r="N15" s="736">
        <v>45658</v>
      </c>
      <c r="O15" s="736"/>
    </row>
    <row r="16" spans="1:15" s="134" customFormat="1" x14ac:dyDescent="0.25">
      <c r="A16" s="698" t="s">
        <v>1705</v>
      </c>
      <c r="B16" s="739" t="s">
        <v>1706</v>
      </c>
      <c r="C16" s="640">
        <v>0</v>
      </c>
      <c r="D16" s="640">
        <v>6</v>
      </c>
      <c r="E16" s="738" t="s">
        <v>1702</v>
      </c>
      <c r="F16" s="740">
        <v>1.2</v>
      </c>
      <c r="G16" s="740">
        <v>1.25</v>
      </c>
      <c r="H16" s="740">
        <v>1.25</v>
      </c>
      <c r="I16" s="740">
        <v>1.25</v>
      </c>
      <c r="J16" s="640"/>
      <c r="K16" s="640" t="s">
        <v>29</v>
      </c>
      <c r="L16" s="741">
        <v>43876</v>
      </c>
      <c r="M16" s="741">
        <v>45627</v>
      </c>
      <c r="N16" s="741">
        <v>43876</v>
      </c>
      <c r="O16" s="741">
        <v>45658</v>
      </c>
    </row>
    <row r="17" spans="1:15" x14ac:dyDescent="0.25">
      <c r="A17" s="135" t="s">
        <v>1707</v>
      </c>
      <c r="B17" s="499" t="s">
        <v>1708</v>
      </c>
      <c r="C17" s="136">
        <v>9</v>
      </c>
      <c r="D17" s="136">
        <v>0</v>
      </c>
      <c r="E17" s="502"/>
      <c r="F17" s="497"/>
      <c r="G17" s="497"/>
      <c r="H17" s="497"/>
      <c r="I17" s="497"/>
      <c r="J17" s="136" t="s">
        <v>29</v>
      </c>
      <c r="K17" s="136"/>
      <c r="L17" s="137">
        <v>43617</v>
      </c>
      <c r="M17" s="137"/>
      <c r="N17" s="137">
        <v>43617</v>
      </c>
      <c r="O17" s="137"/>
    </row>
    <row r="18" spans="1:15" s="67" customFormat="1" x14ac:dyDescent="0.25">
      <c r="A18" s="135" t="s">
        <v>1709</v>
      </c>
      <c r="B18" s="499" t="s">
        <v>1710</v>
      </c>
      <c r="C18" s="136">
        <v>26</v>
      </c>
      <c r="D18" s="136">
        <v>0</v>
      </c>
      <c r="E18" s="503"/>
      <c r="F18" s="497"/>
      <c r="G18" s="497"/>
      <c r="H18" s="497"/>
      <c r="I18" s="497"/>
      <c r="J18" s="136" t="s">
        <v>29</v>
      </c>
      <c r="K18" s="136"/>
      <c r="L18" s="137">
        <v>43617</v>
      </c>
      <c r="M18" s="137"/>
      <c r="N18" s="137">
        <v>43617</v>
      </c>
      <c r="O18" s="137"/>
    </row>
    <row r="19" spans="1:15" s="67" customFormat="1" x14ac:dyDescent="0.25">
      <c r="A19" s="135" t="s">
        <v>1711</v>
      </c>
      <c r="B19" s="499" t="s">
        <v>1712</v>
      </c>
      <c r="C19" s="136">
        <v>9</v>
      </c>
      <c r="D19" s="136">
        <v>0</v>
      </c>
      <c r="E19" s="503"/>
      <c r="F19" s="497"/>
      <c r="G19" s="497"/>
      <c r="H19" s="497"/>
      <c r="I19" s="497"/>
      <c r="J19" s="136" t="s">
        <v>29</v>
      </c>
      <c r="K19" s="136"/>
      <c r="L19" s="137">
        <v>43617</v>
      </c>
      <c r="M19" s="137"/>
      <c r="N19" s="137">
        <v>43617</v>
      </c>
      <c r="O19" s="137"/>
    </row>
    <row r="20" spans="1:15" s="67" customFormat="1" x14ac:dyDescent="0.25">
      <c r="A20" s="135" t="s">
        <v>1713</v>
      </c>
      <c r="B20" s="499" t="s">
        <v>1714</v>
      </c>
      <c r="C20" s="136">
        <v>26</v>
      </c>
      <c r="D20" s="136">
        <v>0</v>
      </c>
      <c r="E20" s="502"/>
      <c r="F20" s="497"/>
      <c r="G20" s="497"/>
      <c r="H20" s="497"/>
      <c r="I20" s="497"/>
      <c r="J20" s="136" t="s">
        <v>29</v>
      </c>
      <c r="K20" s="136"/>
      <c r="L20" s="137">
        <v>43617</v>
      </c>
      <c r="M20" s="137"/>
      <c r="N20" s="137">
        <v>43617</v>
      </c>
      <c r="O20" s="137"/>
    </row>
    <row r="21" spans="1:15" s="67" customFormat="1" x14ac:dyDescent="0.25">
      <c r="A21" s="135" t="s">
        <v>1715</v>
      </c>
      <c r="B21" s="499" t="s">
        <v>1716</v>
      </c>
      <c r="C21" s="136">
        <v>25</v>
      </c>
      <c r="D21" s="136">
        <v>0</v>
      </c>
      <c r="E21" s="502"/>
      <c r="F21" s="497"/>
      <c r="G21" s="497"/>
      <c r="H21" s="497"/>
      <c r="I21" s="497"/>
      <c r="J21" s="136"/>
      <c r="K21" s="136" t="s">
        <v>29</v>
      </c>
      <c r="L21" s="137">
        <v>43617</v>
      </c>
      <c r="M21" s="137"/>
      <c r="N21" s="137">
        <v>43617</v>
      </c>
      <c r="O21" s="137"/>
    </row>
    <row r="22" spans="1:15" x14ac:dyDescent="0.25">
      <c r="A22" s="135" t="s">
        <v>1717</v>
      </c>
      <c r="B22" s="499" t="s">
        <v>1718</v>
      </c>
      <c r="C22" s="138">
        <v>9</v>
      </c>
      <c r="D22" s="136">
        <v>0</v>
      </c>
      <c r="E22" s="504"/>
      <c r="F22" s="497"/>
      <c r="G22" s="497"/>
      <c r="H22" s="497"/>
      <c r="I22" s="497"/>
      <c r="J22" s="136" t="s">
        <v>29</v>
      </c>
      <c r="K22" s="136"/>
      <c r="L22" s="137">
        <v>42401</v>
      </c>
      <c r="M22" s="137"/>
      <c r="N22" s="137">
        <v>42430</v>
      </c>
      <c r="O22" s="137"/>
    </row>
    <row r="23" spans="1:15" s="67" customFormat="1" x14ac:dyDescent="0.25">
      <c r="A23" s="135" t="s">
        <v>1719</v>
      </c>
      <c r="B23" s="499" t="s">
        <v>1720</v>
      </c>
      <c r="C23" s="138">
        <v>9</v>
      </c>
      <c r="D23" s="138">
        <v>0</v>
      </c>
      <c r="E23" s="502"/>
      <c r="F23" s="497"/>
      <c r="G23" s="497"/>
      <c r="H23" s="497"/>
      <c r="I23" s="497"/>
      <c r="J23" s="136" t="s">
        <v>29</v>
      </c>
      <c r="K23" s="136"/>
      <c r="L23" s="176">
        <v>42401</v>
      </c>
      <c r="M23" s="176"/>
      <c r="N23" s="176">
        <v>42430</v>
      </c>
      <c r="O23" s="176"/>
    </row>
    <row r="24" spans="1:15" s="67" customFormat="1" x14ac:dyDescent="0.25">
      <c r="A24" s="135" t="s">
        <v>1721</v>
      </c>
      <c r="B24" s="135" t="s">
        <v>1722</v>
      </c>
      <c r="C24" s="138">
        <v>9</v>
      </c>
      <c r="D24" s="138">
        <v>0</v>
      </c>
      <c r="E24" s="502"/>
      <c r="F24" s="497"/>
      <c r="G24" s="497"/>
      <c r="H24" s="497"/>
      <c r="I24" s="497"/>
      <c r="J24" s="136" t="s">
        <v>29</v>
      </c>
      <c r="K24" s="136"/>
      <c r="L24" s="176">
        <v>42401</v>
      </c>
      <c r="M24" s="176"/>
      <c r="N24" s="176">
        <v>42430</v>
      </c>
      <c r="O24" s="176"/>
    </row>
    <row r="25" spans="1:15" s="67" customFormat="1" x14ac:dyDescent="0.25">
      <c r="A25" s="135" t="s">
        <v>1723</v>
      </c>
      <c r="B25" s="135" t="s">
        <v>1724</v>
      </c>
      <c r="C25" s="138">
        <v>9</v>
      </c>
      <c r="D25" s="138">
        <v>0</v>
      </c>
      <c r="E25" s="502"/>
      <c r="F25" s="497"/>
      <c r="G25" s="497"/>
      <c r="H25" s="497"/>
      <c r="I25" s="497"/>
      <c r="J25" s="136" t="s">
        <v>29</v>
      </c>
      <c r="K25" s="136"/>
      <c r="L25" s="176">
        <v>42401</v>
      </c>
      <c r="M25" s="176"/>
      <c r="N25" s="176">
        <v>42430</v>
      </c>
      <c r="O25" s="176"/>
    </row>
    <row r="26" spans="1:15" s="67" customFormat="1" x14ac:dyDescent="0.25">
      <c r="A26" s="135" t="s">
        <v>1725</v>
      </c>
      <c r="B26" s="135" t="s">
        <v>1726</v>
      </c>
      <c r="C26" s="138">
        <v>9</v>
      </c>
      <c r="D26" s="138">
        <v>0</v>
      </c>
      <c r="E26" s="502" t="s">
        <v>1727</v>
      </c>
      <c r="F26" s="497"/>
      <c r="G26" s="497"/>
      <c r="H26" s="497"/>
      <c r="I26" s="497"/>
      <c r="J26" s="136"/>
      <c r="K26" s="136"/>
      <c r="L26" s="176">
        <v>42401</v>
      </c>
      <c r="M26" s="176"/>
      <c r="N26" s="176">
        <v>42430</v>
      </c>
      <c r="O26" s="176"/>
    </row>
    <row r="27" spans="1:15" s="67" customFormat="1" x14ac:dyDescent="0.25">
      <c r="A27" s="135" t="s">
        <v>1728</v>
      </c>
      <c r="B27" s="135" t="s">
        <v>1729</v>
      </c>
      <c r="C27" s="138">
        <v>9</v>
      </c>
      <c r="D27" s="138">
        <v>3</v>
      </c>
      <c r="E27" s="502" t="s">
        <v>1730</v>
      </c>
      <c r="F27" s="497"/>
      <c r="G27" s="497">
        <v>1.1499999999999999</v>
      </c>
      <c r="H27" s="497">
        <v>1.1499999999999999</v>
      </c>
      <c r="I27" s="497">
        <v>1.25</v>
      </c>
      <c r="J27" s="136" t="s">
        <v>29</v>
      </c>
      <c r="K27" s="136"/>
      <c r="L27" s="176">
        <v>43876</v>
      </c>
      <c r="M27" s="176"/>
      <c r="N27" s="176">
        <v>43876</v>
      </c>
      <c r="O27" s="176"/>
    </row>
    <row r="28" spans="1:15" s="67" customFormat="1" x14ac:dyDescent="0.25">
      <c r="A28" s="135" t="s">
        <v>1731</v>
      </c>
      <c r="B28" s="135" t="s">
        <v>1732</v>
      </c>
      <c r="C28" s="138">
        <v>9</v>
      </c>
      <c r="D28" s="138">
        <v>3</v>
      </c>
      <c r="E28" s="502" t="s">
        <v>1730</v>
      </c>
      <c r="F28" s="497"/>
      <c r="G28" s="497">
        <v>1.1499999999999999</v>
      </c>
      <c r="H28" s="497">
        <v>1.1499999999999999</v>
      </c>
      <c r="I28" s="497">
        <v>1.25</v>
      </c>
      <c r="J28" s="136" t="s">
        <v>29</v>
      </c>
      <c r="K28" s="136"/>
      <c r="L28" s="176">
        <v>43876</v>
      </c>
      <c r="M28" s="176"/>
      <c r="N28" s="176">
        <v>43876</v>
      </c>
      <c r="O28" s="176"/>
    </row>
    <row r="29" spans="1:15" x14ac:dyDescent="0.25">
      <c r="A29" s="139" t="s">
        <v>1733</v>
      </c>
      <c r="B29" s="139" t="s">
        <v>1734</v>
      </c>
      <c r="C29" s="140">
        <v>26</v>
      </c>
      <c r="D29" s="136">
        <v>26</v>
      </c>
      <c r="E29" s="505" t="s">
        <v>1730</v>
      </c>
      <c r="F29" s="495"/>
      <c r="G29" s="495">
        <v>1.1499999999999999</v>
      </c>
      <c r="H29" s="495">
        <v>1.1499999999999999</v>
      </c>
      <c r="I29" s="495">
        <v>1.25</v>
      </c>
      <c r="J29" s="140" t="s">
        <v>29</v>
      </c>
      <c r="K29" s="140"/>
      <c r="L29" s="137">
        <v>43876</v>
      </c>
      <c r="M29" s="137"/>
      <c r="N29" s="137">
        <v>43876</v>
      </c>
      <c r="O29" s="137"/>
    </row>
    <row r="30" spans="1:15" x14ac:dyDescent="0.25">
      <c r="A30" s="139" t="s">
        <v>1735</v>
      </c>
      <c r="B30" s="139" t="s">
        <v>1736</v>
      </c>
      <c r="C30" s="140">
        <v>0</v>
      </c>
      <c r="D30" s="136">
        <v>3</v>
      </c>
      <c r="E30" s="505" t="s">
        <v>1730</v>
      </c>
      <c r="F30" s="495"/>
      <c r="G30" s="495">
        <v>1.1499999999999999</v>
      </c>
      <c r="H30" s="495">
        <v>1.1499999999999999</v>
      </c>
      <c r="I30" s="495">
        <v>1.25</v>
      </c>
      <c r="J30" s="140" t="s">
        <v>29</v>
      </c>
      <c r="K30" s="140"/>
      <c r="L30" s="137">
        <v>43876</v>
      </c>
      <c r="M30" s="137"/>
      <c r="N30" s="137">
        <v>43876</v>
      </c>
      <c r="O30" s="137"/>
    </row>
    <row r="31" spans="1:15" x14ac:dyDescent="0.25">
      <c r="A31" s="139" t="s">
        <v>1737</v>
      </c>
      <c r="B31" s="139" t="s">
        <v>1738</v>
      </c>
      <c r="C31" s="140">
        <v>0</v>
      </c>
      <c r="D31" s="136">
        <v>3</v>
      </c>
      <c r="E31" s="505" t="s">
        <v>1730</v>
      </c>
      <c r="F31" s="495"/>
      <c r="G31" s="495">
        <v>1.1499999999999999</v>
      </c>
      <c r="H31" s="495">
        <v>1.1499999999999999</v>
      </c>
      <c r="I31" s="495">
        <v>1.25</v>
      </c>
      <c r="J31" s="140"/>
      <c r="K31" s="140" t="s">
        <v>29</v>
      </c>
      <c r="L31" s="137">
        <v>43876</v>
      </c>
      <c r="M31" s="137"/>
      <c r="N31" s="137">
        <v>43876</v>
      </c>
      <c r="O31" s="137"/>
    </row>
    <row r="32" spans="1:15" x14ac:dyDescent="0.25">
      <c r="A32" s="139" t="s">
        <v>1739</v>
      </c>
      <c r="B32" s="139" t="s">
        <v>1740</v>
      </c>
      <c r="C32" s="140">
        <v>0</v>
      </c>
      <c r="D32" s="136">
        <v>3</v>
      </c>
      <c r="E32" s="505" t="s">
        <v>1730</v>
      </c>
      <c r="F32" s="495"/>
      <c r="G32" s="495">
        <v>1.1499999999999999</v>
      </c>
      <c r="H32" s="495">
        <v>1.1499999999999999</v>
      </c>
      <c r="I32" s="495">
        <v>1.25</v>
      </c>
      <c r="J32" s="140" t="s">
        <v>29</v>
      </c>
      <c r="K32" s="140"/>
      <c r="L32" s="137">
        <v>43876</v>
      </c>
      <c r="M32" s="137"/>
      <c r="N32" s="137">
        <v>43876</v>
      </c>
      <c r="O32" s="137"/>
    </row>
    <row r="33" spans="1:15" x14ac:dyDescent="0.25">
      <c r="A33" s="65" t="s">
        <v>1741</v>
      </c>
      <c r="B33" s="65" t="s">
        <v>1742</v>
      </c>
      <c r="C33" s="175">
        <v>26</v>
      </c>
      <c r="D33" s="175">
        <v>0</v>
      </c>
      <c r="E33" s="506"/>
      <c r="F33" s="157"/>
      <c r="G33" s="157"/>
      <c r="H33" s="157"/>
      <c r="I33" s="157"/>
      <c r="J33" s="175"/>
      <c r="K33" s="175" t="s">
        <v>29</v>
      </c>
      <c r="L33" s="176">
        <v>43617</v>
      </c>
      <c r="M33" s="176"/>
      <c r="N33" s="176">
        <v>43617</v>
      </c>
      <c r="O33" s="176"/>
    </row>
    <row r="34" spans="1:15" x14ac:dyDescent="0.25">
      <c r="A34" s="65" t="s">
        <v>1743</v>
      </c>
      <c r="B34" s="65" t="s">
        <v>1744</v>
      </c>
      <c r="C34" s="175">
        <v>1</v>
      </c>
      <c r="D34" s="175">
        <v>2</v>
      </c>
      <c r="E34" s="506"/>
      <c r="F34" s="157"/>
      <c r="G34" s="157"/>
      <c r="H34" s="157"/>
      <c r="I34" s="157"/>
      <c r="J34" s="175"/>
      <c r="K34" s="175" t="s">
        <v>29</v>
      </c>
      <c r="L34" s="176">
        <v>44509</v>
      </c>
      <c r="M34" s="176"/>
      <c r="N34" s="176">
        <v>44558</v>
      </c>
      <c r="O34" s="176"/>
    </row>
    <row r="35" spans="1:15" x14ac:dyDescent="0.25">
      <c r="A35" s="135" t="s">
        <v>1745</v>
      </c>
      <c r="B35" s="498" t="s">
        <v>1746</v>
      </c>
      <c r="C35" s="136">
        <v>1</v>
      </c>
      <c r="D35" s="136">
        <v>2</v>
      </c>
      <c r="E35" s="502"/>
      <c r="F35" s="497"/>
      <c r="G35" s="497"/>
      <c r="H35" s="497"/>
      <c r="I35" s="497"/>
      <c r="J35" s="136"/>
      <c r="K35" s="136" t="s">
        <v>29</v>
      </c>
      <c r="L35" s="137">
        <v>44509</v>
      </c>
      <c r="M35" s="137"/>
      <c r="N35" s="137">
        <v>44558</v>
      </c>
      <c r="O35" s="137"/>
    </row>
    <row r="36" spans="1:15" x14ac:dyDescent="0.25">
      <c r="A36" s="135" t="s">
        <v>1747</v>
      </c>
      <c r="B36" s="498" t="s">
        <v>1748</v>
      </c>
      <c r="C36" s="136">
        <v>1</v>
      </c>
      <c r="D36" s="136">
        <v>2</v>
      </c>
      <c r="E36" s="502"/>
      <c r="F36" s="497"/>
      <c r="G36" s="497"/>
      <c r="H36" s="497"/>
      <c r="I36" s="497"/>
      <c r="J36" s="136"/>
      <c r="K36" s="136" t="s">
        <v>29</v>
      </c>
      <c r="L36" s="137">
        <v>44509</v>
      </c>
      <c r="M36" s="137"/>
      <c r="N36" s="137">
        <v>44558</v>
      </c>
      <c r="O36" s="137"/>
    </row>
    <row r="37" spans="1:15" x14ac:dyDescent="0.25">
      <c r="A37" s="135" t="s">
        <v>1749</v>
      </c>
      <c r="B37" s="499" t="s">
        <v>1750</v>
      </c>
      <c r="C37" s="136">
        <v>25</v>
      </c>
      <c r="D37" s="136">
        <v>0</v>
      </c>
      <c r="E37" s="502"/>
      <c r="F37" s="497"/>
      <c r="G37" s="497"/>
      <c r="H37" s="497"/>
      <c r="I37" s="497"/>
      <c r="J37" s="136"/>
      <c r="K37" s="136" t="s">
        <v>29</v>
      </c>
      <c r="L37" s="137">
        <v>43377</v>
      </c>
      <c r="M37" s="137"/>
      <c r="N37" s="137">
        <v>43377</v>
      </c>
      <c r="O37" s="137"/>
    </row>
    <row r="38" spans="1:15" x14ac:dyDescent="0.25">
      <c r="A38" s="135" t="s">
        <v>1751</v>
      </c>
      <c r="B38" s="135" t="s">
        <v>1752</v>
      </c>
      <c r="C38" s="138">
        <v>25</v>
      </c>
      <c r="D38" s="136">
        <v>0</v>
      </c>
      <c r="E38" s="502"/>
      <c r="F38" s="497"/>
      <c r="G38" s="497"/>
      <c r="H38" s="497"/>
      <c r="I38" s="497"/>
      <c r="J38" s="141"/>
      <c r="K38" s="136" t="s">
        <v>29</v>
      </c>
      <c r="L38" s="137">
        <v>43377</v>
      </c>
      <c r="M38" s="137"/>
      <c r="N38" s="137">
        <v>43377</v>
      </c>
      <c r="O38" s="137"/>
    </row>
    <row r="39" spans="1:15" s="134" customFormat="1" x14ac:dyDescent="0.25">
      <c r="A39" s="698" t="s">
        <v>1753</v>
      </c>
      <c r="B39" s="792" t="s">
        <v>1754</v>
      </c>
      <c r="C39" s="640">
        <v>26</v>
      </c>
      <c r="D39" s="640">
        <v>0</v>
      </c>
      <c r="E39" s="738"/>
      <c r="F39" s="740"/>
      <c r="G39" s="740"/>
      <c r="H39" s="740"/>
      <c r="I39" s="740"/>
      <c r="J39" s="640"/>
      <c r="K39" s="640" t="s">
        <v>29</v>
      </c>
      <c r="L39" s="741">
        <v>43617</v>
      </c>
      <c r="M39" s="741">
        <v>45627</v>
      </c>
      <c r="N39" s="741">
        <v>43617</v>
      </c>
      <c r="O39" s="741">
        <v>45658</v>
      </c>
    </row>
    <row r="40" spans="1:15" x14ac:dyDescent="0.25">
      <c r="A40" s="588" t="s">
        <v>1753</v>
      </c>
      <c r="B40" s="791" t="s">
        <v>1754</v>
      </c>
      <c r="C40" s="594">
        <v>26</v>
      </c>
      <c r="D40" s="594">
        <v>0</v>
      </c>
      <c r="E40" s="733"/>
      <c r="F40" s="735"/>
      <c r="G40" s="735">
        <v>1.25</v>
      </c>
      <c r="H40" s="735">
        <v>1.25</v>
      </c>
      <c r="I40" s="735">
        <v>1.5</v>
      </c>
      <c r="J40" s="594"/>
      <c r="K40" s="594" t="s">
        <v>29</v>
      </c>
      <c r="L40" s="736">
        <v>45627</v>
      </c>
      <c r="M40" s="736"/>
      <c r="N40" s="736">
        <v>45658</v>
      </c>
      <c r="O40" s="736"/>
    </row>
    <row r="41" spans="1:15" s="29" customFormat="1" x14ac:dyDescent="0.25">
      <c r="A41" s="65" t="s">
        <v>1755</v>
      </c>
      <c r="B41" s="790" t="s">
        <v>1756</v>
      </c>
      <c r="C41" s="175">
        <v>26</v>
      </c>
      <c r="D41" s="175">
        <v>0</v>
      </c>
      <c r="E41" s="293"/>
      <c r="F41" s="157"/>
      <c r="G41" s="157"/>
      <c r="H41" s="157"/>
      <c r="I41" s="157"/>
      <c r="J41" s="175"/>
      <c r="K41" s="175" t="s">
        <v>29</v>
      </c>
      <c r="L41" s="176">
        <v>43617</v>
      </c>
      <c r="M41" s="176"/>
      <c r="N41" s="176">
        <v>43617</v>
      </c>
      <c r="O41" s="176"/>
    </row>
    <row r="42" spans="1:15" s="29" customFormat="1" x14ac:dyDescent="0.25">
      <c r="A42" s="689" t="s">
        <v>1757</v>
      </c>
      <c r="B42" s="689" t="s">
        <v>1758</v>
      </c>
      <c r="C42" s="658">
        <v>0</v>
      </c>
      <c r="D42" s="658">
        <v>4</v>
      </c>
      <c r="E42" s="731" t="s">
        <v>1759</v>
      </c>
      <c r="F42" s="614"/>
      <c r="G42" s="614">
        <v>1.25</v>
      </c>
      <c r="H42" s="614">
        <v>1.25</v>
      </c>
      <c r="I42" s="614">
        <v>2</v>
      </c>
      <c r="J42" s="660"/>
      <c r="K42" s="660" t="s">
        <v>29</v>
      </c>
      <c r="L42" s="732">
        <v>43876</v>
      </c>
      <c r="M42" s="732">
        <v>45627</v>
      </c>
      <c r="N42" s="732">
        <v>43876</v>
      </c>
      <c r="O42" s="732">
        <v>45658</v>
      </c>
    </row>
    <row r="43" spans="1:15" s="67" customFormat="1" x14ac:dyDescent="0.25">
      <c r="A43" s="687" t="s">
        <v>1757</v>
      </c>
      <c r="B43" s="687" t="s">
        <v>1758</v>
      </c>
      <c r="C43" s="649">
        <v>0</v>
      </c>
      <c r="D43" s="649">
        <v>4</v>
      </c>
      <c r="E43" s="729" t="s">
        <v>1759</v>
      </c>
      <c r="F43" s="605"/>
      <c r="G43" s="605">
        <v>1.25</v>
      </c>
      <c r="H43" s="605">
        <v>1.25</v>
      </c>
      <c r="I43" s="605">
        <v>1.5</v>
      </c>
      <c r="J43" s="651"/>
      <c r="K43" s="651" t="s">
        <v>29</v>
      </c>
      <c r="L43" s="730">
        <v>45627</v>
      </c>
      <c r="M43" s="730"/>
      <c r="N43" s="730">
        <v>45658</v>
      </c>
      <c r="O43" s="730"/>
    </row>
    <row r="44" spans="1:15" s="67" customFormat="1" x14ac:dyDescent="0.25">
      <c r="A44" s="65" t="s">
        <v>1760</v>
      </c>
      <c r="B44" s="65" t="s">
        <v>1761</v>
      </c>
      <c r="C44" s="177">
        <v>26</v>
      </c>
      <c r="D44" s="177">
        <v>0</v>
      </c>
      <c r="E44" s="293"/>
      <c r="F44" s="157"/>
      <c r="G44" s="157"/>
      <c r="H44" s="157"/>
      <c r="I44" s="157"/>
      <c r="J44" s="175"/>
      <c r="K44" s="175" t="s">
        <v>29</v>
      </c>
      <c r="L44" s="176">
        <v>43617</v>
      </c>
      <c r="M44" s="176"/>
      <c r="N44" s="176">
        <v>43617</v>
      </c>
      <c r="O44" s="176"/>
    </row>
    <row r="45" spans="1:15" s="29" customFormat="1" x14ac:dyDescent="0.25">
      <c r="A45" s="687" t="s">
        <v>1762</v>
      </c>
      <c r="B45" s="687" t="s">
        <v>1763</v>
      </c>
      <c r="C45" s="649">
        <v>25</v>
      </c>
      <c r="D45" s="649">
        <v>0</v>
      </c>
      <c r="E45" s="729" t="s">
        <v>1764</v>
      </c>
      <c r="F45" s="605">
        <v>1.05</v>
      </c>
      <c r="G45" s="605">
        <v>1.1000000000000001</v>
      </c>
      <c r="H45" s="605">
        <v>1.1000000000000001</v>
      </c>
      <c r="I45" s="605">
        <v>1.1000000000000001</v>
      </c>
      <c r="J45" s="651"/>
      <c r="K45" s="651" t="s">
        <v>29</v>
      </c>
      <c r="L45" s="730">
        <v>45627</v>
      </c>
      <c r="M45" s="730"/>
      <c r="N45" s="730">
        <v>45658</v>
      </c>
      <c r="O45" s="730"/>
    </row>
    <row r="46" spans="1:15" s="29" customFormat="1" x14ac:dyDescent="0.25">
      <c r="A46" s="689" t="s">
        <v>1762</v>
      </c>
      <c r="B46" s="689" t="s">
        <v>1763</v>
      </c>
      <c r="C46" s="658">
        <v>25</v>
      </c>
      <c r="D46" s="658">
        <v>0</v>
      </c>
      <c r="E46" s="731" t="s">
        <v>1764</v>
      </c>
      <c r="F46" s="614"/>
      <c r="G46" s="614"/>
      <c r="H46" s="614"/>
      <c r="I46" s="614"/>
      <c r="J46" s="660"/>
      <c r="K46" s="660" t="s">
        <v>29</v>
      </c>
      <c r="L46" s="732">
        <v>43085</v>
      </c>
      <c r="M46" s="732">
        <v>45627</v>
      </c>
      <c r="N46" s="732">
        <v>43085</v>
      </c>
      <c r="O46" s="732">
        <v>45658</v>
      </c>
    </row>
    <row r="47" spans="1:15" s="29" customFormat="1" x14ac:dyDescent="0.25">
      <c r="A47" s="689" t="s">
        <v>1765</v>
      </c>
      <c r="B47" s="689" t="s">
        <v>1766</v>
      </c>
      <c r="C47" s="658">
        <v>26</v>
      </c>
      <c r="D47" s="658">
        <v>0</v>
      </c>
      <c r="E47" s="731" t="s">
        <v>1767</v>
      </c>
      <c r="F47" s="614"/>
      <c r="G47" s="614"/>
      <c r="H47" s="614"/>
      <c r="I47" s="614"/>
      <c r="J47" s="660"/>
      <c r="K47" s="660" t="s">
        <v>29</v>
      </c>
      <c r="L47" s="732">
        <v>43617</v>
      </c>
      <c r="M47" s="732">
        <v>45627</v>
      </c>
      <c r="N47" s="732">
        <v>43617</v>
      </c>
      <c r="O47" s="732">
        <v>45658</v>
      </c>
    </row>
    <row r="48" spans="1:15" s="29" customFormat="1" x14ac:dyDescent="0.25">
      <c r="A48" s="687" t="s">
        <v>1765</v>
      </c>
      <c r="B48" s="687" t="s">
        <v>1766</v>
      </c>
      <c r="C48" s="649">
        <v>17</v>
      </c>
      <c r="D48" s="649">
        <v>17</v>
      </c>
      <c r="E48" s="729" t="s">
        <v>1767</v>
      </c>
      <c r="F48" s="605"/>
      <c r="G48" s="605">
        <v>1.25</v>
      </c>
      <c r="H48" s="605">
        <v>1.25</v>
      </c>
      <c r="I48" s="605">
        <v>1.5</v>
      </c>
      <c r="J48" s="651"/>
      <c r="K48" s="651" t="s">
        <v>29</v>
      </c>
      <c r="L48" s="730">
        <v>45627</v>
      </c>
      <c r="M48" s="730"/>
      <c r="N48" s="730">
        <v>45658</v>
      </c>
      <c r="O48" s="730"/>
    </row>
    <row r="49" spans="1:15" s="29" customFormat="1" x14ac:dyDescent="0.25">
      <c r="A49" s="689" t="s">
        <v>1768</v>
      </c>
      <c r="B49" s="689" t="s">
        <v>1769</v>
      </c>
      <c r="C49" s="658">
        <v>9</v>
      </c>
      <c r="D49" s="658">
        <v>0</v>
      </c>
      <c r="E49" s="731" t="s">
        <v>1767</v>
      </c>
      <c r="F49" s="614"/>
      <c r="G49" s="614"/>
      <c r="H49" s="614"/>
      <c r="I49" s="614"/>
      <c r="J49" s="660"/>
      <c r="K49" s="660" t="s">
        <v>29</v>
      </c>
      <c r="L49" s="732">
        <v>43327</v>
      </c>
      <c r="M49" s="732">
        <v>45627</v>
      </c>
      <c r="N49" s="732">
        <v>43358</v>
      </c>
      <c r="O49" s="732">
        <v>45658</v>
      </c>
    </row>
    <row r="50" spans="1:15" s="67" customFormat="1" x14ac:dyDescent="0.25">
      <c r="A50" s="687" t="s">
        <v>1770</v>
      </c>
      <c r="B50" s="687" t="s">
        <v>1771</v>
      </c>
      <c r="C50" s="649">
        <v>9</v>
      </c>
      <c r="D50" s="649">
        <v>9</v>
      </c>
      <c r="E50" s="729"/>
      <c r="F50" s="605"/>
      <c r="G50" s="605">
        <v>1.1499999999999999</v>
      </c>
      <c r="H50" s="605">
        <v>1.1499999999999999</v>
      </c>
      <c r="I50" s="605">
        <v>1.1000000000000001</v>
      </c>
      <c r="J50" s="651"/>
      <c r="K50" s="651" t="s">
        <v>29</v>
      </c>
      <c r="L50" s="730">
        <v>45627</v>
      </c>
      <c r="M50" s="730"/>
      <c r="N50" s="730">
        <v>45658</v>
      </c>
      <c r="O50" s="730"/>
    </row>
    <row r="51" spans="1:15" s="67" customFormat="1" x14ac:dyDescent="0.25">
      <c r="A51" s="65" t="s">
        <v>1772</v>
      </c>
      <c r="B51" s="65" t="s">
        <v>1773</v>
      </c>
      <c r="C51" s="177">
        <v>0</v>
      </c>
      <c r="D51" s="177">
        <v>7</v>
      </c>
      <c r="E51" s="293" t="s">
        <v>1774</v>
      </c>
      <c r="F51" s="157">
        <v>1.7</v>
      </c>
      <c r="G51" s="157">
        <v>1.35</v>
      </c>
      <c r="H51" s="157">
        <v>1.35</v>
      </c>
      <c r="I51" s="157">
        <v>2</v>
      </c>
      <c r="J51" s="175" t="s">
        <v>29</v>
      </c>
      <c r="K51" s="175"/>
      <c r="L51" s="176">
        <v>43876</v>
      </c>
      <c r="M51" s="176"/>
      <c r="N51" s="176">
        <v>43876</v>
      </c>
      <c r="O51" s="176"/>
    </row>
    <row r="52" spans="1:15" s="67" customFormat="1" x14ac:dyDescent="0.25">
      <c r="A52" s="65" t="s">
        <v>1775</v>
      </c>
      <c r="B52" s="65" t="s">
        <v>1776</v>
      </c>
      <c r="C52" s="177">
        <v>0</v>
      </c>
      <c r="D52" s="177">
        <v>7</v>
      </c>
      <c r="E52" s="293" t="s">
        <v>1777</v>
      </c>
      <c r="F52" s="157">
        <v>1.375</v>
      </c>
      <c r="G52" s="157">
        <v>1.25</v>
      </c>
      <c r="H52" s="157">
        <v>1.25</v>
      </c>
      <c r="I52" s="157">
        <v>1.75</v>
      </c>
      <c r="J52" s="175" t="s">
        <v>29</v>
      </c>
      <c r="K52" s="175"/>
      <c r="L52" s="176">
        <v>43876</v>
      </c>
      <c r="M52" s="176"/>
      <c r="N52" s="176">
        <v>43876</v>
      </c>
      <c r="O52" s="176"/>
    </row>
    <row r="53" spans="1:15" s="67" customFormat="1" x14ac:dyDescent="0.25">
      <c r="A53" s="65" t="s">
        <v>1778</v>
      </c>
      <c r="B53" s="65" t="s">
        <v>1779</v>
      </c>
      <c r="C53" s="177">
        <v>0</v>
      </c>
      <c r="D53" s="177">
        <v>6</v>
      </c>
      <c r="E53" s="293" t="s">
        <v>1780</v>
      </c>
      <c r="F53" s="157">
        <v>1</v>
      </c>
      <c r="G53" s="157">
        <v>1</v>
      </c>
      <c r="H53" s="157">
        <v>1</v>
      </c>
      <c r="I53" s="157">
        <v>1</v>
      </c>
      <c r="J53" s="175" t="s">
        <v>29</v>
      </c>
      <c r="K53" s="175"/>
      <c r="L53" s="176">
        <v>43876</v>
      </c>
      <c r="M53" s="176"/>
      <c r="N53" s="176">
        <v>43876</v>
      </c>
      <c r="O53" s="176"/>
    </row>
    <row r="54" spans="1:15" s="67" customFormat="1" x14ac:dyDescent="0.25">
      <c r="A54" s="65" t="s">
        <v>1781</v>
      </c>
      <c r="B54" s="65" t="s">
        <v>1782</v>
      </c>
      <c r="C54" s="177">
        <v>0</v>
      </c>
      <c r="D54" s="177">
        <v>7</v>
      </c>
      <c r="E54" s="293" t="s">
        <v>1783</v>
      </c>
      <c r="F54" s="157">
        <v>1</v>
      </c>
      <c r="G54" s="157">
        <v>1</v>
      </c>
      <c r="H54" s="157">
        <v>1</v>
      </c>
      <c r="I54" s="157">
        <v>1.5</v>
      </c>
      <c r="J54" s="175" t="s">
        <v>29</v>
      </c>
      <c r="K54" s="175"/>
      <c r="L54" s="176">
        <v>43876</v>
      </c>
      <c r="M54" s="176"/>
      <c r="N54" s="176">
        <v>43876</v>
      </c>
      <c r="O54" s="176"/>
    </row>
    <row r="55" spans="1:15" s="67" customFormat="1" x14ac:dyDescent="0.25">
      <c r="C55" s="76"/>
      <c r="D55" s="76"/>
      <c r="E55" s="42"/>
      <c r="F55" s="728"/>
      <c r="G55" s="728"/>
      <c r="H55" s="728"/>
      <c r="I55" s="728"/>
      <c r="J55" s="77"/>
      <c r="K55" s="77"/>
      <c r="L55" s="265"/>
      <c r="M55" s="265"/>
      <c r="N55" s="265"/>
      <c r="O55" s="265"/>
    </row>
    <row r="56" spans="1:15" s="67" customFormat="1" x14ac:dyDescent="0.25">
      <c r="C56" s="76"/>
      <c r="D56" s="76"/>
      <c r="E56" s="42"/>
      <c r="F56" s="728"/>
      <c r="G56" s="728"/>
      <c r="H56" s="728"/>
      <c r="I56" s="728"/>
      <c r="J56" s="77"/>
      <c r="K56" s="77"/>
      <c r="L56" s="265"/>
      <c r="M56" s="265"/>
      <c r="N56" s="265"/>
      <c r="O56" s="265"/>
    </row>
    <row r="57" spans="1:15" s="67" customFormat="1" x14ac:dyDescent="0.25">
      <c r="C57" s="76"/>
      <c r="D57" s="76"/>
      <c r="E57" s="42"/>
      <c r="F57" s="728"/>
      <c r="G57" s="728"/>
      <c r="H57" s="728"/>
      <c r="I57" s="728"/>
      <c r="J57" s="77"/>
      <c r="K57" s="77"/>
      <c r="L57" s="265"/>
      <c r="M57" s="265"/>
      <c r="N57" s="265"/>
      <c r="O57" s="265"/>
    </row>
    <row r="58" spans="1:15" s="67" customFormat="1" x14ac:dyDescent="0.25">
      <c r="C58" s="77"/>
      <c r="D58" s="77"/>
      <c r="F58" s="77"/>
      <c r="G58" s="77"/>
      <c r="H58" s="77"/>
      <c r="I58" s="77"/>
      <c r="J58" s="77"/>
      <c r="K58" s="77"/>
      <c r="L58" s="265"/>
      <c r="M58" s="265"/>
      <c r="N58" s="265"/>
      <c r="O58" s="265"/>
    </row>
    <row r="59" spans="1:15" s="67" customFormat="1" ht="13" thickBot="1" x14ac:dyDescent="0.3">
      <c r="C59" s="77"/>
      <c r="D59" s="77"/>
      <c r="F59" s="77"/>
      <c r="G59" s="77"/>
      <c r="H59" s="77"/>
      <c r="I59" s="77"/>
      <c r="J59" s="77"/>
      <c r="K59" s="77"/>
      <c r="L59" s="265"/>
      <c r="M59" s="265"/>
      <c r="N59" s="265"/>
      <c r="O59" s="265"/>
    </row>
    <row r="60" spans="1:15" ht="14" x14ac:dyDescent="0.3">
      <c r="B60" s="135" t="s">
        <v>1784</v>
      </c>
      <c r="E60" s="742" t="s">
        <v>1785</v>
      </c>
      <c r="F60" s="743" t="s">
        <v>1786</v>
      </c>
      <c r="G60" s="743" t="s">
        <v>1787</v>
      </c>
      <c r="H60" s="338" t="s">
        <v>1788</v>
      </c>
    </row>
    <row r="61" spans="1:15" ht="13" x14ac:dyDescent="0.3">
      <c r="B61" s="135" t="s">
        <v>1789</v>
      </c>
      <c r="E61" s="225" t="s">
        <v>1790</v>
      </c>
      <c r="F61" s="136"/>
      <c r="G61" s="136"/>
      <c r="H61" s="314"/>
    </row>
    <row r="62" spans="1:15" ht="50" x14ac:dyDescent="0.25">
      <c r="B62" s="135" t="s">
        <v>1791</v>
      </c>
      <c r="E62" s="744" t="s">
        <v>1792</v>
      </c>
      <c r="F62" s="745" t="s">
        <v>29</v>
      </c>
      <c r="G62" s="745"/>
      <c r="H62" s="746" t="s">
        <v>47</v>
      </c>
    </row>
    <row r="63" spans="1:15" ht="13" x14ac:dyDescent="0.3">
      <c r="B63" s="135" t="s">
        <v>548</v>
      </c>
      <c r="E63" s="225" t="s">
        <v>1793</v>
      </c>
      <c r="F63" s="136" t="s">
        <v>29</v>
      </c>
      <c r="G63" s="136"/>
      <c r="H63" s="314"/>
    </row>
    <row r="64" spans="1:15" ht="13" x14ac:dyDescent="0.3">
      <c r="B64" s="135" t="s">
        <v>1794</v>
      </c>
      <c r="E64" s="225" t="s">
        <v>1795</v>
      </c>
      <c r="F64" s="136"/>
      <c r="G64" s="136"/>
      <c r="H64" s="314"/>
    </row>
    <row r="65" spans="2:8" ht="13.5" thickBot="1" x14ac:dyDescent="0.35">
      <c r="B65" s="135" t="s">
        <v>1796</v>
      </c>
      <c r="E65" s="229" t="s">
        <v>1797</v>
      </c>
      <c r="F65" s="315"/>
      <c r="G65" s="315"/>
      <c r="H65" s="316"/>
    </row>
    <row r="66" spans="2:8" x14ac:dyDescent="0.25">
      <c r="B66" s="142" t="s">
        <v>1798</v>
      </c>
    </row>
    <row r="67" spans="2:8" x14ac:dyDescent="0.25">
      <c r="B67" s="135" t="s">
        <v>1799</v>
      </c>
    </row>
    <row r="68" spans="2:8" x14ac:dyDescent="0.25">
      <c r="B68" s="135" t="s">
        <v>1800</v>
      </c>
    </row>
    <row r="69" spans="2:8" x14ac:dyDescent="0.25">
      <c r="B69" s="135" t="s">
        <v>1801</v>
      </c>
    </row>
    <row r="70" spans="2:8" x14ac:dyDescent="0.25">
      <c r="B70" s="135" t="s">
        <v>1802</v>
      </c>
    </row>
    <row r="71" spans="2:8" x14ac:dyDescent="0.25">
      <c r="B71" s="135" t="s">
        <v>1803</v>
      </c>
    </row>
    <row r="72" spans="2:8" x14ac:dyDescent="0.25">
      <c r="B72" s="135" t="s">
        <v>1804</v>
      </c>
    </row>
    <row r="73" spans="2:8" x14ac:dyDescent="0.25">
      <c r="B73" s="135" t="s">
        <v>1805</v>
      </c>
    </row>
    <row r="74" spans="2:8" x14ac:dyDescent="0.25">
      <c r="B74" s="135" t="s">
        <v>1806</v>
      </c>
    </row>
  </sheetData>
  <autoFilter ref="A1:O1" xr:uid="{00000000-0009-0000-0000-000019000000}">
    <sortState xmlns:xlrd2="http://schemas.microsoft.com/office/spreadsheetml/2017/richdata2" ref="A2:O40">
      <sortCondition ref="M1"/>
    </sortState>
  </autoFilter>
  <pageMargins left="0.7" right="0.7" top="0.75" bottom="0.75" header="0.3" footer="0.3"/>
  <pageSetup scale="51" orientation="landscape" r:id="rId1"/>
  <headerFooter>
    <oddFooter>&amp;F</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37678-26CC-4A58-BA52-D7D83B8BF2A9}">
  <dimension ref="A1:N118"/>
  <sheetViews>
    <sheetView topLeftCell="D1" zoomScale="72" workbookViewId="0">
      <selection activeCell="H21" sqref="H21"/>
    </sheetView>
  </sheetViews>
  <sheetFormatPr defaultRowHeight="12.5" x14ac:dyDescent="0.25"/>
  <cols>
    <col min="1" max="1" width="7.7265625" bestFit="1" customWidth="1"/>
    <col min="2" max="2" width="19.26953125" bestFit="1" customWidth="1"/>
    <col min="3" max="3" width="27.7265625" bestFit="1" customWidth="1"/>
    <col min="4" max="4" width="20.54296875" bestFit="1" customWidth="1"/>
    <col min="5" max="6" width="12.26953125" bestFit="1" customWidth="1"/>
    <col min="8" max="8" width="30.7265625" bestFit="1" customWidth="1"/>
    <col min="9" max="10" width="8.26953125" bestFit="1" customWidth="1"/>
    <col min="11" max="11" width="14" bestFit="1" customWidth="1"/>
    <col min="12" max="12" width="18" bestFit="1" customWidth="1"/>
    <col min="13" max="13" width="23.7265625" bestFit="1" customWidth="1"/>
    <col min="14" max="14" width="15.7265625" bestFit="1" customWidth="1"/>
  </cols>
  <sheetData>
    <row r="1" spans="1:14" ht="13" thickBot="1" x14ac:dyDescent="0.3">
      <c r="B1" s="1197" t="s">
        <v>1807</v>
      </c>
      <c r="C1" s="1198"/>
      <c r="D1" s="1198"/>
      <c r="E1" s="1198"/>
      <c r="F1" s="1199"/>
      <c r="G1" s="178" t="s">
        <v>1808</v>
      </c>
      <c r="H1" s="1200" t="s">
        <v>1809</v>
      </c>
      <c r="I1" s="1201"/>
      <c r="J1" s="1202"/>
    </row>
    <row r="2" spans="1:14" x14ac:dyDescent="0.25">
      <c r="A2" t="s">
        <v>525</v>
      </c>
      <c r="B2" t="s">
        <v>1810</v>
      </c>
      <c r="C2" t="s">
        <v>1811</v>
      </c>
      <c r="D2" s="3" t="s">
        <v>1812</v>
      </c>
      <c r="E2" t="s">
        <v>1813</v>
      </c>
      <c r="F2" t="s">
        <v>1814</v>
      </c>
      <c r="H2" t="s">
        <v>1815</v>
      </c>
      <c r="I2" t="s">
        <v>1816</v>
      </c>
      <c r="J2" t="s">
        <v>1817</v>
      </c>
      <c r="K2" t="s">
        <v>1818</v>
      </c>
      <c r="L2" t="s">
        <v>1819</v>
      </c>
      <c r="M2" t="s">
        <v>1820</v>
      </c>
      <c r="N2" t="s">
        <v>1821</v>
      </c>
    </row>
    <row r="3" spans="1:14" x14ac:dyDescent="0.25">
      <c r="A3" t="s">
        <v>8</v>
      </c>
      <c r="B3" s="179" t="s">
        <v>1822</v>
      </c>
      <c r="C3" s="179" t="s">
        <v>1823</v>
      </c>
      <c r="D3" s="180" t="s">
        <v>1824</v>
      </c>
      <c r="E3" s="179">
        <v>1000000</v>
      </c>
      <c r="F3" s="179" t="s">
        <v>978</v>
      </c>
      <c r="G3">
        <f t="shared" ref="G3:G34" si="0">E3-I3</f>
        <v>500000</v>
      </c>
      <c r="H3" s="181" t="s">
        <v>557</v>
      </c>
      <c r="I3" s="181">
        <v>500000</v>
      </c>
      <c r="J3" s="181">
        <v>0</v>
      </c>
      <c r="K3" s="181" t="s">
        <v>978</v>
      </c>
      <c r="L3" s="181" t="s">
        <v>978</v>
      </c>
      <c r="M3" s="181" t="s">
        <v>978</v>
      </c>
      <c r="N3" s="181" t="s">
        <v>978</v>
      </c>
    </row>
    <row r="4" spans="1:14" x14ac:dyDescent="0.25">
      <c r="A4" t="s">
        <v>8</v>
      </c>
      <c r="B4" s="179" t="s">
        <v>1825</v>
      </c>
      <c r="C4" s="179" t="s">
        <v>1826</v>
      </c>
      <c r="D4" s="180" t="s">
        <v>1827</v>
      </c>
      <c r="E4" s="179">
        <v>25000</v>
      </c>
      <c r="F4" s="179" t="s">
        <v>978</v>
      </c>
      <c r="G4">
        <f t="shared" si="0"/>
        <v>-40000</v>
      </c>
      <c r="H4" s="181" t="s">
        <v>545</v>
      </c>
      <c r="I4" s="181">
        <v>65000</v>
      </c>
      <c r="J4" s="181">
        <v>0</v>
      </c>
      <c r="K4" s="181" t="s">
        <v>978</v>
      </c>
      <c r="L4" s="181" t="s">
        <v>978</v>
      </c>
      <c r="M4" s="181" t="s">
        <v>978</v>
      </c>
      <c r="N4" s="181" t="s">
        <v>978</v>
      </c>
    </row>
    <row r="5" spans="1:14" x14ac:dyDescent="0.25">
      <c r="A5" t="s">
        <v>8</v>
      </c>
      <c r="B5" s="179" t="s">
        <v>1828</v>
      </c>
      <c r="C5" s="179" t="s">
        <v>1829</v>
      </c>
      <c r="D5" s="180" t="s">
        <v>1830</v>
      </c>
      <c r="E5" s="179">
        <v>60000</v>
      </c>
      <c r="F5" s="179" t="s">
        <v>978</v>
      </c>
      <c r="G5">
        <f t="shared" si="0"/>
        <v>-40000</v>
      </c>
      <c r="H5" s="181" t="s">
        <v>546</v>
      </c>
      <c r="I5" s="181">
        <v>100000</v>
      </c>
      <c r="J5" s="181">
        <v>0</v>
      </c>
      <c r="K5" s="181" t="s">
        <v>978</v>
      </c>
      <c r="L5" s="181" t="s">
        <v>978</v>
      </c>
      <c r="M5" s="181" t="s">
        <v>978</v>
      </c>
      <c r="N5" s="181" t="s">
        <v>978</v>
      </c>
    </row>
    <row r="6" spans="1:14" x14ac:dyDescent="0.25">
      <c r="A6" t="s">
        <v>8</v>
      </c>
      <c r="B6" s="179" t="s">
        <v>1822</v>
      </c>
      <c r="C6" s="179" t="s">
        <v>1823</v>
      </c>
      <c r="D6" s="180" t="s">
        <v>1827</v>
      </c>
      <c r="E6" s="179">
        <v>25000</v>
      </c>
      <c r="F6" s="179" t="s">
        <v>978</v>
      </c>
      <c r="G6">
        <f t="shared" si="0"/>
        <v>-40000</v>
      </c>
      <c r="H6" s="181" t="s">
        <v>557</v>
      </c>
      <c r="I6" s="181">
        <v>65000</v>
      </c>
      <c r="J6" s="181">
        <v>0</v>
      </c>
      <c r="K6" s="181" t="s">
        <v>978</v>
      </c>
      <c r="L6" s="181" t="s">
        <v>978</v>
      </c>
      <c r="M6" s="181" t="s">
        <v>978</v>
      </c>
      <c r="N6" s="181" t="s">
        <v>978</v>
      </c>
    </row>
    <row r="7" spans="1:14" x14ac:dyDescent="0.25">
      <c r="A7" t="s">
        <v>8</v>
      </c>
      <c r="B7" s="179" t="s">
        <v>1825</v>
      </c>
      <c r="C7" s="179" t="s">
        <v>1826</v>
      </c>
      <c r="D7" s="180" t="s">
        <v>1831</v>
      </c>
      <c r="E7" s="179">
        <v>30000</v>
      </c>
      <c r="F7" s="179" t="s">
        <v>978</v>
      </c>
      <c r="G7">
        <f t="shared" si="0"/>
        <v>-35000</v>
      </c>
      <c r="H7" s="181" t="s">
        <v>545</v>
      </c>
      <c r="I7" s="181">
        <v>65000</v>
      </c>
      <c r="J7" s="181">
        <v>0</v>
      </c>
      <c r="K7" s="181" t="s">
        <v>978</v>
      </c>
      <c r="L7" s="181" t="s">
        <v>978</v>
      </c>
      <c r="M7" s="181" t="s">
        <v>978</v>
      </c>
      <c r="N7" s="181" t="s">
        <v>978</v>
      </c>
    </row>
    <row r="8" spans="1:14" x14ac:dyDescent="0.25">
      <c r="A8" t="s">
        <v>8</v>
      </c>
      <c r="B8" s="179" t="s">
        <v>1828</v>
      </c>
      <c r="C8" s="179" t="s">
        <v>1829</v>
      </c>
      <c r="D8" s="180" t="s">
        <v>1832</v>
      </c>
      <c r="E8" s="179">
        <v>65000</v>
      </c>
      <c r="F8" s="179" t="s">
        <v>978</v>
      </c>
      <c r="G8">
        <f t="shared" si="0"/>
        <v>-35000</v>
      </c>
      <c r="H8" s="181" t="s">
        <v>546</v>
      </c>
      <c r="I8" s="181">
        <v>100000</v>
      </c>
      <c r="J8" s="181">
        <v>0</v>
      </c>
      <c r="K8" s="181" t="s">
        <v>978</v>
      </c>
      <c r="L8" s="181" t="s">
        <v>978</v>
      </c>
      <c r="M8" s="181" t="s">
        <v>978</v>
      </c>
      <c r="N8" s="181" t="s">
        <v>978</v>
      </c>
    </row>
    <row r="9" spans="1:14" x14ac:dyDescent="0.25">
      <c r="A9" t="s">
        <v>8</v>
      </c>
      <c r="B9" s="179" t="s">
        <v>1822</v>
      </c>
      <c r="C9" s="179" t="s">
        <v>1823</v>
      </c>
      <c r="D9" s="180" t="s">
        <v>1831</v>
      </c>
      <c r="E9" s="179">
        <v>30000</v>
      </c>
      <c r="F9" s="179" t="s">
        <v>978</v>
      </c>
      <c r="G9">
        <f t="shared" si="0"/>
        <v>-35000</v>
      </c>
      <c r="H9" s="181" t="s">
        <v>557</v>
      </c>
      <c r="I9" s="181">
        <v>65000</v>
      </c>
      <c r="J9" s="181">
        <v>0</v>
      </c>
      <c r="K9" s="181" t="s">
        <v>978</v>
      </c>
      <c r="L9" s="181" t="s">
        <v>978</v>
      </c>
      <c r="M9" s="181" t="s">
        <v>978</v>
      </c>
      <c r="N9" s="181" t="s">
        <v>978</v>
      </c>
    </row>
    <row r="10" spans="1:14" x14ac:dyDescent="0.25">
      <c r="A10" t="s">
        <v>8</v>
      </c>
      <c r="B10" s="179" t="s">
        <v>1825</v>
      </c>
      <c r="C10" s="179" t="s">
        <v>1826</v>
      </c>
      <c r="D10" s="180" t="s">
        <v>1833</v>
      </c>
      <c r="E10" s="179">
        <v>35000</v>
      </c>
      <c r="F10" s="179" t="s">
        <v>978</v>
      </c>
      <c r="G10">
        <f t="shared" si="0"/>
        <v>-30000</v>
      </c>
      <c r="H10" s="181" t="s">
        <v>545</v>
      </c>
      <c r="I10" s="181">
        <v>65000</v>
      </c>
      <c r="J10" s="181">
        <v>0</v>
      </c>
      <c r="K10" s="181" t="s">
        <v>978</v>
      </c>
      <c r="L10" s="181" t="s">
        <v>978</v>
      </c>
      <c r="M10" s="181" t="s">
        <v>978</v>
      </c>
      <c r="N10" s="181" t="s">
        <v>978</v>
      </c>
    </row>
    <row r="11" spans="1:14" x14ac:dyDescent="0.25">
      <c r="A11" t="s">
        <v>8</v>
      </c>
      <c r="B11" s="179" t="s">
        <v>1825</v>
      </c>
      <c r="C11" s="179" t="s">
        <v>1826</v>
      </c>
      <c r="D11" s="180" t="s">
        <v>1834</v>
      </c>
      <c r="E11" s="179">
        <v>70000</v>
      </c>
      <c r="F11" s="179" t="s">
        <v>978</v>
      </c>
      <c r="G11">
        <f t="shared" si="0"/>
        <v>-30000</v>
      </c>
      <c r="H11" s="181" t="s">
        <v>545</v>
      </c>
      <c r="I11" s="181">
        <v>100000</v>
      </c>
      <c r="J11" s="181">
        <v>0</v>
      </c>
      <c r="K11" s="181" t="s">
        <v>978</v>
      </c>
      <c r="L11" s="181" t="s">
        <v>978</v>
      </c>
      <c r="M11" s="181" t="s">
        <v>978</v>
      </c>
      <c r="N11" s="181" t="s">
        <v>978</v>
      </c>
    </row>
    <row r="12" spans="1:14" x14ac:dyDescent="0.25">
      <c r="A12" t="s">
        <v>8</v>
      </c>
      <c r="B12" s="179" t="s">
        <v>1828</v>
      </c>
      <c r="C12" s="179" t="s">
        <v>1829</v>
      </c>
      <c r="D12" s="180" t="s">
        <v>1834</v>
      </c>
      <c r="E12" s="179">
        <v>70000</v>
      </c>
      <c r="F12" s="179" t="s">
        <v>978</v>
      </c>
      <c r="G12">
        <f t="shared" si="0"/>
        <v>-30000</v>
      </c>
      <c r="H12" s="181" t="s">
        <v>546</v>
      </c>
      <c r="I12" s="181">
        <v>100000</v>
      </c>
      <c r="J12" s="181">
        <v>0</v>
      </c>
      <c r="K12" s="181" t="s">
        <v>978</v>
      </c>
      <c r="L12" s="181" t="s">
        <v>978</v>
      </c>
      <c r="M12" s="181" t="s">
        <v>978</v>
      </c>
      <c r="N12" s="181" t="s">
        <v>978</v>
      </c>
    </row>
    <row r="13" spans="1:14" x14ac:dyDescent="0.25">
      <c r="A13" t="s">
        <v>8</v>
      </c>
      <c r="B13" s="179" t="s">
        <v>1822</v>
      </c>
      <c r="C13" s="179" t="s">
        <v>1823</v>
      </c>
      <c r="D13" s="180" t="s">
        <v>1833</v>
      </c>
      <c r="E13" s="179">
        <v>35000</v>
      </c>
      <c r="F13" s="179" t="s">
        <v>978</v>
      </c>
      <c r="G13">
        <f t="shared" si="0"/>
        <v>-30000</v>
      </c>
      <c r="H13" s="181" t="s">
        <v>557</v>
      </c>
      <c r="I13" s="181">
        <v>65000</v>
      </c>
      <c r="J13" s="181">
        <v>0</v>
      </c>
      <c r="K13" s="181" t="s">
        <v>978</v>
      </c>
      <c r="L13" s="181" t="s">
        <v>978</v>
      </c>
      <c r="M13" s="181" t="s">
        <v>978</v>
      </c>
      <c r="N13" s="181" t="s">
        <v>978</v>
      </c>
    </row>
    <row r="14" spans="1:14" x14ac:dyDescent="0.25">
      <c r="A14" t="s">
        <v>8</v>
      </c>
      <c r="B14" s="179" t="s">
        <v>1825</v>
      </c>
      <c r="C14" s="179" t="s">
        <v>1826</v>
      </c>
      <c r="D14" s="180" t="s">
        <v>1835</v>
      </c>
      <c r="E14" s="179">
        <v>40000</v>
      </c>
      <c r="F14" s="179" t="s">
        <v>978</v>
      </c>
      <c r="G14">
        <f t="shared" si="0"/>
        <v>-25000</v>
      </c>
      <c r="H14" s="181" t="s">
        <v>545</v>
      </c>
      <c r="I14" s="181">
        <v>65000</v>
      </c>
      <c r="J14" s="181">
        <v>0</v>
      </c>
      <c r="K14" s="181" t="s">
        <v>978</v>
      </c>
      <c r="L14" s="181" t="s">
        <v>978</v>
      </c>
      <c r="M14" s="181" t="s">
        <v>978</v>
      </c>
      <c r="N14" s="181" t="s">
        <v>978</v>
      </c>
    </row>
    <row r="15" spans="1:14" x14ac:dyDescent="0.25">
      <c r="A15" t="s">
        <v>8</v>
      </c>
      <c r="B15" s="179" t="s">
        <v>1825</v>
      </c>
      <c r="C15" s="179" t="s">
        <v>1826</v>
      </c>
      <c r="D15" s="180" t="s">
        <v>1836</v>
      </c>
      <c r="E15" s="179">
        <v>75000</v>
      </c>
      <c r="F15" s="179" t="s">
        <v>978</v>
      </c>
      <c r="G15">
        <f t="shared" si="0"/>
        <v>-25000</v>
      </c>
      <c r="H15" s="181" t="s">
        <v>545</v>
      </c>
      <c r="I15" s="181">
        <v>100000</v>
      </c>
      <c r="J15" s="181">
        <v>0</v>
      </c>
      <c r="K15" s="181" t="s">
        <v>978</v>
      </c>
      <c r="L15" s="181" t="s">
        <v>978</v>
      </c>
      <c r="M15" s="181" t="s">
        <v>978</v>
      </c>
      <c r="N15" s="181" t="s">
        <v>978</v>
      </c>
    </row>
    <row r="16" spans="1:14" x14ac:dyDescent="0.25">
      <c r="A16" t="s">
        <v>8</v>
      </c>
      <c r="B16" s="179" t="s">
        <v>1828</v>
      </c>
      <c r="C16" s="179" t="s">
        <v>1829</v>
      </c>
      <c r="D16" s="180" t="s">
        <v>1836</v>
      </c>
      <c r="E16" s="179">
        <v>75000</v>
      </c>
      <c r="F16" s="179" t="s">
        <v>978</v>
      </c>
      <c r="G16">
        <f t="shared" si="0"/>
        <v>-25000</v>
      </c>
      <c r="H16" s="181" t="s">
        <v>546</v>
      </c>
      <c r="I16" s="181">
        <v>100000</v>
      </c>
      <c r="J16" s="181">
        <v>0</v>
      </c>
      <c r="K16" s="181" t="s">
        <v>978</v>
      </c>
      <c r="L16" s="181" t="s">
        <v>978</v>
      </c>
      <c r="M16" s="181" t="s">
        <v>978</v>
      </c>
      <c r="N16" s="181" t="s">
        <v>978</v>
      </c>
    </row>
    <row r="17" spans="1:14" x14ac:dyDescent="0.25">
      <c r="A17" t="s">
        <v>8</v>
      </c>
      <c r="B17" s="179" t="s">
        <v>1822</v>
      </c>
      <c r="C17" s="179" t="s">
        <v>1823</v>
      </c>
      <c r="D17" s="180" t="s">
        <v>1835</v>
      </c>
      <c r="E17" s="179">
        <v>40000</v>
      </c>
      <c r="F17" s="179" t="s">
        <v>978</v>
      </c>
      <c r="G17">
        <f t="shared" si="0"/>
        <v>-25000</v>
      </c>
      <c r="H17" s="181" t="s">
        <v>557</v>
      </c>
      <c r="I17" s="181">
        <v>65000</v>
      </c>
      <c r="J17" s="181">
        <v>0</v>
      </c>
      <c r="K17" s="181" t="s">
        <v>978</v>
      </c>
      <c r="L17" s="181" t="s">
        <v>978</v>
      </c>
      <c r="M17" s="181" t="s">
        <v>978</v>
      </c>
      <c r="N17" s="181" t="s">
        <v>978</v>
      </c>
    </row>
    <row r="18" spans="1:14" x14ac:dyDescent="0.25">
      <c r="A18" t="s">
        <v>8</v>
      </c>
      <c r="B18" s="179" t="s">
        <v>1825</v>
      </c>
      <c r="C18" s="179" t="s">
        <v>1826</v>
      </c>
      <c r="D18" s="180" t="s">
        <v>1837</v>
      </c>
      <c r="E18" s="179">
        <v>80000</v>
      </c>
      <c r="F18" s="179" t="s">
        <v>978</v>
      </c>
      <c r="G18">
        <f t="shared" si="0"/>
        <v>-20000</v>
      </c>
      <c r="H18" s="181" t="s">
        <v>545</v>
      </c>
      <c r="I18" s="181">
        <v>100000</v>
      </c>
      <c r="J18" s="181">
        <v>0</v>
      </c>
      <c r="K18" s="181" t="s">
        <v>978</v>
      </c>
      <c r="L18" s="181" t="s">
        <v>978</v>
      </c>
      <c r="M18" s="181" t="s">
        <v>978</v>
      </c>
      <c r="N18" s="181" t="s">
        <v>978</v>
      </c>
    </row>
    <row r="19" spans="1:14" x14ac:dyDescent="0.25">
      <c r="A19" t="s">
        <v>8</v>
      </c>
      <c r="B19" s="179" t="s">
        <v>1828</v>
      </c>
      <c r="C19" s="179" t="s">
        <v>1829</v>
      </c>
      <c r="D19" s="180" t="s">
        <v>1831</v>
      </c>
      <c r="E19" s="179">
        <v>30000</v>
      </c>
      <c r="F19" s="179" t="s">
        <v>978</v>
      </c>
      <c r="G19">
        <f t="shared" si="0"/>
        <v>-20000</v>
      </c>
      <c r="H19" s="181" t="s">
        <v>546</v>
      </c>
      <c r="I19" s="181">
        <v>50000</v>
      </c>
      <c r="J19" s="181">
        <v>0</v>
      </c>
      <c r="K19" s="181" t="s">
        <v>978</v>
      </c>
      <c r="L19" s="181" t="s">
        <v>978</v>
      </c>
      <c r="M19" s="181" t="s">
        <v>978</v>
      </c>
      <c r="N19" s="181" t="s">
        <v>978</v>
      </c>
    </row>
    <row r="20" spans="1:14" x14ac:dyDescent="0.25">
      <c r="A20" t="s">
        <v>8</v>
      </c>
      <c r="B20" s="179" t="s">
        <v>1828</v>
      </c>
      <c r="C20" s="179" t="s">
        <v>1829</v>
      </c>
      <c r="D20" s="180" t="s">
        <v>1837</v>
      </c>
      <c r="E20" s="179">
        <v>80000</v>
      </c>
      <c r="F20" s="179" t="s">
        <v>978</v>
      </c>
      <c r="G20">
        <f t="shared" si="0"/>
        <v>-20000</v>
      </c>
      <c r="H20" s="181" t="s">
        <v>546</v>
      </c>
      <c r="I20" s="181">
        <v>100000</v>
      </c>
      <c r="J20" s="181">
        <v>0</v>
      </c>
      <c r="K20" s="181" t="s">
        <v>978</v>
      </c>
      <c r="L20" s="181" t="s">
        <v>978</v>
      </c>
      <c r="M20" s="181" t="s">
        <v>978</v>
      </c>
      <c r="N20" s="181" t="s">
        <v>978</v>
      </c>
    </row>
    <row r="21" spans="1:14" x14ac:dyDescent="0.25">
      <c r="A21" t="s">
        <v>8</v>
      </c>
      <c r="B21" s="179" t="s">
        <v>1822</v>
      </c>
      <c r="C21" s="179" t="s">
        <v>1823</v>
      </c>
      <c r="D21" s="180" t="s">
        <v>1837</v>
      </c>
      <c r="E21" s="179">
        <v>80000</v>
      </c>
      <c r="F21" s="179" t="s">
        <v>978</v>
      </c>
      <c r="G21">
        <f t="shared" si="0"/>
        <v>-20000</v>
      </c>
      <c r="H21" s="181" t="s">
        <v>557</v>
      </c>
      <c r="I21" s="181">
        <v>100000</v>
      </c>
      <c r="J21" s="181">
        <v>0</v>
      </c>
      <c r="K21" s="181" t="s">
        <v>978</v>
      </c>
      <c r="L21" s="181" t="s">
        <v>978</v>
      </c>
      <c r="M21" s="181" t="s">
        <v>978</v>
      </c>
      <c r="N21" s="181" t="s">
        <v>978</v>
      </c>
    </row>
    <row r="22" spans="1:14" x14ac:dyDescent="0.25">
      <c r="A22" t="s">
        <v>8</v>
      </c>
      <c r="B22" s="179" t="s">
        <v>1838</v>
      </c>
      <c r="C22" s="179" t="s">
        <v>1826</v>
      </c>
      <c r="D22" s="180" t="s">
        <v>1839</v>
      </c>
      <c r="E22" s="179">
        <v>10000</v>
      </c>
      <c r="F22" s="179">
        <v>20000</v>
      </c>
      <c r="G22">
        <f t="shared" si="0"/>
        <v>-15000</v>
      </c>
      <c r="H22" s="181" t="s">
        <v>544</v>
      </c>
      <c r="I22" s="181">
        <v>25000</v>
      </c>
      <c r="J22" s="181">
        <v>50000</v>
      </c>
      <c r="K22" s="181" t="s">
        <v>978</v>
      </c>
      <c r="L22" s="181" t="s">
        <v>978</v>
      </c>
      <c r="M22" s="181" t="s">
        <v>978</v>
      </c>
      <c r="N22" s="181" t="s">
        <v>978</v>
      </c>
    </row>
    <row r="23" spans="1:14" x14ac:dyDescent="0.25">
      <c r="A23" t="s">
        <v>8</v>
      </c>
      <c r="B23" s="179" t="s">
        <v>1825</v>
      </c>
      <c r="C23" s="179" t="s">
        <v>1826</v>
      </c>
      <c r="D23" s="180" t="s">
        <v>1840</v>
      </c>
      <c r="E23" s="179">
        <v>50000</v>
      </c>
      <c r="F23" s="179" t="s">
        <v>978</v>
      </c>
      <c r="G23">
        <f t="shared" si="0"/>
        <v>-15000</v>
      </c>
      <c r="H23" s="181" t="s">
        <v>545</v>
      </c>
      <c r="I23" s="181">
        <v>65000</v>
      </c>
      <c r="J23" s="181">
        <v>0</v>
      </c>
      <c r="K23" s="181" t="s">
        <v>978</v>
      </c>
      <c r="L23" s="181" t="s">
        <v>978</v>
      </c>
      <c r="M23" s="181" t="s">
        <v>978</v>
      </c>
      <c r="N23" s="181" t="s">
        <v>978</v>
      </c>
    </row>
    <row r="24" spans="1:14" x14ac:dyDescent="0.25">
      <c r="A24" t="s">
        <v>8</v>
      </c>
      <c r="B24" s="179" t="s">
        <v>1825</v>
      </c>
      <c r="C24" s="179" t="s">
        <v>1826</v>
      </c>
      <c r="D24" s="180" t="s">
        <v>1841</v>
      </c>
      <c r="E24" s="179">
        <v>85000</v>
      </c>
      <c r="F24" s="179" t="s">
        <v>978</v>
      </c>
      <c r="G24">
        <f t="shared" si="0"/>
        <v>-15000</v>
      </c>
      <c r="H24" s="181" t="s">
        <v>545</v>
      </c>
      <c r="I24" s="181">
        <v>100000</v>
      </c>
      <c r="J24" s="181">
        <v>0</v>
      </c>
      <c r="K24" s="181" t="s">
        <v>978</v>
      </c>
      <c r="L24" s="181" t="s">
        <v>978</v>
      </c>
      <c r="M24" s="181" t="s">
        <v>978</v>
      </c>
      <c r="N24" s="181" t="s">
        <v>978</v>
      </c>
    </row>
    <row r="25" spans="1:14" x14ac:dyDescent="0.25">
      <c r="A25" t="s">
        <v>8</v>
      </c>
      <c r="B25" s="179" t="s">
        <v>1828</v>
      </c>
      <c r="C25" s="179" t="s">
        <v>1829</v>
      </c>
      <c r="D25" s="180" t="s">
        <v>1833</v>
      </c>
      <c r="E25" s="179">
        <v>35000</v>
      </c>
      <c r="F25" s="179" t="s">
        <v>978</v>
      </c>
      <c r="G25">
        <f t="shared" si="0"/>
        <v>-15000</v>
      </c>
      <c r="H25" s="181" t="s">
        <v>546</v>
      </c>
      <c r="I25" s="181">
        <v>50000</v>
      </c>
      <c r="J25" s="181">
        <v>0</v>
      </c>
      <c r="K25" s="181" t="s">
        <v>978</v>
      </c>
      <c r="L25" s="181" t="s">
        <v>978</v>
      </c>
      <c r="M25" s="181" t="s">
        <v>978</v>
      </c>
      <c r="N25" s="181" t="s">
        <v>978</v>
      </c>
    </row>
    <row r="26" spans="1:14" x14ac:dyDescent="0.25">
      <c r="A26" t="s">
        <v>8</v>
      </c>
      <c r="B26" s="179" t="s">
        <v>1828</v>
      </c>
      <c r="C26" s="179" t="s">
        <v>1829</v>
      </c>
      <c r="D26" s="180" t="s">
        <v>1841</v>
      </c>
      <c r="E26" s="179">
        <v>85000</v>
      </c>
      <c r="F26" s="179" t="s">
        <v>978</v>
      </c>
      <c r="G26">
        <f t="shared" si="0"/>
        <v>-15000</v>
      </c>
      <c r="H26" s="181" t="s">
        <v>546</v>
      </c>
      <c r="I26" s="181">
        <v>100000</v>
      </c>
      <c r="J26" s="181">
        <v>0</v>
      </c>
      <c r="K26" s="181" t="s">
        <v>978</v>
      </c>
      <c r="L26" s="181" t="s">
        <v>978</v>
      </c>
      <c r="M26" s="181" t="s">
        <v>978</v>
      </c>
      <c r="N26" s="181" t="s">
        <v>978</v>
      </c>
    </row>
    <row r="27" spans="1:14" x14ac:dyDescent="0.25">
      <c r="A27" t="s">
        <v>8</v>
      </c>
      <c r="B27" s="179" t="s">
        <v>1822</v>
      </c>
      <c r="C27" s="179" t="s">
        <v>1823</v>
      </c>
      <c r="D27" s="180" t="s">
        <v>1840</v>
      </c>
      <c r="E27" s="179">
        <v>50000</v>
      </c>
      <c r="F27" s="179" t="s">
        <v>978</v>
      </c>
      <c r="G27">
        <f t="shared" si="0"/>
        <v>-15000</v>
      </c>
      <c r="H27" s="181" t="s">
        <v>557</v>
      </c>
      <c r="I27" s="181">
        <v>65000</v>
      </c>
      <c r="J27" s="181">
        <v>0</v>
      </c>
      <c r="K27" s="181" t="s">
        <v>978</v>
      </c>
      <c r="L27" s="181" t="s">
        <v>978</v>
      </c>
      <c r="M27" s="181" t="s">
        <v>978</v>
      </c>
      <c r="N27" s="181" t="s">
        <v>978</v>
      </c>
    </row>
    <row r="28" spans="1:14" x14ac:dyDescent="0.25">
      <c r="A28" t="s">
        <v>8</v>
      </c>
      <c r="B28" s="179" t="s">
        <v>1822</v>
      </c>
      <c r="C28" s="179" t="s">
        <v>1823</v>
      </c>
      <c r="D28" s="180" t="s">
        <v>1841</v>
      </c>
      <c r="E28" s="179">
        <v>85000</v>
      </c>
      <c r="F28" s="179" t="s">
        <v>978</v>
      </c>
      <c r="G28">
        <f t="shared" si="0"/>
        <v>-15000</v>
      </c>
      <c r="H28" s="181" t="s">
        <v>557</v>
      </c>
      <c r="I28" s="181">
        <v>100000</v>
      </c>
      <c r="J28" s="181">
        <v>0</v>
      </c>
      <c r="K28" s="181" t="s">
        <v>978</v>
      </c>
      <c r="L28" s="181" t="s">
        <v>978</v>
      </c>
      <c r="M28" s="181" t="s">
        <v>978</v>
      </c>
      <c r="N28" s="181" t="s">
        <v>978</v>
      </c>
    </row>
    <row r="29" spans="1:14" x14ac:dyDescent="0.25">
      <c r="A29" t="s">
        <v>8</v>
      </c>
      <c r="B29" s="179" t="s">
        <v>1842</v>
      </c>
      <c r="C29" s="179" t="s">
        <v>1823</v>
      </c>
      <c r="D29" s="180" t="s">
        <v>1839</v>
      </c>
      <c r="E29" s="179">
        <v>10000</v>
      </c>
      <c r="F29" s="179">
        <v>20000</v>
      </c>
      <c r="G29">
        <f t="shared" si="0"/>
        <v>-15000</v>
      </c>
      <c r="H29" s="181" t="s">
        <v>558</v>
      </c>
      <c r="I29" s="181">
        <v>25000</v>
      </c>
      <c r="J29" s="181">
        <v>50000</v>
      </c>
      <c r="K29" s="181" t="s">
        <v>978</v>
      </c>
      <c r="L29" s="181" t="s">
        <v>978</v>
      </c>
      <c r="M29" s="181" t="s">
        <v>978</v>
      </c>
      <c r="N29" s="181" t="s">
        <v>978</v>
      </c>
    </row>
    <row r="30" spans="1:14" x14ac:dyDescent="0.25">
      <c r="A30" t="s">
        <v>8</v>
      </c>
      <c r="B30" s="179" t="s">
        <v>1838</v>
      </c>
      <c r="C30" s="179" t="s">
        <v>1826</v>
      </c>
      <c r="D30" s="180" t="s">
        <v>1843</v>
      </c>
      <c r="E30" s="179">
        <v>15000</v>
      </c>
      <c r="F30" s="179">
        <v>30000</v>
      </c>
      <c r="G30">
        <f t="shared" si="0"/>
        <v>-10000</v>
      </c>
      <c r="H30" s="181" t="s">
        <v>544</v>
      </c>
      <c r="I30" s="181">
        <v>25000</v>
      </c>
      <c r="J30" s="181">
        <v>50000</v>
      </c>
      <c r="K30" s="181" t="s">
        <v>978</v>
      </c>
      <c r="L30" s="181" t="s">
        <v>978</v>
      </c>
      <c r="M30" s="181" t="s">
        <v>978</v>
      </c>
      <c r="N30" s="181" t="s">
        <v>978</v>
      </c>
    </row>
    <row r="31" spans="1:14" x14ac:dyDescent="0.25">
      <c r="A31" t="s">
        <v>8</v>
      </c>
      <c r="B31" s="179" t="s">
        <v>1828</v>
      </c>
      <c r="C31" s="179" t="s">
        <v>1829</v>
      </c>
      <c r="D31" s="180">
        <v>5000</v>
      </c>
      <c r="E31" s="179">
        <v>5000</v>
      </c>
      <c r="F31" s="179" t="s">
        <v>978</v>
      </c>
      <c r="G31">
        <f t="shared" si="0"/>
        <v>-10000</v>
      </c>
      <c r="H31" s="181" t="s">
        <v>546</v>
      </c>
      <c r="I31" s="181">
        <v>15000</v>
      </c>
      <c r="J31" s="181">
        <v>0</v>
      </c>
      <c r="K31" s="181" t="s">
        <v>978</v>
      </c>
      <c r="L31" s="181" t="s">
        <v>978</v>
      </c>
      <c r="M31" s="181" t="s">
        <v>978</v>
      </c>
      <c r="N31" s="181" t="s">
        <v>978</v>
      </c>
    </row>
    <row r="32" spans="1:14" x14ac:dyDescent="0.25">
      <c r="A32" t="s">
        <v>8</v>
      </c>
      <c r="B32" s="179" t="s">
        <v>1828</v>
      </c>
      <c r="C32" s="179" t="s">
        <v>1829</v>
      </c>
      <c r="D32" s="180" t="s">
        <v>1835</v>
      </c>
      <c r="E32" s="179">
        <v>40000</v>
      </c>
      <c r="F32" s="179" t="s">
        <v>978</v>
      </c>
      <c r="G32">
        <f t="shared" si="0"/>
        <v>-10000</v>
      </c>
      <c r="H32" s="181" t="s">
        <v>546</v>
      </c>
      <c r="I32" s="181">
        <v>50000</v>
      </c>
      <c r="J32" s="181">
        <v>0</v>
      </c>
      <c r="K32" s="181" t="s">
        <v>978</v>
      </c>
      <c r="L32" s="181" t="s">
        <v>978</v>
      </c>
      <c r="M32" s="181" t="s">
        <v>978</v>
      </c>
      <c r="N32" s="181" t="s">
        <v>978</v>
      </c>
    </row>
    <row r="33" spans="1:14" x14ac:dyDescent="0.25">
      <c r="A33" t="s">
        <v>8</v>
      </c>
      <c r="B33" s="179" t="s">
        <v>1842</v>
      </c>
      <c r="C33" s="179" t="s">
        <v>1823</v>
      </c>
      <c r="D33" s="180" t="s">
        <v>1843</v>
      </c>
      <c r="E33" s="179">
        <v>15000</v>
      </c>
      <c r="F33" s="179">
        <v>30000</v>
      </c>
      <c r="G33">
        <f t="shared" si="0"/>
        <v>-10000</v>
      </c>
      <c r="H33" s="181" t="s">
        <v>558</v>
      </c>
      <c r="I33" s="181">
        <v>25000</v>
      </c>
      <c r="J33" s="181">
        <v>50000</v>
      </c>
      <c r="K33" s="181" t="s">
        <v>978</v>
      </c>
      <c r="L33" s="181" t="s">
        <v>978</v>
      </c>
      <c r="M33" s="181" t="s">
        <v>978</v>
      </c>
      <c r="N33" s="181" t="s">
        <v>978</v>
      </c>
    </row>
    <row r="34" spans="1:14" x14ac:dyDescent="0.25">
      <c r="A34" t="s">
        <v>8</v>
      </c>
      <c r="B34" s="179" t="s">
        <v>1842</v>
      </c>
      <c r="C34" s="179" t="s">
        <v>1823</v>
      </c>
      <c r="D34" s="180" t="s">
        <v>1844</v>
      </c>
      <c r="E34" s="179">
        <v>40000</v>
      </c>
      <c r="F34" s="179">
        <v>80000</v>
      </c>
      <c r="G34">
        <f t="shared" si="0"/>
        <v>-10000</v>
      </c>
      <c r="H34" s="181" t="s">
        <v>558</v>
      </c>
      <c r="I34" s="181">
        <v>50000</v>
      </c>
      <c r="J34" s="181">
        <v>100000</v>
      </c>
      <c r="K34" s="181" t="s">
        <v>978</v>
      </c>
      <c r="L34" s="181" t="s">
        <v>978</v>
      </c>
      <c r="M34" s="181" t="s">
        <v>978</v>
      </c>
      <c r="N34" s="181" t="s">
        <v>978</v>
      </c>
    </row>
    <row r="35" spans="1:14" x14ac:dyDescent="0.25">
      <c r="A35" t="s">
        <v>8</v>
      </c>
      <c r="B35" s="179" t="s">
        <v>1838</v>
      </c>
      <c r="C35" s="179" t="s">
        <v>1826</v>
      </c>
      <c r="D35" s="180" t="s">
        <v>1845</v>
      </c>
      <c r="E35" s="179">
        <v>20000</v>
      </c>
      <c r="F35" s="179">
        <v>40000</v>
      </c>
      <c r="G35">
        <f t="shared" ref="G35:G66" si="1">E35-I35</f>
        <v>-5000</v>
      </c>
      <c r="H35" s="181" t="s">
        <v>544</v>
      </c>
      <c r="I35" s="181">
        <v>25000</v>
      </c>
      <c r="J35" s="181">
        <v>50000</v>
      </c>
      <c r="K35" s="181" t="s">
        <v>978</v>
      </c>
      <c r="L35" s="181" t="s">
        <v>978</v>
      </c>
      <c r="M35" s="181" t="s">
        <v>978</v>
      </c>
      <c r="N35" s="181" t="s">
        <v>978</v>
      </c>
    </row>
    <row r="36" spans="1:14" x14ac:dyDescent="0.25">
      <c r="A36" t="s">
        <v>8</v>
      </c>
      <c r="B36" s="179" t="s">
        <v>1838</v>
      </c>
      <c r="C36" s="179" t="s">
        <v>1826</v>
      </c>
      <c r="D36" s="180" t="s">
        <v>1846</v>
      </c>
      <c r="E36" s="179">
        <v>25000</v>
      </c>
      <c r="F36" s="179">
        <v>65000</v>
      </c>
      <c r="G36">
        <f t="shared" si="1"/>
        <v>-5000</v>
      </c>
      <c r="H36" s="181" t="s">
        <v>544</v>
      </c>
      <c r="I36" s="181">
        <v>30000</v>
      </c>
      <c r="J36" s="181">
        <v>60000</v>
      </c>
      <c r="K36" s="181" t="s">
        <v>978</v>
      </c>
      <c r="L36" s="181" t="s">
        <v>978</v>
      </c>
      <c r="M36" s="181" t="s">
        <v>978</v>
      </c>
      <c r="N36" s="181" t="s">
        <v>978</v>
      </c>
    </row>
    <row r="37" spans="1:14" x14ac:dyDescent="0.25">
      <c r="A37" t="s">
        <v>8</v>
      </c>
      <c r="B37" s="179" t="s">
        <v>1825</v>
      </c>
      <c r="C37" s="179" t="s">
        <v>1826</v>
      </c>
      <c r="D37" s="180" t="s">
        <v>1830</v>
      </c>
      <c r="E37" s="179">
        <v>60000</v>
      </c>
      <c r="F37" s="179" t="s">
        <v>978</v>
      </c>
      <c r="G37">
        <f t="shared" si="1"/>
        <v>-5000</v>
      </c>
      <c r="H37" s="181" t="s">
        <v>545</v>
      </c>
      <c r="I37" s="181">
        <v>65000</v>
      </c>
      <c r="J37" s="181">
        <v>0</v>
      </c>
      <c r="K37" s="181" t="s">
        <v>978</v>
      </c>
      <c r="L37" s="181" t="s">
        <v>978</v>
      </c>
      <c r="M37" s="181" t="s">
        <v>978</v>
      </c>
      <c r="N37" s="181" t="s">
        <v>978</v>
      </c>
    </row>
    <row r="38" spans="1:14" x14ac:dyDescent="0.25">
      <c r="A38" t="s">
        <v>8</v>
      </c>
      <c r="B38" s="179" t="s">
        <v>1828</v>
      </c>
      <c r="C38" s="179" t="s">
        <v>1829</v>
      </c>
      <c r="D38" s="180">
        <v>10000</v>
      </c>
      <c r="E38" s="179">
        <v>10000</v>
      </c>
      <c r="F38" s="179" t="s">
        <v>978</v>
      </c>
      <c r="G38">
        <f t="shared" si="1"/>
        <v>-5000</v>
      </c>
      <c r="H38" s="181" t="s">
        <v>546</v>
      </c>
      <c r="I38" s="181">
        <v>15000</v>
      </c>
      <c r="J38" s="181">
        <v>0</v>
      </c>
      <c r="K38" s="181" t="s">
        <v>978</v>
      </c>
      <c r="L38" s="181" t="s">
        <v>978</v>
      </c>
      <c r="M38" s="181" t="s">
        <v>978</v>
      </c>
      <c r="N38" s="181" t="s">
        <v>978</v>
      </c>
    </row>
    <row r="39" spans="1:14" x14ac:dyDescent="0.25">
      <c r="A39" t="s">
        <v>8</v>
      </c>
      <c r="B39" s="179" t="s">
        <v>1828</v>
      </c>
      <c r="C39" s="179" t="s">
        <v>1829</v>
      </c>
      <c r="D39" s="180">
        <v>20000</v>
      </c>
      <c r="E39" s="179">
        <v>20000</v>
      </c>
      <c r="F39" s="179" t="s">
        <v>978</v>
      </c>
      <c r="G39">
        <f t="shared" si="1"/>
        <v>-5000</v>
      </c>
      <c r="H39" s="181" t="s">
        <v>546</v>
      </c>
      <c r="I39" s="181">
        <v>25000</v>
      </c>
      <c r="J39" s="181">
        <v>0</v>
      </c>
      <c r="K39" s="181" t="s">
        <v>978</v>
      </c>
      <c r="L39" s="181" t="s">
        <v>978</v>
      </c>
      <c r="M39" s="181" t="s">
        <v>978</v>
      </c>
      <c r="N39" s="181" t="s">
        <v>978</v>
      </c>
    </row>
    <row r="40" spans="1:14" x14ac:dyDescent="0.25">
      <c r="A40" t="s">
        <v>8</v>
      </c>
      <c r="B40" s="179" t="s">
        <v>1822</v>
      </c>
      <c r="C40" s="179" t="s">
        <v>1823</v>
      </c>
      <c r="D40" s="180" t="s">
        <v>1830</v>
      </c>
      <c r="E40" s="179">
        <v>60000</v>
      </c>
      <c r="F40" s="179" t="s">
        <v>978</v>
      </c>
      <c r="G40">
        <f t="shared" si="1"/>
        <v>-5000</v>
      </c>
      <c r="H40" s="181" t="s">
        <v>557</v>
      </c>
      <c r="I40" s="181">
        <v>65000</v>
      </c>
      <c r="J40" s="181">
        <v>0</v>
      </c>
      <c r="K40" s="181" t="s">
        <v>978</v>
      </c>
      <c r="L40" s="181" t="s">
        <v>978</v>
      </c>
      <c r="M40" s="181" t="s">
        <v>978</v>
      </c>
      <c r="N40" s="181" t="s">
        <v>978</v>
      </c>
    </row>
    <row r="41" spans="1:14" x14ac:dyDescent="0.25">
      <c r="A41" t="s">
        <v>8</v>
      </c>
      <c r="B41" s="179" t="s">
        <v>1822</v>
      </c>
      <c r="C41" s="179" t="s">
        <v>1823</v>
      </c>
      <c r="D41" s="180" t="s">
        <v>1834</v>
      </c>
      <c r="E41" s="179">
        <v>70000</v>
      </c>
      <c r="F41" s="179" t="s">
        <v>978</v>
      </c>
      <c r="G41">
        <f t="shared" si="1"/>
        <v>-5000</v>
      </c>
      <c r="H41" s="181" t="s">
        <v>557</v>
      </c>
      <c r="I41" s="181">
        <v>75000</v>
      </c>
      <c r="J41" s="181">
        <v>0</v>
      </c>
      <c r="K41" s="181" t="s">
        <v>978</v>
      </c>
      <c r="L41" s="181" t="s">
        <v>978</v>
      </c>
      <c r="M41" s="181" t="s">
        <v>978</v>
      </c>
      <c r="N41" s="181" t="s">
        <v>978</v>
      </c>
    </row>
    <row r="42" spans="1:14" x14ac:dyDescent="0.25">
      <c r="A42" t="s">
        <v>8</v>
      </c>
      <c r="B42" s="179" t="s">
        <v>1842</v>
      </c>
      <c r="C42" s="179" t="s">
        <v>1823</v>
      </c>
      <c r="D42" s="180" t="s">
        <v>1845</v>
      </c>
      <c r="E42" s="179">
        <v>20000</v>
      </c>
      <c r="F42" s="179">
        <v>40000</v>
      </c>
      <c r="G42">
        <f t="shared" si="1"/>
        <v>-5000</v>
      </c>
      <c r="H42" s="181" t="s">
        <v>558</v>
      </c>
      <c r="I42" s="181">
        <v>25000</v>
      </c>
      <c r="J42" s="181">
        <v>50000</v>
      </c>
      <c r="K42" s="181" t="s">
        <v>978</v>
      </c>
      <c r="L42" s="181" t="s">
        <v>978</v>
      </c>
      <c r="M42" s="181" t="s">
        <v>978</v>
      </c>
      <c r="N42" s="181" t="s">
        <v>978</v>
      </c>
    </row>
    <row r="43" spans="1:14" x14ac:dyDescent="0.25">
      <c r="A43" t="s">
        <v>8</v>
      </c>
      <c r="B43" s="179" t="s">
        <v>1842</v>
      </c>
      <c r="C43" s="179" t="s">
        <v>1823</v>
      </c>
      <c r="D43" s="180" t="s">
        <v>1846</v>
      </c>
      <c r="E43" s="179">
        <v>25000</v>
      </c>
      <c r="F43" s="179">
        <v>65000</v>
      </c>
      <c r="G43">
        <f t="shared" si="1"/>
        <v>-5000</v>
      </c>
      <c r="H43" s="181" t="s">
        <v>558</v>
      </c>
      <c r="I43" s="181">
        <v>30000</v>
      </c>
      <c r="J43" s="181">
        <v>60000</v>
      </c>
      <c r="K43" s="181" t="s">
        <v>978</v>
      </c>
      <c r="L43" s="181" t="s">
        <v>978</v>
      </c>
      <c r="M43" s="181" t="s">
        <v>978</v>
      </c>
      <c r="N43" s="181" t="s">
        <v>978</v>
      </c>
    </row>
    <row r="44" spans="1:14" x14ac:dyDescent="0.25">
      <c r="A44" t="s">
        <v>8</v>
      </c>
      <c r="B44" s="179" t="s">
        <v>1847</v>
      </c>
      <c r="C44" s="179" t="s">
        <v>548</v>
      </c>
      <c r="D44" s="180">
        <v>1000</v>
      </c>
      <c r="E44" s="179">
        <v>1000</v>
      </c>
      <c r="F44" s="179" t="s">
        <v>978</v>
      </c>
      <c r="G44">
        <f t="shared" si="1"/>
        <v>-4000</v>
      </c>
      <c r="H44" s="181" t="s">
        <v>548</v>
      </c>
      <c r="I44" s="181">
        <v>5000</v>
      </c>
      <c r="J44" s="181">
        <v>0</v>
      </c>
      <c r="K44" s="181" t="s">
        <v>978</v>
      </c>
      <c r="L44" s="181" t="s">
        <v>978</v>
      </c>
      <c r="M44" s="181" t="s">
        <v>978</v>
      </c>
      <c r="N44" s="181" t="s">
        <v>978</v>
      </c>
    </row>
    <row r="45" spans="1:14" x14ac:dyDescent="0.25">
      <c r="A45" t="s">
        <v>8</v>
      </c>
      <c r="B45" s="179" t="s">
        <v>1847</v>
      </c>
      <c r="C45" s="179" t="s">
        <v>548</v>
      </c>
      <c r="D45" s="180">
        <v>2000</v>
      </c>
      <c r="E45" s="179">
        <v>2000</v>
      </c>
      <c r="F45" s="179" t="s">
        <v>978</v>
      </c>
      <c r="G45">
        <f t="shared" si="1"/>
        <v>-3000</v>
      </c>
      <c r="H45" s="181" t="s">
        <v>548</v>
      </c>
      <c r="I45" s="181">
        <v>5000</v>
      </c>
      <c r="J45" s="181">
        <v>0</v>
      </c>
      <c r="K45" s="181" t="s">
        <v>978</v>
      </c>
      <c r="L45" s="181" t="s">
        <v>978</v>
      </c>
      <c r="M45" s="181" t="s">
        <v>978</v>
      </c>
      <c r="N45" s="181" t="s">
        <v>978</v>
      </c>
    </row>
    <row r="46" spans="1:14" x14ac:dyDescent="0.25">
      <c r="A46" t="s">
        <v>8</v>
      </c>
      <c r="B46" s="179" t="s">
        <v>1847</v>
      </c>
      <c r="C46" s="179" t="s">
        <v>548</v>
      </c>
      <c r="D46" s="180">
        <v>2500</v>
      </c>
      <c r="E46" s="179">
        <v>2500</v>
      </c>
      <c r="F46" s="179" t="s">
        <v>978</v>
      </c>
      <c r="G46">
        <f t="shared" si="1"/>
        <v>-2500</v>
      </c>
      <c r="H46" s="181" t="s">
        <v>548</v>
      </c>
      <c r="I46" s="181">
        <v>5000</v>
      </c>
      <c r="J46" s="181">
        <v>0</v>
      </c>
      <c r="K46" s="181" t="s">
        <v>978</v>
      </c>
      <c r="L46" s="181" t="s">
        <v>978</v>
      </c>
      <c r="M46" s="181" t="s">
        <v>978</v>
      </c>
      <c r="N46" s="181" t="s">
        <v>978</v>
      </c>
    </row>
    <row r="47" spans="1:14" x14ac:dyDescent="0.25">
      <c r="A47" t="s">
        <v>8</v>
      </c>
      <c r="B47" s="179" t="s">
        <v>1838</v>
      </c>
      <c r="C47" s="179" t="s">
        <v>1826</v>
      </c>
      <c r="D47" s="180" t="s">
        <v>328</v>
      </c>
      <c r="E47" s="179">
        <v>25000</v>
      </c>
      <c r="F47" s="179">
        <v>50000</v>
      </c>
      <c r="G47">
        <f t="shared" si="1"/>
        <v>0</v>
      </c>
      <c r="H47" s="181" t="s">
        <v>544</v>
      </c>
      <c r="I47" s="181">
        <v>25000</v>
      </c>
      <c r="J47" s="181">
        <v>50000</v>
      </c>
      <c r="K47" s="181" t="s">
        <v>978</v>
      </c>
      <c r="L47" s="181" t="s">
        <v>978</v>
      </c>
      <c r="M47" s="181" t="s">
        <v>978</v>
      </c>
      <c r="N47" s="181" t="s">
        <v>978</v>
      </c>
    </row>
    <row r="48" spans="1:14" x14ac:dyDescent="0.25">
      <c r="A48" t="s">
        <v>8</v>
      </c>
      <c r="B48" s="179" t="s">
        <v>1838</v>
      </c>
      <c r="C48" s="179" t="s">
        <v>1826</v>
      </c>
      <c r="D48" s="180" t="s">
        <v>329</v>
      </c>
      <c r="E48" s="179">
        <v>30000</v>
      </c>
      <c r="F48" s="179">
        <v>60000</v>
      </c>
      <c r="G48">
        <f t="shared" si="1"/>
        <v>0</v>
      </c>
      <c r="H48" s="181" t="s">
        <v>544</v>
      </c>
      <c r="I48" s="181">
        <v>30000</v>
      </c>
      <c r="J48" s="181">
        <v>60000</v>
      </c>
      <c r="K48" s="181" t="s">
        <v>978</v>
      </c>
      <c r="L48" s="181" t="s">
        <v>978</v>
      </c>
      <c r="M48" s="181" t="s">
        <v>978</v>
      </c>
      <c r="N48" s="181" t="s">
        <v>978</v>
      </c>
    </row>
    <row r="49" spans="1:14" x14ac:dyDescent="0.25">
      <c r="A49" t="s">
        <v>8</v>
      </c>
      <c r="B49" s="179" t="s">
        <v>1838</v>
      </c>
      <c r="C49" s="179" t="s">
        <v>1826</v>
      </c>
      <c r="D49" s="180" t="s">
        <v>330</v>
      </c>
      <c r="E49" s="179">
        <v>50000</v>
      </c>
      <c r="F49" s="179">
        <v>100000</v>
      </c>
      <c r="G49">
        <f t="shared" si="1"/>
        <v>0</v>
      </c>
      <c r="H49" s="181" t="s">
        <v>544</v>
      </c>
      <c r="I49" s="181">
        <v>50000</v>
      </c>
      <c r="J49" s="181">
        <v>100000</v>
      </c>
      <c r="K49" s="181" t="s">
        <v>978</v>
      </c>
      <c r="L49" s="181" t="s">
        <v>978</v>
      </c>
      <c r="M49" s="181" t="s">
        <v>978</v>
      </c>
      <c r="N49" s="181" t="s">
        <v>978</v>
      </c>
    </row>
    <row r="50" spans="1:14" x14ac:dyDescent="0.25">
      <c r="A50" t="s">
        <v>8</v>
      </c>
      <c r="B50" s="179" t="s">
        <v>1838</v>
      </c>
      <c r="C50" s="179" t="s">
        <v>1826</v>
      </c>
      <c r="D50" s="180" t="s">
        <v>331</v>
      </c>
      <c r="E50" s="179">
        <v>100000</v>
      </c>
      <c r="F50" s="179">
        <v>300000</v>
      </c>
      <c r="G50">
        <f t="shared" si="1"/>
        <v>0</v>
      </c>
      <c r="H50" s="181" t="s">
        <v>544</v>
      </c>
      <c r="I50" s="181">
        <v>100000</v>
      </c>
      <c r="J50" s="181">
        <v>300000</v>
      </c>
      <c r="K50" s="181" t="s">
        <v>978</v>
      </c>
      <c r="L50" s="181" t="s">
        <v>978</v>
      </c>
      <c r="M50" s="181" t="s">
        <v>978</v>
      </c>
      <c r="N50" s="181" t="s">
        <v>978</v>
      </c>
    </row>
    <row r="51" spans="1:14" x14ac:dyDescent="0.25">
      <c r="A51" t="s">
        <v>8</v>
      </c>
      <c r="B51" s="179" t="s">
        <v>1838</v>
      </c>
      <c r="C51" s="179" t="s">
        <v>1826</v>
      </c>
      <c r="D51" s="180" t="s">
        <v>333</v>
      </c>
      <c r="E51" s="179">
        <v>300000</v>
      </c>
      <c r="F51" s="179">
        <v>300000</v>
      </c>
      <c r="G51">
        <f t="shared" si="1"/>
        <v>0</v>
      </c>
      <c r="H51" s="181" t="s">
        <v>544</v>
      </c>
      <c r="I51" s="181">
        <v>300000</v>
      </c>
      <c r="J51" s="181">
        <v>300000</v>
      </c>
      <c r="K51" s="181" t="s">
        <v>978</v>
      </c>
      <c r="L51" s="181" t="s">
        <v>978</v>
      </c>
      <c r="M51" s="181" t="s">
        <v>978</v>
      </c>
      <c r="N51" s="181" t="s">
        <v>978</v>
      </c>
    </row>
    <row r="52" spans="1:14" x14ac:dyDescent="0.25">
      <c r="A52" t="s">
        <v>8</v>
      </c>
      <c r="B52" s="179" t="s">
        <v>1838</v>
      </c>
      <c r="C52" s="179" t="s">
        <v>1826</v>
      </c>
      <c r="D52" s="180" t="s">
        <v>332</v>
      </c>
      <c r="E52" s="179">
        <v>250000</v>
      </c>
      <c r="F52" s="179">
        <v>500000</v>
      </c>
      <c r="G52">
        <f t="shared" si="1"/>
        <v>0</v>
      </c>
      <c r="H52" s="181" t="s">
        <v>544</v>
      </c>
      <c r="I52" s="181">
        <v>250000</v>
      </c>
      <c r="J52" s="181">
        <v>500000</v>
      </c>
      <c r="K52" s="181" t="s">
        <v>978</v>
      </c>
      <c r="L52" s="181" t="s">
        <v>978</v>
      </c>
      <c r="M52" s="181" t="s">
        <v>978</v>
      </c>
      <c r="N52" s="181" t="s">
        <v>978</v>
      </c>
    </row>
    <row r="53" spans="1:14" x14ac:dyDescent="0.25">
      <c r="A53" t="s">
        <v>8</v>
      </c>
      <c r="B53" s="179" t="s">
        <v>1838</v>
      </c>
      <c r="C53" s="179" t="s">
        <v>1826</v>
      </c>
      <c r="D53" s="180" t="s">
        <v>335</v>
      </c>
      <c r="E53" s="179">
        <v>500000</v>
      </c>
      <c r="F53" s="179">
        <v>1000000</v>
      </c>
      <c r="G53">
        <f t="shared" si="1"/>
        <v>0</v>
      </c>
      <c r="H53" s="181" t="s">
        <v>544</v>
      </c>
      <c r="I53" s="181">
        <v>500000</v>
      </c>
      <c r="J53" s="181">
        <v>1000000</v>
      </c>
      <c r="K53" s="181" t="s">
        <v>978</v>
      </c>
      <c r="L53" s="181" t="s">
        <v>978</v>
      </c>
      <c r="M53" s="181" t="s">
        <v>978</v>
      </c>
      <c r="N53" s="181" t="s">
        <v>978</v>
      </c>
    </row>
    <row r="54" spans="1:14" x14ac:dyDescent="0.25">
      <c r="A54" t="s">
        <v>8</v>
      </c>
      <c r="B54" s="179" t="s">
        <v>1825</v>
      </c>
      <c r="C54" s="179" t="s">
        <v>1826</v>
      </c>
      <c r="D54" s="180" t="s">
        <v>1832</v>
      </c>
      <c r="E54" s="179">
        <v>65000</v>
      </c>
      <c r="F54" s="179" t="s">
        <v>978</v>
      </c>
      <c r="G54">
        <f t="shared" si="1"/>
        <v>0</v>
      </c>
      <c r="H54" s="181" t="s">
        <v>545</v>
      </c>
      <c r="I54" s="181">
        <v>65000</v>
      </c>
      <c r="J54" s="181">
        <v>0</v>
      </c>
      <c r="K54" s="181" t="s">
        <v>978</v>
      </c>
      <c r="L54" s="181" t="s">
        <v>978</v>
      </c>
      <c r="M54" s="181" t="s">
        <v>978</v>
      </c>
      <c r="N54" s="181" t="s">
        <v>978</v>
      </c>
    </row>
    <row r="55" spans="1:14" x14ac:dyDescent="0.25">
      <c r="A55" t="s">
        <v>8</v>
      </c>
      <c r="B55" s="179" t="s">
        <v>1825</v>
      </c>
      <c r="C55" s="179" t="s">
        <v>1826</v>
      </c>
      <c r="D55" s="180" t="s">
        <v>1848</v>
      </c>
      <c r="E55" s="179">
        <v>100000</v>
      </c>
      <c r="F55" s="179" t="s">
        <v>978</v>
      </c>
      <c r="G55">
        <f t="shared" si="1"/>
        <v>0</v>
      </c>
      <c r="H55" s="181" t="s">
        <v>545</v>
      </c>
      <c r="I55" s="181">
        <v>100000</v>
      </c>
      <c r="J55" s="181">
        <v>0</v>
      </c>
      <c r="K55" s="181" t="s">
        <v>978</v>
      </c>
      <c r="L55" s="181" t="s">
        <v>978</v>
      </c>
      <c r="M55" s="181" t="s">
        <v>978</v>
      </c>
      <c r="N55" s="181" t="s">
        <v>978</v>
      </c>
    </row>
    <row r="56" spans="1:14" x14ac:dyDescent="0.25">
      <c r="A56" t="s">
        <v>8</v>
      </c>
      <c r="B56" s="179" t="s">
        <v>1825</v>
      </c>
      <c r="C56" s="179" t="s">
        <v>1826</v>
      </c>
      <c r="D56" s="180" t="s">
        <v>1849</v>
      </c>
      <c r="E56" s="179">
        <v>300000</v>
      </c>
      <c r="F56" s="179" t="s">
        <v>978</v>
      </c>
      <c r="G56">
        <f t="shared" si="1"/>
        <v>0</v>
      </c>
      <c r="H56" s="181" t="s">
        <v>545</v>
      </c>
      <c r="I56" s="181">
        <v>300000</v>
      </c>
      <c r="J56" s="181">
        <v>0</v>
      </c>
      <c r="K56" s="181" t="s">
        <v>978</v>
      </c>
      <c r="L56" s="181" t="s">
        <v>978</v>
      </c>
      <c r="M56" s="181" t="s">
        <v>978</v>
      </c>
      <c r="N56" s="181" t="s">
        <v>978</v>
      </c>
    </row>
    <row r="57" spans="1:14" x14ac:dyDescent="0.25">
      <c r="A57" t="s">
        <v>8</v>
      </c>
      <c r="B57" s="179" t="s">
        <v>1825</v>
      </c>
      <c r="C57" s="179" t="s">
        <v>1826</v>
      </c>
      <c r="D57" s="180" t="s">
        <v>1850</v>
      </c>
      <c r="E57" s="179">
        <v>500000</v>
      </c>
      <c r="F57" s="179" t="s">
        <v>978</v>
      </c>
      <c r="G57">
        <f t="shared" si="1"/>
        <v>0</v>
      </c>
      <c r="H57" s="181" t="s">
        <v>545</v>
      </c>
      <c r="I57" s="181">
        <v>500000</v>
      </c>
      <c r="J57" s="181">
        <v>0</v>
      </c>
      <c r="K57" s="181" t="s">
        <v>978</v>
      </c>
      <c r="L57" s="181" t="s">
        <v>978</v>
      </c>
      <c r="M57" s="181" t="s">
        <v>978</v>
      </c>
      <c r="N57" s="181" t="s">
        <v>978</v>
      </c>
    </row>
    <row r="58" spans="1:14" x14ac:dyDescent="0.25">
      <c r="A58" t="s">
        <v>8</v>
      </c>
      <c r="B58" s="179" t="s">
        <v>1825</v>
      </c>
      <c r="C58" s="179" t="s">
        <v>1826</v>
      </c>
      <c r="D58" s="180" t="s">
        <v>1824</v>
      </c>
      <c r="E58" s="179">
        <v>1000000</v>
      </c>
      <c r="F58" s="179" t="s">
        <v>978</v>
      </c>
      <c r="G58">
        <f t="shared" si="1"/>
        <v>0</v>
      </c>
      <c r="H58" s="181" t="s">
        <v>545</v>
      </c>
      <c r="I58" s="181">
        <v>1000000</v>
      </c>
      <c r="J58" s="181">
        <v>0</v>
      </c>
      <c r="K58" s="181" t="s">
        <v>978</v>
      </c>
      <c r="L58" s="181" t="s">
        <v>978</v>
      </c>
      <c r="M58" s="181" t="s">
        <v>978</v>
      </c>
      <c r="N58" s="181" t="s">
        <v>978</v>
      </c>
    </row>
    <row r="59" spans="1:14" x14ac:dyDescent="0.25">
      <c r="A59" t="s">
        <v>8</v>
      </c>
      <c r="B59" s="179" t="s">
        <v>1828</v>
      </c>
      <c r="C59" s="179" t="s">
        <v>1829</v>
      </c>
      <c r="D59" s="180">
        <v>15000</v>
      </c>
      <c r="E59" s="179">
        <v>15000</v>
      </c>
      <c r="F59" s="179" t="s">
        <v>978</v>
      </c>
      <c r="G59">
        <f t="shared" si="1"/>
        <v>0</v>
      </c>
      <c r="H59" s="181" t="s">
        <v>546</v>
      </c>
      <c r="I59" s="181">
        <v>15000</v>
      </c>
      <c r="J59" s="181">
        <v>0</v>
      </c>
      <c r="K59" s="181" t="s">
        <v>978</v>
      </c>
      <c r="L59" s="181" t="s">
        <v>978</v>
      </c>
      <c r="M59" s="181" t="s">
        <v>978</v>
      </c>
      <c r="N59" s="181" t="s">
        <v>978</v>
      </c>
    </row>
    <row r="60" spans="1:14" x14ac:dyDescent="0.25">
      <c r="A60" t="s">
        <v>8</v>
      </c>
      <c r="B60" s="179" t="s">
        <v>1828</v>
      </c>
      <c r="C60" s="179" t="s">
        <v>1829</v>
      </c>
      <c r="D60" s="180">
        <v>25000</v>
      </c>
      <c r="E60" s="179">
        <v>25000</v>
      </c>
      <c r="F60" s="179" t="s">
        <v>978</v>
      </c>
      <c r="G60">
        <f t="shared" si="1"/>
        <v>0</v>
      </c>
      <c r="H60" s="181" t="s">
        <v>546</v>
      </c>
      <c r="I60" s="181">
        <v>25000</v>
      </c>
      <c r="J60" s="181">
        <v>0</v>
      </c>
      <c r="K60" s="181" t="s">
        <v>978</v>
      </c>
      <c r="L60" s="181" t="s">
        <v>978</v>
      </c>
      <c r="M60" s="181" t="s">
        <v>978</v>
      </c>
      <c r="N60" s="181" t="s">
        <v>978</v>
      </c>
    </row>
    <row r="61" spans="1:14" x14ac:dyDescent="0.25">
      <c r="A61" t="s">
        <v>8</v>
      </c>
      <c r="B61" s="179" t="s">
        <v>1828</v>
      </c>
      <c r="C61" s="179" t="s">
        <v>1829</v>
      </c>
      <c r="D61" s="180" t="s">
        <v>1827</v>
      </c>
      <c r="E61" s="179">
        <v>25000</v>
      </c>
      <c r="F61" s="179" t="s">
        <v>978</v>
      </c>
      <c r="G61">
        <f t="shared" si="1"/>
        <v>0</v>
      </c>
      <c r="H61" s="181" t="s">
        <v>546</v>
      </c>
      <c r="I61" s="181">
        <v>25000</v>
      </c>
      <c r="J61" s="181">
        <v>0</v>
      </c>
      <c r="K61" s="181" t="s">
        <v>978</v>
      </c>
      <c r="L61" s="181" t="s">
        <v>978</v>
      </c>
      <c r="M61" s="181" t="s">
        <v>978</v>
      </c>
      <c r="N61" s="181" t="s">
        <v>978</v>
      </c>
    </row>
    <row r="62" spans="1:14" x14ac:dyDescent="0.25">
      <c r="A62" t="s">
        <v>8</v>
      </c>
      <c r="B62" s="179" t="s">
        <v>1828</v>
      </c>
      <c r="C62" s="179" t="s">
        <v>1829</v>
      </c>
      <c r="D62" s="180">
        <v>50000</v>
      </c>
      <c r="E62" s="179">
        <v>50000</v>
      </c>
      <c r="F62" s="179" t="s">
        <v>978</v>
      </c>
      <c r="G62">
        <f t="shared" si="1"/>
        <v>0</v>
      </c>
      <c r="H62" s="181" t="s">
        <v>546</v>
      </c>
      <c r="I62" s="181">
        <v>50000</v>
      </c>
      <c r="J62" s="181">
        <v>0</v>
      </c>
      <c r="K62" s="181" t="s">
        <v>978</v>
      </c>
      <c r="L62" s="181" t="s">
        <v>978</v>
      </c>
      <c r="M62" s="181" t="s">
        <v>978</v>
      </c>
      <c r="N62" s="181" t="s">
        <v>978</v>
      </c>
    </row>
    <row r="63" spans="1:14" x14ac:dyDescent="0.25">
      <c r="A63" t="s">
        <v>8</v>
      </c>
      <c r="B63" s="179" t="s">
        <v>1828</v>
      </c>
      <c r="C63" s="179" t="s">
        <v>1829</v>
      </c>
      <c r="D63" s="180" t="s">
        <v>1840</v>
      </c>
      <c r="E63" s="179">
        <v>50000</v>
      </c>
      <c r="F63" s="179" t="s">
        <v>978</v>
      </c>
      <c r="G63">
        <f t="shared" si="1"/>
        <v>0</v>
      </c>
      <c r="H63" s="181" t="s">
        <v>546</v>
      </c>
      <c r="I63" s="181">
        <v>50000</v>
      </c>
      <c r="J63" s="181">
        <v>0</v>
      </c>
      <c r="K63" s="181" t="s">
        <v>978</v>
      </c>
      <c r="L63" s="181" t="s">
        <v>978</v>
      </c>
      <c r="M63" s="181" t="s">
        <v>978</v>
      </c>
      <c r="N63" s="181" t="s">
        <v>978</v>
      </c>
    </row>
    <row r="64" spans="1:14" x14ac:dyDescent="0.25">
      <c r="A64" t="s">
        <v>8</v>
      </c>
      <c r="B64" s="179" t="s">
        <v>1828</v>
      </c>
      <c r="C64" s="179" t="s">
        <v>1829</v>
      </c>
      <c r="D64" s="180">
        <v>100000</v>
      </c>
      <c r="E64" s="179">
        <v>100000</v>
      </c>
      <c r="F64" s="179" t="s">
        <v>978</v>
      </c>
      <c r="G64">
        <f t="shared" si="1"/>
        <v>0</v>
      </c>
      <c r="H64" s="181" t="s">
        <v>546</v>
      </c>
      <c r="I64" s="181">
        <v>100000</v>
      </c>
      <c r="J64" s="181">
        <v>0</v>
      </c>
      <c r="K64" s="181" t="s">
        <v>978</v>
      </c>
      <c r="L64" s="181" t="s">
        <v>978</v>
      </c>
      <c r="M64" s="181" t="s">
        <v>978</v>
      </c>
      <c r="N64" s="181" t="s">
        <v>978</v>
      </c>
    </row>
    <row r="65" spans="1:14" x14ac:dyDescent="0.25">
      <c r="A65" t="s">
        <v>8</v>
      </c>
      <c r="B65" s="179" t="s">
        <v>1828</v>
      </c>
      <c r="C65" s="179" t="s">
        <v>1829</v>
      </c>
      <c r="D65" s="180" t="s">
        <v>1848</v>
      </c>
      <c r="E65" s="179">
        <v>100000</v>
      </c>
      <c r="F65" s="179" t="s">
        <v>978</v>
      </c>
      <c r="G65">
        <f t="shared" si="1"/>
        <v>0</v>
      </c>
      <c r="H65" s="181" t="s">
        <v>546</v>
      </c>
      <c r="I65" s="181">
        <v>100000</v>
      </c>
      <c r="J65" s="181">
        <v>0</v>
      </c>
      <c r="K65" s="181" t="s">
        <v>978</v>
      </c>
      <c r="L65" s="181" t="s">
        <v>978</v>
      </c>
      <c r="M65" s="181" t="s">
        <v>978</v>
      </c>
      <c r="N65" s="181" t="s">
        <v>978</v>
      </c>
    </row>
    <row r="66" spans="1:14" x14ac:dyDescent="0.25">
      <c r="A66" t="s">
        <v>8</v>
      </c>
      <c r="B66" s="179" t="s">
        <v>1828</v>
      </c>
      <c r="C66" s="179" t="s">
        <v>1829</v>
      </c>
      <c r="D66" s="180">
        <v>250000</v>
      </c>
      <c r="E66" s="179">
        <v>250000</v>
      </c>
      <c r="F66" s="179" t="s">
        <v>978</v>
      </c>
      <c r="G66">
        <f t="shared" si="1"/>
        <v>0</v>
      </c>
      <c r="H66" s="181" t="s">
        <v>546</v>
      </c>
      <c r="I66" s="181">
        <v>250000</v>
      </c>
      <c r="J66" s="181">
        <v>0</v>
      </c>
      <c r="K66" s="181" t="s">
        <v>978</v>
      </c>
      <c r="L66" s="181" t="s">
        <v>978</v>
      </c>
      <c r="M66" s="181" t="s">
        <v>978</v>
      </c>
      <c r="N66" s="181" t="s">
        <v>978</v>
      </c>
    </row>
    <row r="67" spans="1:14" x14ac:dyDescent="0.25">
      <c r="A67" t="s">
        <v>8</v>
      </c>
      <c r="B67" s="179" t="s">
        <v>1828</v>
      </c>
      <c r="C67" s="179" t="s">
        <v>1829</v>
      </c>
      <c r="D67" s="180" t="s">
        <v>1849</v>
      </c>
      <c r="E67" s="179">
        <v>300000</v>
      </c>
      <c r="F67" s="179" t="s">
        <v>978</v>
      </c>
      <c r="G67">
        <f t="shared" ref="G67:G84" si="2">E67-I67</f>
        <v>0</v>
      </c>
      <c r="H67" s="181" t="s">
        <v>546</v>
      </c>
      <c r="I67" s="181">
        <v>300000</v>
      </c>
      <c r="J67" s="181">
        <v>0</v>
      </c>
      <c r="K67" s="181" t="s">
        <v>978</v>
      </c>
      <c r="L67" s="181" t="s">
        <v>978</v>
      </c>
      <c r="M67" s="181" t="s">
        <v>978</v>
      </c>
      <c r="N67" s="181" t="s">
        <v>978</v>
      </c>
    </row>
    <row r="68" spans="1:14" x14ac:dyDescent="0.25">
      <c r="A68" t="s">
        <v>8</v>
      </c>
      <c r="B68" s="179" t="s">
        <v>1828</v>
      </c>
      <c r="C68" s="179" t="s">
        <v>1829</v>
      </c>
      <c r="D68" s="180" t="s">
        <v>1850</v>
      </c>
      <c r="E68" s="179">
        <v>500000</v>
      </c>
      <c r="F68" s="179" t="s">
        <v>978</v>
      </c>
      <c r="G68">
        <f t="shared" si="2"/>
        <v>0</v>
      </c>
      <c r="H68" s="181" t="s">
        <v>546</v>
      </c>
      <c r="I68" s="181">
        <v>500000</v>
      </c>
      <c r="J68" s="181">
        <v>0</v>
      </c>
      <c r="K68" s="181" t="s">
        <v>978</v>
      </c>
      <c r="L68" s="181" t="s">
        <v>978</v>
      </c>
      <c r="M68" s="181" t="s">
        <v>978</v>
      </c>
      <c r="N68" s="181" t="s">
        <v>978</v>
      </c>
    </row>
    <row r="69" spans="1:14" x14ac:dyDescent="0.25">
      <c r="A69" t="s">
        <v>8</v>
      </c>
      <c r="B69" s="179" t="s">
        <v>1828</v>
      </c>
      <c r="C69" s="179" t="s">
        <v>1829</v>
      </c>
      <c r="D69" s="180">
        <v>500000</v>
      </c>
      <c r="E69" s="179">
        <v>500000</v>
      </c>
      <c r="F69" s="179" t="s">
        <v>978</v>
      </c>
      <c r="G69">
        <f t="shared" si="2"/>
        <v>0</v>
      </c>
      <c r="H69" s="181" t="s">
        <v>546</v>
      </c>
      <c r="I69" s="181">
        <v>500000</v>
      </c>
      <c r="J69" s="181">
        <v>0</v>
      </c>
      <c r="K69" s="181" t="s">
        <v>978</v>
      </c>
      <c r="L69" s="181" t="s">
        <v>978</v>
      </c>
      <c r="M69" s="181" t="s">
        <v>978</v>
      </c>
      <c r="N69" s="181" t="s">
        <v>978</v>
      </c>
    </row>
    <row r="70" spans="1:14" x14ac:dyDescent="0.25">
      <c r="A70" t="s">
        <v>8</v>
      </c>
      <c r="B70" s="179" t="s">
        <v>1847</v>
      </c>
      <c r="C70" s="179" t="s">
        <v>548</v>
      </c>
      <c r="D70" s="180">
        <v>5000</v>
      </c>
      <c r="E70" s="179">
        <v>5000</v>
      </c>
      <c r="F70" s="179" t="s">
        <v>978</v>
      </c>
      <c r="G70">
        <f t="shared" si="2"/>
        <v>0</v>
      </c>
      <c r="H70" s="181" t="s">
        <v>548</v>
      </c>
      <c r="I70" s="181">
        <v>5000</v>
      </c>
      <c r="J70" s="181">
        <v>0</v>
      </c>
      <c r="K70" s="181" t="s">
        <v>978</v>
      </c>
      <c r="L70" s="181" t="s">
        <v>978</v>
      </c>
      <c r="M70" s="181" t="s">
        <v>978</v>
      </c>
      <c r="N70" s="181" t="s">
        <v>978</v>
      </c>
    </row>
    <row r="71" spans="1:14" x14ac:dyDescent="0.25">
      <c r="A71" t="s">
        <v>8</v>
      </c>
      <c r="B71" s="179" t="s">
        <v>1822</v>
      </c>
      <c r="C71" s="179" t="s">
        <v>1823</v>
      </c>
      <c r="D71" s="180" t="s">
        <v>1832</v>
      </c>
      <c r="E71" s="179">
        <v>65000</v>
      </c>
      <c r="F71" s="179" t="s">
        <v>978</v>
      </c>
      <c r="G71">
        <f t="shared" si="2"/>
        <v>0</v>
      </c>
      <c r="H71" s="181" t="s">
        <v>557</v>
      </c>
      <c r="I71" s="181">
        <v>65000</v>
      </c>
      <c r="J71" s="181">
        <v>0</v>
      </c>
      <c r="K71" s="181" t="s">
        <v>978</v>
      </c>
      <c r="L71" s="181" t="s">
        <v>978</v>
      </c>
      <c r="M71" s="181" t="s">
        <v>978</v>
      </c>
      <c r="N71" s="181" t="s">
        <v>978</v>
      </c>
    </row>
    <row r="72" spans="1:14" x14ac:dyDescent="0.25">
      <c r="A72" t="s">
        <v>8</v>
      </c>
      <c r="B72" s="179" t="s">
        <v>1822</v>
      </c>
      <c r="C72" s="179" t="s">
        <v>1823</v>
      </c>
      <c r="D72" s="180" t="s">
        <v>1836</v>
      </c>
      <c r="E72" s="179">
        <v>75000</v>
      </c>
      <c r="F72" s="179" t="s">
        <v>978</v>
      </c>
      <c r="G72">
        <f t="shared" si="2"/>
        <v>0</v>
      </c>
      <c r="H72" s="181" t="s">
        <v>557</v>
      </c>
      <c r="I72" s="181">
        <v>75000</v>
      </c>
      <c r="J72" s="181">
        <v>0</v>
      </c>
      <c r="K72" s="181" t="s">
        <v>978</v>
      </c>
      <c r="L72" s="181" t="s">
        <v>978</v>
      </c>
      <c r="M72" s="181" t="s">
        <v>978</v>
      </c>
      <c r="N72" s="181" t="s">
        <v>978</v>
      </c>
    </row>
    <row r="73" spans="1:14" x14ac:dyDescent="0.25">
      <c r="A73" t="s">
        <v>8</v>
      </c>
      <c r="B73" s="179" t="s">
        <v>1822</v>
      </c>
      <c r="C73" s="179" t="s">
        <v>1823</v>
      </c>
      <c r="D73" s="180" t="s">
        <v>1848</v>
      </c>
      <c r="E73" s="179">
        <v>100000</v>
      </c>
      <c r="F73" s="179" t="s">
        <v>978</v>
      </c>
      <c r="G73">
        <f t="shared" si="2"/>
        <v>0</v>
      </c>
      <c r="H73" s="181" t="s">
        <v>557</v>
      </c>
      <c r="I73" s="181">
        <v>100000</v>
      </c>
      <c r="J73" s="181">
        <v>0</v>
      </c>
      <c r="K73" s="181" t="s">
        <v>978</v>
      </c>
      <c r="L73" s="181" t="s">
        <v>978</v>
      </c>
      <c r="M73" s="181" t="s">
        <v>978</v>
      </c>
      <c r="N73" s="181" t="s">
        <v>978</v>
      </c>
    </row>
    <row r="74" spans="1:14" x14ac:dyDescent="0.25">
      <c r="A74" t="s">
        <v>8</v>
      </c>
      <c r="B74" s="179" t="s">
        <v>1822</v>
      </c>
      <c r="C74" s="179" t="s">
        <v>1823</v>
      </c>
      <c r="D74" s="180" t="s">
        <v>1849</v>
      </c>
      <c r="E74" s="179">
        <v>300000</v>
      </c>
      <c r="F74" s="179" t="s">
        <v>978</v>
      </c>
      <c r="G74">
        <f t="shared" si="2"/>
        <v>0</v>
      </c>
      <c r="H74" s="181" t="s">
        <v>557</v>
      </c>
      <c r="I74" s="181">
        <v>300000</v>
      </c>
      <c r="J74" s="181">
        <v>0</v>
      </c>
      <c r="K74" s="181" t="s">
        <v>978</v>
      </c>
      <c r="L74" s="181" t="s">
        <v>978</v>
      </c>
      <c r="M74" s="181" t="s">
        <v>978</v>
      </c>
      <c r="N74" s="181" t="s">
        <v>978</v>
      </c>
    </row>
    <row r="75" spans="1:14" x14ac:dyDescent="0.25">
      <c r="A75" t="s">
        <v>8</v>
      </c>
      <c r="B75" s="179" t="s">
        <v>1822</v>
      </c>
      <c r="C75" s="179" t="s">
        <v>1823</v>
      </c>
      <c r="D75" s="180" t="s">
        <v>1850</v>
      </c>
      <c r="E75" s="179">
        <v>500000</v>
      </c>
      <c r="F75" s="179" t="s">
        <v>978</v>
      </c>
      <c r="G75">
        <f t="shared" si="2"/>
        <v>0</v>
      </c>
      <c r="H75" s="181" t="s">
        <v>557</v>
      </c>
      <c r="I75" s="181">
        <v>500000</v>
      </c>
      <c r="J75" s="181">
        <v>0</v>
      </c>
      <c r="K75" s="181" t="s">
        <v>978</v>
      </c>
      <c r="L75" s="181" t="s">
        <v>978</v>
      </c>
      <c r="M75" s="181" t="s">
        <v>978</v>
      </c>
      <c r="N75" s="181" t="s">
        <v>978</v>
      </c>
    </row>
    <row r="76" spans="1:14" x14ac:dyDescent="0.25">
      <c r="A76" t="s">
        <v>8</v>
      </c>
      <c r="B76" s="179" t="s">
        <v>1842</v>
      </c>
      <c r="C76" s="179" t="s">
        <v>1823</v>
      </c>
      <c r="D76" s="180" t="s">
        <v>328</v>
      </c>
      <c r="E76" s="179">
        <v>25000</v>
      </c>
      <c r="F76" s="179">
        <v>50000</v>
      </c>
      <c r="G76">
        <f t="shared" si="2"/>
        <v>0</v>
      </c>
      <c r="H76" s="181" t="s">
        <v>558</v>
      </c>
      <c r="I76" s="181">
        <v>25000</v>
      </c>
      <c r="J76" s="181">
        <v>50000</v>
      </c>
      <c r="K76" s="181" t="s">
        <v>978</v>
      </c>
      <c r="L76" s="181" t="s">
        <v>978</v>
      </c>
      <c r="M76" s="181" t="s">
        <v>978</v>
      </c>
      <c r="N76" s="181" t="s">
        <v>978</v>
      </c>
    </row>
    <row r="77" spans="1:14" x14ac:dyDescent="0.25">
      <c r="A77" t="s">
        <v>8</v>
      </c>
      <c r="B77" s="179" t="s">
        <v>1842</v>
      </c>
      <c r="C77" s="179" t="s">
        <v>1823</v>
      </c>
      <c r="D77" s="180" t="s">
        <v>329</v>
      </c>
      <c r="E77" s="179">
        <v>30000</v>
      </c>
      <c r="F77" s="179">
        <v>60000</v>
      </c>
      <c r="G77">
        <f t="shared" si="2"/>
        <v>0</v>
      </c>
      <c r="H77" s="181" t="s">
        <v>558</v>
      </c>
      <c r="I77" s="181">
        <v>30000</v>
      </c>
      <c r="J77" s="181">
        <v>60000</v>
      </c>
      <c r="K77" s="181" t="s">
        <v>978</v>
      </c>
      <c r="L77" s="181" t="s">
        <v>978</v>
      </c>
      <c r="M77" s="181" t="s">
        <v>978</v>
      </c>
      <c r="N77" s="181" t="s">
        <v>978</v>
      </c>
    </row>
    <row r="78" spans="1:14" x14ac:dyDescent="0.25">
      <c r="A78" t="s">
        <v>8</v>
      </c>
      <c r="B78" s="179" t="s">
        <v>1842</v>
      </c>
      <c r="C78" s="179" t="s">
        <v>1823</v>
      </c>
      <c r="D78" s="180" t="s">
        <v>330</v>
      </c>
      <c r="E78" s="179">
        <v>50000</v>
      </c>
      <c r="F78" s="179">
        <v>100000</v>
      </c>
      <c r="G78">
        <f t="shared" si="2"/>
        <v>0</v>
      </c>
      <c r="H78" s="181" t="s">
        <v>558</v>
      </c>
      <c r="I78" s="181">
        <v>50000</v>
      </c>
      <c r="J78" s="181">
        <v>100000</v>
      </c>
      <c r="K78" s="181" t="s">
        <v>978</v>
      </c>
      <c r="L78" s="181" t="s">
        <v>978</v>
      </c>
      <c r="M78" s="181" t="s">
        <v>978</v>
      </c>
      <c r="N78" s="181" t="s">
        <v>978</v>
      </c>
    </row>
    <row r="79" spans="1:14" x14ac:dyDescent="0.25">
      <c r="A79" t="s">
        <v>8</v>
      </c>
      <c r="B79" s="179" t="s">
        <v>1842</v>
      </c>
      <c r="C79" s="179" t="s">
        <v>1823</v>
      </c>
      <c r="D79" s="180" t="s">
        <v>1851</v>
      </c>
      <c r="E79" s="179">
        <v>100000</v>
      </c>
      <c r="F79" s="179">
        <v>200000</v>
      </c>
      <c r="G79">
        <f t="shared" si="2"/>
        <v>0</v>
      </c>
      <c r="H79" s="181" t="s">
        <v>558</v>
      </c>
      <c r="I79" s="181">
        <v>100000</v>
      </c>
      <c r="J79" s="181">
        <v>300000</v>
      </c>
      <c r="K79" s="181" t="s">
        <v>978</v>
      </c>
      <c r="L79" s="181" t="s">
        <v>978</v>
      </c>
      <c r="M79" s="181" t="s">
        <v>978</v>
      </c>
      <c r="N79" s="181" t="s">
        <v>978</v>
      </c>
    </row>
    <row r="80" spans="1:14" x14ac:dyDescent="0.25">
      <c r="A80" t="s">
        <v>8</v>
      </c>
      <c r="B80" s="179" t="s">
        <v>1842</v>
      </c>
      <c r="C80" s="179" t="s">
        <v>1823</v>
      </c>
      <c r="D80" s="180" t="s">
        <v>331</v>
      </c>
      <c r="E80" s="179">
        <v>100000</v>
      </c>
      <c r="F80" s="179">
        <v>300000</v>
      </c>
      <c r="G80">
        <f t="shared" si="2"/>
        <v>0</v>
      </c>
      <c r="H80" s="181" t="s">
        <v>558</v>
      </c>
      <c r="I80" s="181">
        <v>100000</v>
      </c>
      <c r="J80" s="181">
        <v>300000</v>
      </c>
      <c r="K80" s="181" t="s">
        <v>978</v>
      </c>
      <c r="L80" s="181" t="s">
        <v>978</v>
      </c>
      <c r="M80" s="181" t="s">
        <v>978</v>
      </c>
      <c r="N80" s="181" t="s">
        <v>978</v>
      </c>
    </row>
    <row r="81" spans="1:14" x14ac:dyDescent="0.25">
      <c r="A81" t="s">
        <v>8</v>
      </c>
      <c r="B81" s="179" t="s">
        <v>1842</v>
      </c>
      <c r="C81" s="179" t="s">
        <v>1823</v>
      </c>
      <c r="D81" s="180" t="s">
        <v>333</v>
      </c>
      <c r="E81" s="179">
        <v>300000</v>
      </c>
      <c r="F81" s="179">
        <v>300000</v>
      </c>
      <c r="G81">
        <f t="shared" si="2"/>
        <v>0</v>
      </c>
      <c r="H81" s="181" t="s">
        <v>558</v>
      </c>
      <c r="I81" s="181">
        <v>300000</v>
      </c>
      <c r="J81" s="181">
        <v>300000</v>
      </c>
      <c r="K81" s="181" t="s">
        <v>978</v>
      </c>
      <c r="L81" s="181" t="s">
        <v>978</v>
      </c>
      <c r="M81" s="181" t="s">
        <v>978</v>
      </c>
      <c r="N81" s="181" t="s">
        <v>978</v>
      </c>
    </row>
    <row r="82" spans="1:14" x14ac:dyDescent="0.25">
      <c r="A82" t="s">
        <v>8</v>
      </c>
      <c r="B82" s="179" t="s">
        <v>1842</v>
      </c>
      <c r="C82" s="179" t="s">
        <v>1823</v>
      </c>
      <c r="D82" s="180" t="s">
        <v>332</v>
      </c>
      <c r="E82" s="179">
        <v>250000</v>
      </c>
      <c r="F82" s="179">
        <v>500000</v>
      </c>
      <c r="G82">
        <f t="shared" si="2"/>
        <v>0</v>
      </c>
      <c r="H82" s="181" t="s">
        <v>558</v>
      </c>
      <c r="I82" s="181">
        <v>250000</v>
      </c>
      <c r="J82" s="181">
        <v>500000</v>
      </c>
      <c r="K82" s="181" t="s">
        <v>978</v>
      </c>
      <c r="L82" s="181" t="s">
        <v>978</v>
      </c>
      <c r="M82" s="181" t="s">
        <v>978</v>
      </c>
      <c r="N82" s="181" t="s">
        <v>978</v>
      </c>
    </row>
    <row r="83" spans="1:14" x14ac:dyDescent="0.25">
      <c r="A83" t="s">
        <v>8</v>
      </c>
      <c r="B83" s="179" t="s">
        <v>1842</v>
      </c>
      <c r="C83" s="179" t="s">
        <v>1823</v>
      </c>
      <c r="D83" s="180" t="s">
        <v>334</v>
      </c>
      <c r="E83" s="179">
        <v>500000</v>
      </c>
      <c r="F83" s="179">
        <v>500000</v>
      </c>
      <c r="G83">
        <f t="shared" si="2"/>
        <v>0</v>
      </c>
      <c r="H83" s="181" t="s">
        <v>558</v>
      </c>
      <c r="I83" s="181">
        <v>500000</v>
      </c>
      <c r="J83" s="181">
        <v>500000</v>
      </c>
      <c r="K83" s="181" t="s">
        <v>978</v>
      </c>
      <c r="L83" s="181" t="s">
        <v>978</v>
      </c>
      <c r="M83" s="181" t="s">
        <v>978</v>
      </c>
      <c r="N83" s="181" t="s">
        <v>978</v>
      </c>
    </row>
    <row r="84" spans="1:14" x14ac:dyDescent="0.25">
      <c r="A84" t="s">
        <v>8</v>
      </c>
      <c r="B84" s="179" t="s">
        <v>1842</v>
      </c>
      <c r="C84" s="179" t="s">
        <v>1823</v>
      </c>
      <c r="D84" s="180" t="s">
        <v>335</v>
      </c>
      <c r="E84" s="179">
        <v>500000</v>
      </c>
      <c r="F84" s="179">
        <v>1000000</v>
      </c>
      <c r="G84">
        <f t="shared" si="2"/>
        <v>0</v>
      </c>
      <c r="H84" s="181" t="s">
        <v>558</v>
      </c>
      <c r="I84" s="181">
        <v>500000</v>
      </c>
      <c r="J84" s="181">
        <v>500000</v>
      </c>
      <c r="K84" s="181" t="s">
        <v>978</v>
      </c>
      <c r="L84" s="181" t="s">
        <v>978</v>
      </c>
      <c r="M84" s="181" t="s">
        <v>978</v>
      </c>
      <c r="N84" s="181" t="s">
        <v>978</v>
      </c>
    </row>
    <row r="86" spans="1:14" ht="13" thickBot="1" x14ac:dyDescent="0.3"/>
    <row r="87" spans="1:14" ht="63" thickBot="1" x14ac:dyDescent="0.3">
      <c r="B87" s="1203" t="s">
        <v>1807</v>
      </c>
      <c r="C87" s="1204"/>
      <c r="D87" s="1204"/>
      <c r="E87" s="1205"/>
      <c r="F87" s="1206" t="s">
        <v>1809</v>
      </c>
      <c r="G87" s="1207"/>
      <c r="H87" s="1208"/>
      <c r="L87" s="185" t="s">
        <v>1852</v>
      </c>
    </row>
    <row r="88" spans="1:14" ht="13" thickBot="1" x14ac:dyDescent="0.3">
      <c r="A88" s="182" t="s">
        <v>525</v>
      </c>
      <c r="B88" s="183" t="s">
        <v>1810</v>
      </c>
      <c r="C88" s="183" t="s">
        <v>1811</v>
      </c>
      <c r="D88" s="183" t="s">
        <v>1812</v>
      </c>
      <c r="E88" s="183" t="s">
        <v>1853</v>
      </c>
      <c r="F88" s="183" t="s">
        <v>1854</v>
      </c>
      <c r="G88" s="183" t="s">
        <v>1815</v>
      </c>
      <c r="H88" s="184" t="s">
        <v>614</v>
      </c>
    </row>
    <row r="89" spans="1:14" x14ac:dyDescent="0.25">
      <c r="A89" t="s">
        <v>8</v>
      </c>
      <c r="B89" s="179" t="s">
        <v>1855</v>
      </c>
      <c r="C89" s="179" t="s">
        <v>540</v>
      </c>
      <c r="D89" s="179" t="s">
        <v>1856</v>
      </c>
      <c r="E89" s="179">
        <v>0</v>
      </c>
      <c r="F89" s="181">
        <v>64141</v>
      </c>
      <c r="G89" s="181" t="s">
        <v>540</v>
      </c>
      <c r="H89" s="181">
        <v>0</v>
      </c>
    </row>
    <row r="90" spans="1:14" x14ac:dyDescent="0.25">
      <c r="A90" t="s">
        <v>8</v>
      </c>
      <c r="B90" s="179" t="s">
        <v>1855</v>
      </c>
      <c r="C90" s="179" t="s">
        <v>540</v>
      </c>
      <c r="D90" s="179" t="s">
        <v>1857</v>
      </c>
      <c r="E90" s="179">
        <v>50</v>
      </c>
      <c r="F90" s="181">
        <v>64323</v>
      </c>
      <c r="G90" s="181" t="s">
        <v>540</v>
      </c>
      <c r="H90" s="181">
        <v>100</v>
      </c>
    </row>
    <row r="91" spans="1:14" x14ac:dyDescent="0.25">
      <c r="A91" t="s">
        <v>8</v>
      </c>
      <c r="B91" s="179" t="s">
        <v>1855</v>
      </c>
      <c r="C91" s="179" t="s">
        <v>540</v>
      </c>
      <c r="D91" s="179" t="s">
        <v>1858</v>
      </c>
      <c r="E91" s="179">
        <v>100</v>
      </c>
      <c r="F91" s="181">
        <v>64323</v>
      </c>
      <c r="G91" s="181" t="s">
        <v>540</v>
      </c>
      <c r="H91" s="181">
        <v>100</v>
      </c>
    </row>
    <row r="92" spans="1:14" x14ac:dyDescent="0.25">
      <c r="A92" t="s">
        <v>8</v>
      </c>
      <c r="B92" s="179" t="s">
        <v>1855</v>
      </c>
      <c r="C92" s="179" t="s">
        <v>540</v>
      </c>
      <c r="D92" s="179" t="s">
        <v>1859</v>
      </c>
      <c r="E92" s="179">
        <v>200</v>
      </c>
      <c r="F92" s="181">
        <v>64142</v>
      </c>
      <c r="G92" s="181" t="s">
        <v>540</v>
      </c>
      <c r="H92" s="181">
        <v>250</v>
      </c>
    </row>
    <row r="93" spans="1:14" x14ac:dyDescent="0.25">
      <c r="A93" t="s">
        <v>8</v>
      </c>
      <c r="B93" s="179" t="s">
        <v>1855</v>
      </c>
      <c r="C93" s="179" t="s">
        <v>540</v>
      </c>
      <c r="D93" s="179" t="s">
        <v>1860</v>
      </c>
      <c r="E93" s="179">
        <v>250</v>
      </c>
      <c r="F93" s="181">
        <v>64142</v>
      </c>
      <c r="G93" s="181" t="s">
        <v>540</v>
      </c>
      <c r="H93" s="181">
        <v>250</v>
      </c>
    </row>
    <row r="94" spans="1:14" x14ac:dyDescent="0.25">
      <c r="A94" t="s">
        <v>8</v>
      </c>
      <c r="B94" s="179" t="s">
        <v>1855</v>
      </c>
      <c r="C94" s="179" t="s">
        <v>540</v>
      </c>
      <c r="D94" s="179" t="s">
        <v>1861</v>
      </c>
      <c r="E94" s="179">
        <v>500</v>
      </c>
      <c r="F94" s="181">
        <v>64143</v>
      </c>
      <c r="G94" s="181" t="s">
        <v>540</v>
      </c>
      <c r="H94" s="181">
        <v>500</v>
      </c>
    </row>
    <row r="95" spans="1:14" x14ac:dyDescent="0.25">
      <c r="A95" t="s">
        <v>8</v>
      </c>
      <c r="B95" s="179" t="s">
        <v>1855</v>
      </c>
      <c r="C95" s="179" t="s">
        <v>540</v>
      </c>
      <c r="D95" s="179" t="s">
        <v>1862</v>
      </c>
      <c r="E95" s="179">
        <v>1000</v>
      </c>
      <c r="F95" s="181">
        <v>64144</v>
      </c>
      <c r="G95" s="181" t="s">
        <v>540</v>
      </c>
      <c r="H95" s="181">
        <v>1000</v>
      </c>
    </row>
    <row r="96" spans="1:14" x14ac:dyDescent="0.25">
      <c r="A96" t="s">
        <v>8</v>
      </c>
      <c r="B96" s="179" t="s">
        <v>1855</v>
      </c>
      <c r="C96" s="179" t="s">
        <v>540</v>
      </c>
      <c r="D96" s="179" t="s">
        <v>1863</v>
      </c>
      <c r="E96" s="179">
        <v>2500</v>
      </c>
      <c r="F96" s="181">
        <v>64145</v>
      </c>
      <c r="G96" s="181" t="s">
        <v>540</v>
      </c>
      <c r="H96" s="181">
        <v>2500</v>
      </c>
    </row>
    <row r="97" spans="1:8" x14ac:dyDescent="0.25">
      <c r="A97" t="s">
        <v>8</v>
      </c>
      <c r="B97" s="179" t="s">
        <v>1855</v>
      </c>
      <c r="C97" s="179" t="s">
        <v>540</v>
      </c>
      <c r="D97" s="179" t="s">
        <v>1864</v>
      </c>
      <c r="E97" s="179">
        <v>5000</v>
      </c>
      <c r="F97" s="181">
        <v>64146</v>
      </c>
      <c r="G97" s="181" t="s">
        <v>540</v>
      </c>
      <c r="H97" s="181">
        <v>5000</v>
      </c>
    </row>
    <row r="98" spans="1:8" x14ac:dyDescent="0.25">
      <c r="A98" t="s">
        <v>8</v>
      </c>
      <c r="B98" s="179" t="s">
        <v>1865</v>
      </c>
      <c r="C98" s="179" t="s">
        <v>1866</v>
      </c>
      <c r="D98" s="179" t="s">
        <v>1856</v>
      </c>
      <c r="E98" s="179">
        <v>0</v>
      </c>
      <c r="F98" s="181">
        <v>64227</v>
      </c>
      <c r="G98" s="181" t="s">
        <v>541</v>
      </c>
      <c r="H98" s="181">
        <v>0</v>
      </c>
    </row>
    <row r="99" spans="1:8" x14ac:dyDescent="0.25">
      <c r="A99" t="s">
        <v>8</v>
      </c>
      <c r="B99" s="179" t="s">
        <v>1865</v>
      </c>
      <c r="C99" s="179" t="s">
        <v>1866</v>
      </c>
      <c r="D99" s="179" t="s">
        <v>1857</v>
      </c>
      <c r="E99" s="179">
        <v>50</v>
      </c>
      <c r="F99" s="181">
        <v>74546</v>
      </c>
      <c r="G99" s="181" t="s">
        <v>541</v>
      </c>
      <c r="H99" s="181">
        <v>100</v>
      </c>
    </row>
    <row r="100" spans="1:8" x14ac:dyDescent="0.25">
      <c r="A100" t="s">
        <v>8</v>
      </c>
      <c r="B100" s="179" t="s">
        <v>1865</v>
      </c>
      <c r="C100" s="179" t="s">
        <v>1866</v>
      </c>
      <c r="D100" s="179" t="s">
        <v>1858</v>
      </c>
      <c r="E100" s="179">
        <v>100</v>
      </c>
      <c r="F100" s="181">
        <v>74546</v>
      </c>
      <c r="G100" s="181" t="s">
        <v>541</v>
      </c>
      <c r="H100" s="181">
        <v>100</v>
      </c>
    </row>
    <row r="101" spans="1:8" x14ac:dyDescent="0.25">
      <c r="A101" t="s">
        <v>8</v>
      </c>
      <c r="B101" s="179" t="s">
        <v>1865</v>
      </c>
      <c r="C101" s="179" t="s">
        <v>1866</v>
      </c>
      <c r="D101" s="179" t="s">
        <v>1860</v>
      </c>
      <c r="E101" s="179">
        <v>250</v>
      </c>
      <c r="F101" s="181">
        <v>64228</v>
      </c>
      <c r="G101" s="181" t="s">
        <v>541</v>
      </c>
      <c r="H101" s="181">
        <v>250</v>
      </c>
    </row>
    <row r="102" spans="1:8" x14ac:dyDescent="0.25">
      <c r="A102" t="s">
        <v>8</v>
      </c>
      <c r="B102" s="179" t="s">
        <v>1865</v>
      </c>
      <c r="C102" s="179" t="s">
        <v>1866</v>
      </c>
      <c r="D102" s="179" t="s">
        <v>1861</v>
      </c>
      <c r="E102" s="179">
        <v>500</v>
      </c>
      <c r="F102" s="181">
        <v>64229</v>
      </c>
      <c r="G102" s="181" t="s">
        <v>541</v>
      </c>
      <c r="H102" s="181">
        <v>500</v>
      </c>
    </row>
    <row r="103" spans="1:8" x14ac:dyDescent="0.25">
      <c r="A103" t="s">
        <v>8</v>
      </c>
      <c r="B103" s="179" t="s">
        <v>1865</v>
      </c>
      <c r="C103" s="179" t="s">
        <v>1866</v>
      </c>
      <c r="D103" s="179" t="s">
        <v>1862</v>
      </c>
      <c r="E103" s="179">
        <v>1000</v>
      </c>
      <c r="F103" s="181">
        <v>64230</v>
      </c>
      <c r="G103" s="181" t="s">
        <v>541</v>
      </c>
      <c r="H103" s="181">
        <v>1000</v>
      </c>
    </row>
    <row r="104" spans="1:8" x14ac:dyDescent="0.25">
      <c r="A104" t="s">
        <v>8</v>
      </c>
      <c r="B104" s="179" t="s">
        <v>1865</v>
      </c>
      <c r="C104" s="179" t="s">
        <v>1866</v>
      </c>
      <c r="D104" s="179" t="s">
        <v>1863</v>
      </c>
      <c r="E104" s="179">
        <v>2500</v>
      </c>
      <c r="F104" s="181">
        <v>64231</v>
      </c>
      <c r="G104" s="181" t="s">
        <v>541</v>
      </c>
      <c r="H104" s="181">
        <v>2500</v>
      </c>
    </row>
    <row r="105" spans="1:8" x14ac:dyDescent="0.25">
      <c r="A105" t="s">
        <v>8</v>
      </c>
      <c r="B105" s="179" t="s">
        <v>1865</v>
      </c>
      <c r="C105" s="179" t="s">
        <v>1866</v>
      </c>
      <c r="D105" s="179" t="s">
        <v>1864</v>
      </c>
      <c r="E105" s="179">
        <v>5000</v>
      </c>
      <c r="F105" s="181">
        <v>64232</v>
      </c>
      <c r="G105" s="181" t="s">
        <v>541</v>
      </c>
      <c r="H105" s="181">
        <v>5000</v>
      </c>
    </row>
    <row r="106" spans="1:8" x14ac:dyDescent="0.25">
      <c r="A106" t="s">
        <v>8</v>
      </c>
      <c r="B106" s="179" t="s">
        <v>1867</v>
      </c>
      <c r="C106" s="179" t="s">
        <v>1868</v>
      </c>
      <c r="D106" s="179" t="s">
        <v>1856</v>
      </c>
      <c r="E106" s="179">
        <v>0</v>
      </c>
      <c r="F106" s="181">
        <v>64227</v>
      </c>
      <c r="G106" s="181" t="s">
        <v>541</v>
      </c>
      <c r="H106" s="181">
        <v>0</v>
      </c>
    </row>
    <row r="107" spans="1:8" x14ac:dyDescent="0.25">
      <c r="A107" t="s">
        <v>8</v>
      </c>
      <c r="B107" s="179" t="s">
        <v>1867</v>
      </c>
      <c r="C107" s="179" t="s">
        <v>1868</v>
      </c>
      <c r="D107" s="179" t="s">
        <v>1857</v>
      </c>
      <c r="E107" s="179">
        <v>50</v>
      </c>
      <c r="F107" s="181">
        <v>74546</v>
      </c>
      <c r="G107" s="181" t="s">
        <v>541</v>
      </c>
      <c r="H107" s="181">
        <v>100</v>
      </c>
    </row>
    <row r="108" spans="1:8" x14ac:dyDescent="0.25">
      <c r="A108" t="s">
        <v>8</v>
      </c>
      <c r="B108" s="179" t="s">
        <v>1867</v>
      </c>
      <c r="C108" s="179" t="s">
        <v>1868</v>
      </c>
      <c r="D108" s="179" t="s">
        <v>1858</v>
      </c>
      <c r="E108" s="179">
        <v>100</v>
      </c>
      <c r="F108" s="181">
        <v>74546</v>
      </c>
      <c r="G108" s="181" t="s">
        <v>541</v>
      </c>
      <c r="H108" s="181">
        <v>100</v>
      </c>
    </row>
    <row r="109" spans="1:8" x14ac:dyDescent="0.25">
      <c r="A109" t="s">
        <v>8</v>
      </c>
      <c r="B109" s="179" t="s">
        <v>1867</v>
      </c>
      <c r="C109" s="179" t="s">
        <v>1868</v>
      </c>
      <c r="D109" s="179" t="s">
        <v>1859</v>
      </c>
      <c r="E109" s="179">
        <v>200</v>
      </c>
      <c r="F109" s="181">
        <v>64228</v>
      </c>
      <c r="G109" s="181" t="s">
        <v>541</v>
      </c>
      <c r="H109" s="181">
        <v>250</v>
      </c>
    </row>
    <row r="110" spans="1:8" x14ac:dyDescent="0.25">
      <c r="A110" t="s">
        <v>8</v>
      </c>
      <c r="B110" s="179" t="s">
        <v>1867</v>
      </c>
      <c r="C110" s="179" t="s">
        <v>1868</v>
      </c>
      <c r="D110" s="179" t="s">
        <v>1860</v>
      </c>
      <c r="E110" s="179">
        <v>250</v>
      </c>
      <c r="F110" s="181">
        <v>64228</v>
      </c>
      <c r="G110" s="181" t="s">
        <v>541</v>
      </c>
      <c r="H110" s="181">
        <v>250</v>
      </c>
    </row>
    <row r="111" spans="1:8" x14ac:dyDescent="0.25">
      <c r="A111" t="s">
        <v>8</v>
      </c>
      <c r="B111" s="179" t="s">
        <v>1867</v>
      </c>
      <c r="C111" s="179" t="s">
        <v>1868</v>
      </c>
      <c r="D111" s="179" t="s">
        <v>1861</v>
      </c>
      <c r="E111" s="179">
        <v>500</v>
      </c>
      <c r="F111" s="181">
        <v>64229</v>
      </c>
      <c r="G111" s="181" t="s">
        <v>541</v>
      </c>
      <c r="H111" s="181">
        <v>500</v>
      </c>
    </row>
    <row r="112" spans="1:8" x14ac:dyDescent="0.25">
      <c r="A112" t="s">
        <v>8</v>
      </c>
      <c r="B112" s="179" t="s">
        <v>1867</v>
      </c>
      <c r="C112" s="179" t="s">
        <v>1868</v>
      </c>
      <c r="D112" s="179" t="s">
        <v>1862</v>
      </c>
      <c r="E112" s="179">
        <v>1000</v>
      </c>
      <c r="F112" s="181">
        <v>64230</v>
      </c>
      <c r="G112" s="181" t="s">
        <v>541</v>
      </c>
      <c r="H112" s="181">
        <v>1000</v>
      </c>
    </row>
    <row r="113" spans="1:8" x14ac:dyDescent="0.25">
      <c r="A113" t="s">
        <v>8</v>
      </c>
      <c r="B113" s="179" t="s">
        <v>1867</v>
      </c>
      <c r="C113" s="179" t="s">
        <v>1868</v>
      </c>
      <c r="D113" s="179" t="s">
        <v>1863</v>
      </c>
      <c r="E113" s="179">
        <v>2500</v>
      </c>
      <c r="F113" s="181">
        <v>64231</v>
      </c>
      <c r="G113" s="181" t="s">
        <v>541</v>
      </c>
      <c r="H113" s="181">
        <v>2500</v>
      </c>
    </row>
    <row r="114" spans="1:8" x14ac:dyDescent="0.25">
      <c r="A114" t="s">
        <v>8</v>
      </c>
      <c r="B114" s="179" t="s">
        <v>1867</v>
      </c>
      <c r="C114" s="179" t="s">
        <v>1868</v>
      </c>
      <c r="D114" s="179" t="s">
        <v>1864</v>
      </c>
      <c r="E114" s="179">
        <v>5000</v>
      </c>
      <c r="F114" s="181">
        <v>64232</v>
      </c>
      <c r="G114" s="181" t="s">
        <v>541</v>
      </c>
      <c r="H114" s="181">
        <v>5000</v>
      </c>
    </row>
    <row r="115" spans="1:8" x14ac:dyDescent="0.25">
      <c r="A115" t="s">
        <v>8</v>
      </c>
      <c r="B115" s="179" t="s">
        <v>1869</v>
      </c>
      <c r="C115" s="179" t="s">
        <v>1870</v>
      </c>
      <c r="D115" s="179" t="s">
        <v>1860</v>
      </c>
      <c r="E115" s="179">
        <v>250</v>
      </c>
      <c r="F115" s="181">
        <v>64228</v>
      </c>
      <c r="G115" s="181" t="s">
        <v>541</v>
      </c>
      <c r="H115" s="181">
        <v>250</v>
      </c>
    </row>
    <row r="116" spans="1:8" x14ac:dyDescent="0.25">
      <c r="A116" t="s">
        <v>8</v>
      </c>
      <c r="B116" s="179" t="s">
        <v>1869</v>
      </c>
      <c r="C116" s="179" t="s">
        <v>1870</v>
      </c>
      <c r="D116" s="179" t="s">
        <v>1861</v>
      </c>
      <c r="E116" s="179">
        <v>500</v>
      </c>
      <c r="F116" s="181">
        <v>64229</v>
      </c>
      <c r="G116" s="181" t="s">
        <v>541</v>
      </c>
      <c r="H116" s="181">
        <v>500</v>
      </c>
    </row>
    <row r="117" spans="1:8" x14ac:dyDescent="0.25">
      <c r="A117" t="s">
        <v>8</v>
      </c>
      <c r="B117" s="179" t="s">
        <v>1869</v>
      </c>
      <c r="C117" s="179" t="s">
        <v>1870</v>
      </c>
      <c r="D117" s="179" t="s">
        <v>1871</v>
      </c>
      <c r="E117" s="179">
        <v>1000</v>
      </c>
      <c r="F117" s="181">
        <v>64230</v>
      </c>
      <c r="G117" s="181" t="s">
        <v>541</v>
      </c>
      <c r="H117" s="181">
        <v>1000</v>
      </c>
    </row>
    <row r="118" spans="1:8" x14ac:dyDescent="0.25">
      <c r="A118" t="s">
        <v>8</v>
      </c>
      <c r="B118" s="179" t="s">
        <v>1869</v>
      </c>
      <c r="C118" s="179" t="s">
        <v>1870</v>
      </c>
      <c r="D118" s="179" t="s">
        <v>1864</v>
      </c>
      <c r="E118" s="179">
        <v>5000</v>
      </c>
      <c r="F118" s="181">
        <v>64232</v>
      </c>
      <c r="G118" s="181" t="s">
        <v>541</v>
      </c>
      <c r="H118" s="181">
        <v>5000</v>
      </c>
    </row>
  </sheetData>
  <autoFilter ref="A2:N2" xr:uid="{16096678-9118-41EE-B093-E0F3E01CF3C3}"/>
  <mergeCells count="4">
    <mergeCell ref="B1:F1"/>
    <mergeCell ref="H1:J1"/>
    <mergeCell ref="B87:E87"/>
    <mergeCell ref="F87:H87"/>
  </mergeCells>
  <conditionalFormatting sqref="G1:G2">
    <cfRule type="cellIs" dxfId="3" priority="4" operator="greaterThan">
      <formula>0</formula>
    </cfRule>
  </conditionalFormatting>
  <conditionalFormatting sqref="G2">
    <cfRule type="cellIs" dxfId="2" priority="3" operator="lessThan">
      <formula>1</formula>
    </cfRule>
  </conditionalFormatting>
  <conditionalFormatting sqref="G3:G84">
    <cfRule type="cellIs" dxfId="1" priority="2" operator="greaterThan">
      <formula>0</formula>
    </cfRule>
  </conditionalFormatting>
  <conditionalFormatting sqref="G3:G84">
    <cfRule type="cellIs" dxfId="0" priority="1" operator="lessThan">
      <formula>1</formula>
    </cfRule>
  </conditionalFormatting>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D79EC-2252-4633-AB0C-CD55D811354A}">
  <dimension ref="A1:I19"/>
  <sheetViews>
    <sheetView workbookViewId="0">
      <selection activeCell="J24" sqref="J24"/>
    </sheetView>
  </sheetViews>
  <sheetFormatPr defaultRowHeight="12.5" x14ac:dyDescent="0.25"/>
  <sheetData>
    <row r="1" spans="1:9" ht="13" x14ac:dyDescent="0.3">
      <c r="A1" s="35"/>
      <c r="B1" s="9"/>
      <c r="C1" s="36"/>
      <c r="D1" s="36"/>
      <c r="E1" s="37"/>
      <c r="F1" s="37"/>
      <c r="G1" s="38"/>
      <c r="H1" s="8"/>
    </row>
    <row r="2" spans="1:9" s="24" customFormat="1" ht="22.5" customHeight="1" x14ac:dyDescent="0.25">
      <c r="A2" s="32" t="s">
        <v>173</v>
      </c>
      <c r="B2" s="1163" t="s">
        <v>1872</v>
      </c>
      <c r="C2" s="1163"/>
      <c r="D2" s="1163"/>
      <c r="E2" s="1163"/>
      <c r="F2" s="1163"/>
      <c r="G2" s="1163"/>
      <c r="H2" s="1163"/>
    </row>
    <row r="3" spans="1:9" ht="13" x14ac:dyDescent="0.3">
      <c r="A3" s="35" t="s">
        <v>1873</v>
      </c>
      <c r="B3" s="1040" t="s">
        <v>964</v>
      </c>
      <c r="C3" s="1040"/>
      <c r="D3" s="1040"/>
      <c r="E3" s="1040"/>
      <c r="F3" s="1040"/>
      <c r="G3" s="1040"/>
      <c r="H3" s="1040"/>
    </row>
    <row r="4" spans="1:9" ht="13" x14ac:dyDescent="0.3">
      <c r="A4" s="35" t="s">
        <v>175</v>
      </c>
      <c r="B4" s="1040" t="s">
        <v>176</v>
      </c>
      <c r="C4" s="1040"/>
      <c r="D4" s="1040"/>
      <c r="H4" s="7"/>
    </row>
    <row r="5" spans="1:9" ht="13" x14ac:dyDescent="0.3">
      <c r="A5" s="35" t="s">
        <v>178</v>
      </c>
      <c r="B5" s="264">
        <v>0.35039999999999999</v>
      </c>
      <c r="C5" s="3"/>
      <c r="D5" s="3"/>
      <c r="E5" s="3"/>
      <c r="F5" s="3"/>
      <c r="G5" s="3"/>
      <c r="H5" s="7"/>
    </row>
    <row r="6" spans="1:9" ht="13" x14ac:dyDescent="0.3">
      <c r="A6" s="35" t="s">
        <v>180</v>
      </c>
      <c r="B6" s="39">
        <v>0</v>
      </c>
      <c r="C6" s="3"/>
      <c r="D6" s="3"/>
      <c r="E6" s="3"/>
      <c r="F6" s="3"/>
      <c r="G6" s="3"/>
      <c r="H6" s="7"/>
    </row>
    <row r="7" spans="1:9" ht="13" x14ac:dyDescent="0.3">
      <c r="A7" s="35" t="s">
        <v>1874</v>
      </c>
      <c r="B7" s="42" t="s">
        <v>673</v>
      </c>
      <c r="C7" s="43"/>
      <c r="D7" s="43"/>
      <c r="E7" s="43"/>
      <c r="F7" s="43"/>
      <c r="G7" s="43"/>
      <c r="H7" s="44"/>
    </row>
    <row r="8" spans="1:9" ht="13" x14ac:dyDescent="0.3">
      <c r="A8" s="35"/>
      <c r="B8" s="42"/>
      <c r="C8" s="43"/>
      <c r="D8" s="43"/>
      <c r="E8" s="43"/>
      <c r="F8" s="43"/>
      <c r="G8" s="43"/>
      <c r="H8" s="44"/>
    </row>
    <row r="9" spans="1:9" ht="14.5" thickBot="1" x14ac:dyDescent="0.35">
      <c r="A9" s="35" t="s">
        <v>189</v>
      </c>
      <c r="B9" s="1209" t="s">
        <v>190</v>
      </c>
      <c r="C9" s="1209"/>
      <c r="D9" s="1210"/>
      <c r="E9" s="1210"/>
      <c r="F9" s="1210"/>
      <c r="G9" s="1210"/>
      <c r="H9" s="1209"/>
    </row>
    <row r="10" spans="1:9" ht="13.5" thickBot="1" x14ac:dyDescent="0.35">
      <c r="A10" s="35"/>
      <c r="B10" s="1211" t="s">
        <v>191</v>
      </c>
      <c r="C10" s="1211"/>
      <c r="D10" s="1212" t="s">
        <v>1875</v>
      </c>
      <c r="E10" s="1212"/>
      <c r="F10" s="1212" t="s">
        <v>1876</v>
      </c>
      <c r="G10" s="1212"/>
      <c r="H10" s="45"/>
    </row>
    <row r="11" spans="1:9" ht="13" x14ac:dyDescent="0.3">
      <c r="A11" s="35"/>
      <c r="B11" s="33" t="s">
        <v>194</v>
      </c>
      <c r="C11" s="46"/>
      <c r="D11" s="153">
        <v>0.36559999999999998</v>
      </c>
      <c r="E11" s="153"/>
      <c r="F11" s="153">
        <v>0.17199999999999999</v>
      </c>
      <c r="G11" s="153"/>
      <c r="H11" s="44"/>
    </row>
    <row r="12" spans="1:9" ht="13" x14ac:dyDescent="0.3">
      <c r="A12" s="35"/>
      <c r="B12" s="1056" t="s">
        <v>196</v>
      </c>
      <c r="C12" s="1056"/>
      <c r="D12" s="153">
        <v>0.5806</v>
      </c>
      <c r="E12" s="153"/>
      <c r="F12" s="153">
        <v>0.27960000000000002</v>
      </c>
      <c r="G12" s="153"/>
      <c r="H12" s="44"/>
    </row>
    <row r="13" spans="1:9" ht="13" x14ac:dyDescent="0.3">
      <c r="A13" s="35"/>
      <c r="B13" s="1056" t="s">
        <v>197</v>
      </c>
      <c r="C13" s="1056"/>
      <c r="D13" s="153">
        <v>0.6452</v>
      </c>
      <c r="E13" s="153"/>
      <c r="F13" s="153">
        <v>0.3226</v>
      </c>
      <c r="G13" s="153"/>
      <c r="H13" s="44"/>
    </row>
    <row r="14" spans="1:9" ht="13.5" thickBot="1" x14ac:dyDescent="0.35">
      <c r="A14" s="35"/>
      <c r="B14" s="154" t="s">
        <v>198</v>
      </c>
      <c r="C14" s="124"/>
      <c r="D14" s="123"/>
      <c r="E14" s="123"/>
      <c r="F14" s="122"/>
      <c r="G14" s="122"/>
      <c r="H14" s="40"/>
    </row>
    <row r="15" spans="1:9" ht="13" x14ac:dyDescent="0.3">
      <c r="A15" s="35"/>
      <c r="B15" s="1166"/>
      <c r="C15" s="1166"/>
      <c r="D15" s="1213"/>
      <c r="E15" s="1213"/>
      <c r="F15" s="1214"/>
      <c r="G15" s="1214"/>
      <c r="H15" s="44"/>
    </row>
    <row r="16" spans="1:9" ht="15.5" x14ac:dyDescent="0.3">
      <c r="A16" s="35"/>
      <c r="B16" s="1163" t="s">
        <v>1877</v>
      </c>
      <c r="C16" s="1163"/>
      <c r="D16" s="1163"/>
      <c r="E16" s="1163"/>
      <c r="F16" s="1163"/>
      <c r="G16" s="1163"/>
      <c r="H16" s="1163"/>
      <c r="I16" s="1163"/>
    </row>
    <row r="17" spans="1:9" ht="13" x14ac:dyDescent="0.3">
      <c r="A17" s="35"/>
      <c r="B17" s="1040" t="s">
        <v>964</v>
      </c>
      <c r="C17" s="1040"/>
      <c r="D17" s="1040"/>
      <c r="E17" s="1040"/>
      <c r="F17" s="1040"/>
      <c r="G17" s="1040"/>
      <c r="H17" s="1040"/>
      <c r="I17" s="1040"/>
    </row>
    <row r="18" spans="1:9" ht="13" x14ac:dyDescent="0.3">
      <c r="A18" s="35"/>
      <c r="B18" s="1040" t="s">
        <v>200</v>
      </c>
      <c r="C18" s="1040"/>
      <c r="D18" s="1040"/>
      <c r="E18" s="1040"/>
      <c r="F18" s="1040"/>
      <c r="G18" s="1040"/>
      <c r="H18" s="1040"/>
      <c r="I18" s="1040"/>
    </row>
    <row r="19" spans="1:9" ht="13.5" thickBot="1" x14ac:dyDescent="0.35">
      <c r="A19" s="35" t="s">
        <v>178</v>
      </c>
      <c r="B19" s="173">
        <v>0.31459999999999999</v>
      </c>
      <c r="C19" s="41"/>
      <c r="D19" s="41"/>
      <c r="E19" s="41"/>
      <c r="F19" s="41"/>
      <c r="G19" s="41"/>
      <c r="H19" s="40"/>
      <c r="I19" s="41"/>
    </row>
  </sheetData>
  <mergeCells count="15">
    <mergeCell ref="B17:I17"/>
    <mergeCell ref="B18:I18"/>
    <mergeCell ref="B12:C12"/>
    <mergeCell ref="B13:C13"/>
    <mergeCell ref="B15:C15"/>
    <mergeCell ref="D15:E15"/>
    <mergeCell ref="F15:G15"/>
    <mergeCell ref="B16:I16"/>
    <mergeCell ref="B2:H2"/>
    <mergeCell ref="B3:H3"/>
    <mergeCell ref="B4:D4"/>
    <mergeCell ref="B9:H9"/>
    <mergeCell ref="B10:C10"/>
    <mergeCell ref="D10:E10"/>
    <mergeCell ref="F10:G10"/>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585B8383F84A44D828144318DDAC627" ma:contentTypeVersion="11" ma:contentTypeDescription="Create a new document." ma:contentTypeScope="" ma:versionID="a31c455a7e3454114fa0fad0cff33703">
  <xsd:schema xmlns:xsd="http://www.w3.org/2001/XMLSchema" xmlns:xs="http://www.w3.org/2001/XMLSchema" xmlns:p="http://schemas.microsoft.com/office/2006/metadata/properties" xmlns:ns2="6ad8db39-f208-4478-a0fb-cb04d5771469" xmlns:ns3="02c97a13-aa8c-48ec-8911-57b20db20ee4" targetNamespace="http://schemas.microsoft.com/office/2006/metadata/properties" ma:root="true" ma:fieldsID="c6d922198684771499d9c5f42e1491e8" ns2:_="" ns3:_="">
    <xsd:import namespace="6ad8db39-f208-4478-a0fb-cb04d5771469"/>
    <xsd:import namespace="02c97a13-aa8c-48ec-8911-57b20db20ee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d8db39-f208-4478-a0fb-cb04d577146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2c97a13-aa8c-48ec-8911-57b20db20ee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166ea8d-65eb-48cf-8aec-c2544c6ab086}" ma:internalName="TaxCatchAll" ma:showField="CatchAllData" ma:web="02c97a13-aa8c-48ec-8911-57b20db20ee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ad8db39-f208-4478-a0fb-cb04d5771469">
      <Terms xmlns="http://schemas.microsoft.com/office/infopath/2007/PartnerControls"/>
    </lcf76f155ced4ddcb4097134ff3c332f>
    <TaxCatchAll xmlns="02c97a13-aa8c-48ec-8911-57b20db20ee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A1687B-01BC-4788-9F7C-E7E6A5DDEE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d8db39-f208-4478-a0fb-cb04d5771469"/>
    <ds:schemaRef ds:uri="02c97a13-aa8c-48ec-8911-57b20db20ee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DC5BED-210B-4AB7-A2CF-6AAB714B4493}">
  <ds:schemaRefs>
    <ds:schemaRef ds:uri="http://purl.org/dc/terms/"/>
    <ds:schemaRef ds:uri="http://www.w3.org/XML/1998/namespace"/>
    <ds:schemaRef ds:uri="http://schemas.microsoft.com/office/2006/documentManagement/types"/>
    <ds:schemaRef ds:uri="http://purl.org/dc/elements/1.1/"/>
    <ds:schemaRef ds:uri="http://schemas.microsoft.com/office/2006/metadata/properties"/>
    <ds:schemaRef ds:uri="http://purl.org/dc/dcmitype/"/>
    <ds:schemaRef ds:uri="http://schemas.microsoft.com/office/infopath/2007/PartnerControls"/>
    <ds:schemaRef ds:uri="http://schemas.openxmlformats.org/package/2006/metadata/core-properties"/>
    <ds:schemaRef ds:uri="02c97a13-aa8c-48ec-8911-57b20db20ee4"/>
    <ds:schemaRef ds:uri="6ad8db39-f208-4478-a0fb-cb04d5771469"/>
  </ds:schemaRefs>
</ds:datastoreItem>
</file>

<file path=customXml/itemProps3.xml><?xml version="1.0" encoding="utf-8"?>
<ds:datastoreItem xmlns:ds="http://schemas.openxmlformats.org/officeDocument/2006/customXml" ds:itemID="{024F0117-8846-41AB-BA8D-94B722B68A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vt:i4>
      </vt:variant>
    </vt:vector>
  </HeadingPairs>
  <TitlesOfParts>
    <vt:vector size="35" baseType="lpstr">
      <vt:lpstr>Program Version</vt:lpstr>
      <vt:lpstr>Coverages</vt:lpstr>
      <vt:lpstr>Liab BI (2)</vt:lpstr>
      <vt:lpstr>Liab BI &amp; PD (1)</vt:lpstr>
      <vt:lpstr>Liab PD (8)</vt:lpstr>
      <vt:lpstr>Med Payments (12)</vt:lpstr>
      <vt:lpstr>UM BI (20)</vt:lpstr>
      <vt:lpstr>UM BI (6)</vt:lpstr>
      <vt:lpstr>UM PD (52)</vt:lpstr>
      <vt:lpstr>MC Pass Liab (33)</vt:lpstr>
      <vt:lpstr>MC Pass Liab (163)</vt:lpstr>
      <vt:lpstr>Coverage Item</vt:lpstr>
      <vt:lpstr>IM Policy Coverages</vt:lpstr>
      <vt:lpstr>IM Features (R.M)</vt:lpstr>
      <vt:lpstr>IM Credits</vt:lpstr>
      <vt:lpstr>IM Debits</vt:lpstr>
      <vt:lpstr>COLL (4)</vt:lpstr>
      <vt:lpstr>OTC (5)</vt:lpstr>
      <vt:lpstr>Deductible Availability</vt:lpstr>
      <vt:lpstr>Event Coverages</vt:lpstr>
      <vt:lpstr>Specialty Coverages</vt:lpstr>
      <vt:lpstr>Features</vt:lpstr>
      <vt:lpstr>PV Documents</vt:lpstr>
      <vt:lpstr>Misc. Coverages</vt:lpstr>
      <vt:lpstr>DocPckt Documents</vt:lpstr>
      <vt:lpstr>INS SCORE</vt:lpstr>
      <vt:lpstr>State Region Table</vt:lpstr>
      <vt:lpstr>Application Text</vt:lpstr>
      <vt:lpstr>IM App Text</vt:lpstr>
      <vt:lpstr>Coverage Rules</vt:lpstr>
      <vt:lpstr>FLEX</vt:lpstr>
      <vt:lpstr>NPO Mapping</vt:lpstr>
      <vt:lpstr>Coverages (Comp Coll)</vt:lpstr>
      <vt:lpstr>Features!Print_Area</vt:lpstr>
      <vt:lpstr>'Specialty Coverages'!Print_Area</vt:lpstr>
    </vt:vector>
  </TitlesOfParts>
  <Manager/>
  <Company>Hagerty Insurance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Hagerty Insurance</dc:creator>
  <cp:keywords/>
  <dc:description/>
  <cp:lastModifiedBy>Muduli, Manisha Priyadarshini</cp:lastModifiedBy>
  <cp:revision/>
  <dcterms:created xsi:type="dcterms:W3CDTF">2004-11-22T18:40:45Z</dcterms:created>
  <dcterms:modified xsi:type="dcterms:W3CDTF">2026-07-14T16:42:14Z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0x0101000585B8383F84A44D828144318DDAC627</vt:lpwstr>
  </property>
  <property fmtid="{D5CDD505-2E9C-101B-9397-08002B2CF9AE}" pid="3" name="MediaServiceImageTags">
    <vt:lpwstr/>
  </property>
</Properties>
</file>