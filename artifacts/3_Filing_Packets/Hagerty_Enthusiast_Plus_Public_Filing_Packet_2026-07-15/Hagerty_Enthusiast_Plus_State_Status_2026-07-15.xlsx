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b60ae3ba3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522e2e2ef6e40a4"/>
    <x:sheet xmlns:r="http://schemas.openxmlformats.org/officeDocument/2006/relationships" name="State Status" sheetId="2" r:id="R0f004fa8ab6d46e7"/>
    <x:sheet xmlns:r="http://schemas.openxmlformats.org/officeDocument/2006/relationships" name="Candidate Filings" sheetId="3" r:id="R9b052be23234457f"/>
    <x:sheet xmlns:r="http://schemas.openxmlformats.org/officeDocument/2006/relationships" name="Retrieval Checklist" sheetId="4" r:id="R214f6e146a30437f"/>
    <x:sheet xmlns:r="http://schemas.openxmlformats.org/officeDocument/2006/relationships" name="E-Doc Crosscheck" sheetId="5" r:id="R3f802b9ec97147ef"/>
    <x:sheet xmlns:r="http://schemas.openxmlformats.org/officeDocument/2006/relationships" name="Sources" sheetId="6" r:id="Ra435eb76bbe8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B1F33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22"/>
      <x:color rgb="FF166534"/>
      <x:name val="Carlito"/>
    </x:font>
    <x:font>
      <x:b/>
      <x:sz val="22"/>
      <x:color rgb="FF92400E"/>
      <x:name val="Carlito"/>
    </x:font>
    <x:font>
      <x:b/>
      <x:sz val="22"/>
      <x:color rgb="FF4B5563"/>
      <x:name val="Carlito"/>
    </x:font>
    <x:font>
      <x:b/>
      <x:sz val="22"/>
      <x:color rgb="FF991B1B"/>
      <x:name val="Carlito"/>
    </x:font>
    <x:font>
      <x:b/>
      <x:sz val="22"/>
      <x:color rgb="FF1D4ED8"/>
      <x:name val="Carlito"/>
    </x:font>
    <x:font>
      <x:b/>
      <x:sz val="22"/>
      <x:color rgb="FF0F766E"/>
      <x:name val="Carlito"/>
    </x:font>
    <x:font>
      <x:sz val="11"/>
      <x:color rgb="FF7C2D12"/>
      <x:name val="Carlito"/>
    </x:font>
    <x:font>
      <x:sz val="10"/>
      <x:color rgb="FF111827"/>
      <x:name val="Carlito"/>
    </x:font>
    <x:font>
      <x:b/>
      <x:sz val="10"/>
      <x:color rgb="FF0B1F33"/>
      <x:name val="Carlito"/>
    </x:font>
    <x:font>
      <x:b/>
      <x:sz val="10"/>
      <x:color rgb="FF111827"/>
      <x:name val="Carlito"/>
    </x:font>
    <x:font>
      <x:sz val="10"/>
      <x:color rgb="FF991B1B"/>
      <x:name val="Carlito"/>
    </x:font>
    <x:font>
      <x:sz val="10"/>
      <x:color rgb="FF0B1F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8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FEE2E2"/>
      </x:patternFill>
    </x:fill>
    <x:fill>
      <x:patternFill patternType="solid">
        <x:fgColor rgb="FFDFF4F1"/>
      </x:patternFill>
    </x:fill>
    <x:fill>
      <x:patternFill patternType="solid">
        <x:fgColor rgb="FFFFF7ED"/>
      </x:patternFill>
    </x:fill>
  </x:fills>
  <x:borders count="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3" xfId="0" applyNumberFormat="1" applyFont="1" applyFill="1" applyBorder="1"/>
    <x:xf numFmtId="0" fontId="8" fillId="8" borderId="3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2" xfId="0" applyNumberFormat="1" applyFont="1" applyFill="1" applyBorder="1" applyAlignment="1">
      <x:alignment horizont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3" xfId="0" applyNumberFormat="1" applyFont="1" applyFill="1" applyBorder="1"/>
    <x:xf numFmtId="0" fontId="9" fillId="3" borderId="3" xfId="0" applyNumberFormat="1" applyFont="1" applyFill="1" applyBorder="1" applyAlignment="1">
      <x:alignment horizontal="center"/>
    </x:xf>
    <x:xf numFmtId="0" fontId="9" fillId="3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2" xfId="0" applyNumberFormat="1" applyFont="1" applyFill="1" applyBorder="1"/>
    <x:xf numFmtId="0" fontId="10" fillId="9" borderId="2" xfId="0" applyNumberFormat="1" applyFont="1" applyFill="1" applyBorder="1" applyAlignment="1">
      <x:alignment horizontal="center"/>
    </x:xf>
    <x:xf numFmtId="0" fontId="10" fillId="9" borderId="2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horizontal="center"/>
    </x:xf>
    <x:xf numFmtId="0" fontId="10" fillId="9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4" xfId="0" applyNumberFormat="1" applyFont="1" applyFill="1" applyBorder="1"/>
    <x:xf numFmtId="0" fontId="11" fillId="10" borderId="4" xfId="0" applyNumberFormat="1" applyFont="1" applyFill="1" applyBorder="1" applyAlignment="1">
      <x:alignment wrapText="1"/>
    </x:xf>
    <x:xf numFmtId="0" fontId="11" fillId="10" borderId="4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11" fillId="10" borderId="1" xfId="0" applyNumberFormat="1" applyFont="1" applyFill="1" applyBorder="1"/>
    <x:xf numFmtId="0" fontId="11" fillId="10" borderId="5" xfId="0" applyNumberFormat="1" applyFont="1" applyFill="1" applyBorder="1"/>
    <x:xf numFmtId="0" fontId="11" fillId="10" borderId="5" xfId="0" applyNumberFormat="1" applyFont="1" applyFill="1" applyBorder="1" applyAlignment="1">
      <x:alignment wrapText="1"/>
    </x:xf>
    <x:xf numFmtId="0" fontId="11" fillId="10" borderId="5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2" xfId="0" applyNumberFormat="1" applyFont="1" applyFill="1" applyBorder="1"/>
    <x:xf numFmtId="0" fontId="12" fillId="0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12" fillId="0" borderId="3" xfId="0" applyNumberFormat="1" applyFont="1" applyFill="1" applyBorder="1"/>
    <x:xf numFmtId="0" fontId="12" fillId="0" borderId="3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/>
    <x:xf numFmtId="0" fontId="12" fillId="9" borderId="2" xfId="0" applyNumberFormat="1" applyFont="1" applyFill="1" applyBorder="1"/>
    <x:xf numFmtId="0" fontId="12" fillId="9" borderId="2" xfId="0" applyNumberFormat="1" applyFont="1" applyFill="1" applyBorder="1" applyAlignment="1">
      <x:alignment wrapText="1"/>
    </x:xf>
    <x:xf numFmtId="0" fontId="12" fillId="9" borderId="2" xfId="0" applyNumberFormat="1" applyFont="1" applyFill="1" applyBorder="1" applyAlignment="1">
      <x:alignment vertical="top" wrapText="1"/>
    </x:xf>
    <x:xf numFmtId="0" fontId="12" fillId="9" borderId="1" xfId="0" applyNumberFormat="1" applyFont="1" applyFill="1" applyBorder="1"/>
    <x:xf numFmtId="0" fontId="12" fillId="9" borderId="3" xfId="0" applyNumberFormat="1" applyFont="1" applyFill="1" applyBorder="1"/>
    <x:xf numFmtId="0" fontId="12" fillId="9" borderId="3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/>
    <x:xf numFmtId="0" fontId="15" fillId="8" borderId="2" xfId="0" applyNumberFormat="1" applyFont="1" applyFill="1" applyBorder="1"/>
    <x:xf numFmtId="0" fontId="15" fillId="8" borderId="2" xfId="0" applyNumberFormat="1" applyFont="1" applyFill="1" applyBorder="1" applyAlignment="1">
      <x:alignment wrapText="1"/>
    </x:xf>
    <x:xf numFmtId="0" fontId="15" fillId="8" borderId="2" xfId="0" applyNumberFormat="1" applyFont="1" applyFill="1" applyBorder="1" applyAlignment="1">
      <x:alignment vertical="top" wrapText="1"/>
    </x:xf>
    <x:xf numFmtId="0" fontId="15" fillId="8" borderId="1" xfId="0" applyNumberFormat="1" applyFont="1" applyFill="1" applyBorder="1"/>
    <x:xf numFmtId="0" fontId="15" fillId="8" borderId="3" xfId="0" applyNumberFormat="1" applyFont="1" applyFill="1" applyBorder="1"/>
    <x:xf numFmtId="0" fontId="15" fillId="8" borderId="3" xfId="0" applyNumberFormat="1" applyFont="1" applyFill="1" applyBorder="1" applyAlignment="1">
      <x:alignment wrapText="1"/>
    </x:xf>
    <x:xf numFmtId="0" fontId="15" fillId="8" borderId="3" xfId="0" applyNumberFormat="1" applyFont="1" applyFill="1" applyBorder="1" applyAlignment="1">
      <x:alignment vertical="top" wrapText="1"/>
    </x:xf>
    <x:xf numFmtId="0" fontId="16" fillId="3" borderId="0" xfId="0" applyNumberFormat="1" applyFont="1" applyFill="1" applyBorder="1"/>
    <x:xf numFmtId="0" fontId="16" fillId="3" borderId="2" xfId="0" applyNumberFormat="1" applyFont="1" applyFill="1" applyBorder="1"/>
    <x:xf numFmtId="0" fontId="16" fillId="3" borderId="2" xfId="0" applyNumberFormat="1" applyFont="1" applyFill="1" applyBorder="1" applyAlignment="1">
      <x:alignment wrapText="1"/>
    </x:xf>
    <x:xf numFmtId="0" fontId="16" fillId="3" borderId="2" xfId="0" applyNumberFormat="1" applyFont="1" applyFill="1" applyBorder="1" applyAlignment="1">
      <x:alignment vertical="center" wrapText="1"/>
    </x:xf>
    <x:xf numFmtId="0" fontId="16" fillId="3" borderId="1" xfId="0" applyNumberFormat="1" applyFont="1" applyFill="1" applyBorder="1"/>
    <x:xf numFmtId="0" fontId="16" fillId="3" borderId="3" xfId="0" applyNumberFormat="1" applyFont="1" applyFill="1" applyBorder="1"/>
    <x:xf numFmtId="0" fontId="16" fillId="3" borderId="3" xfId="0" applyNumberFormat="1" applyFont="1" applyFill="1" applyBorder="1" applyAlignment="1">
      <x:alignment wrapText="1"/>
    </x:xf>
    <x:xf numFmtId="0" fontId="16" fillId="3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10" fillId="9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0" fillId="9" borderId="3" xfId="0" applyNumberFormat="1" applyFont="1" applyFill="1" applyBorder="1" applyAlignment="1">
      <x:alignment horizontal="center" vertical="center" wrapText="1"/>
    </x:xf>
    <x:xf numFmtId="200" fontId="12" fillId="0" borderId="2" xfId="0" applyNumberFormat="1" applyFont="1" applyFill="1" applyBorder="1" applyAlignment="1">
      <x:alignment vertical="top" wrapText="1"/>
    </x:xf>
    <x:xf numFmtId="200" fontId="1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f5267ce6c47c0" /><Relationship Type="http://schemas.openxmlformats.org/officeDocument/2006/relationships/theme" Target="/xl/theme/theme1.xml" Id="Re1033b15f9ef404a" /><Relationship Type="http://schemas.openxmlformats.org/officeDocument/2006/relationships/sharedStrings" Target="/xl/sharedStrings.xml" Id="R7f6100de384142d9" /><Relationship Type="http://schemas.openxmlformats.org/officeDocument/2006/relationships/worksheet" Target="/xl/worksheets/sheet1.xml" Id="Rd522e2e2ef6e40a4" /><Relationship Type="http://schemas.openxmlformats.org/officeDocument/2006/relationships/worksheet" Target="/xl/worksheets/sheet2.xml" Id="R0f004fa8ab6d46e7" /><Relationship Type="http://schemas.openxmlformats.org/officeDocument/2006/relationships/worksheet" Target="/xl/worksheets/sheet3.xml" Id="R9b052be23234457f" /><Relationship Type="http://schemas.openxmlformats.org/officeDocument/2006/relationships/worksheet" Target="/xl/worksheets/sheet4.xml" Id="R214f6e146a30437f" /><Relationship Type="http://schemas.openxmlformats.org/officeDocument/2006/relationships/worksheet" Target="/xl/worksheets/sheet5.xml" Id="R3f802b9ec97147ef" /><Relationship Type="http://schemas.openxmlformats.org/officeDocument/2006/relationships/worksheet" Target="/xl/worksheets/sheet6.xml" Id="Ra435eb76bbe84d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d8b6af8c4640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Jurisdictions by current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'Executive Summary'!$J$21:$J$23</c:f>
              <c:strCache>
                <c:ptCount val="0"/>
              </c:strCache>
            </c:strRef>
          </c:cat>
          <c:val>
            <c:numRef>
              <c:f>'Executive Summary'!$K$21:$K$23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d8b6af8c4640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teStatusTable" displayName="StateStatusTable" ref="A5:O56" headerRowCount="1">
  <x:tableColumns count="15">
    <x:tableColumn id="1" name="Jurisdiction"/>
    <x:tableColumn id="2" name="Status Classification"/>
    <x:tableColumn id="3" name="Latest Verified Product Status"/>
    <x:tableColumn id="4" name="Evidence Date"/>
    <x:tableColumn id="5" name="Underwriter"/>
    <x:tableColumn id="6" name="NAIC Code"/>
    <x:tableColumn id="7" name="Candidate SERFF IDs"/>
    <x:tableColumn id="8" name="Filing ZIP Retrieved?"/>
    <x:tableColumn id="9" name="Rates / Rules Retrieved?"/>
    <x:tableColumn id="10" name="Forms Retrieved?"/>
    <x:tableColumn id="11" name="Confidence"/>
    <x:tableColumn id="12" name="Next Action"/>
    <x:tableColumn id="13" name="Primary Source URL"/>
    <x:tableColumn id="14" name="Corroborating / Conflicting Source URL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ndidateFilingsTable" displayName="CandidateFilingsTable" ref="A5:I7" headerRowCount="1">
  <x:tableColumns count="9">
    <x:tableColumn id="1" name="Candidate Internal Filing ID"/>
    <x:tableColumn id="2" name="Deep Link"/>
    <x:tableColumn id="3" name="Observed Search Context"/>
    <x:tableColumn id="4" name="State Mapping"/>
    <x:tableColumn id="5" name="Product Mapping"/>
    <x:tableColumn id="6" name="Direct Access Result"/>
    <x:tableColumn id="7" name="Official Export Retrieved?"/>
    <x:tableColumn id="8" name="Confidence"/>
    <x:tableColumn id="9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3" name="RetrievalChecklistTable" displayName="RetrievalChecklistTable" ref="A5:G37" headerRowCount="1">
  <x:tableColumns count="7">
    <x:tableColumn id="1" name="State"/>
    <x:tableColumn id="2" name="Document Category"/>
    <x:tableColumn id="3" name="Expected Contents"/>
    <x:tableColumn id="4" name="Status"/>
    <x:tableColumn id="5" name="Evidence / Current Path"/>
    <x:tableColumn id="6" name="Why It Matters"/>
    <x:tableColumn id="7" name="Retrieval Route"/>
  </x:tableColumns>
  <x:tableStyleInfo name="TableStyleMedium2" showRowStripes="1"/>
</x:table>
</file>

<file path=xl/tables/table4.xml><?xml version="1.0" encoding="utf-8"?>
<x:table xmlns:x="http://schemas.openxmlformats.org/spreadsheetml/2006/main" id="4" name="EDocCrosscheckTable" displayName="EDocCrosscheckTable" ref="A5:G10" headerRowCount="1">
  <x:tableColumns count="7">
    <x:tableColumn id="1" name="State / Scope"/>
    <x:tableColumn id="2" name="Form Number"/>
    <x:tableColumn id="3" name="Form Title"/>
    <x:tableColumn id="4" name="Public URL"/>
    <x:tableColumn id="5" name="Carrier Observed"/>
    <x:tableColumn id="6" name="Classification"/>
    <x:tableColumn id="7" name="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5:I22" headerRowCount="1">
  <x:tableColumns count="9">
    <x:tableColumn id="1" name="Source ID"/>
    <x:tableColumn id="2" name="Organization"/>
    <x:tableColumn id="3" name="Title"/>
    <x:tableColumn id="4" name="Source / Event Date"/>
    <x:tableColumn id="5" name="Accessed Date"/>
    <x:tableColumn id="6" name="Source Type"/>
    <x:tableColumn id="7" name="Key Fact / Use"/>
    <x:tableColumn id="8" name="URL"/>
    <x:tableColumn id="9" name="Conf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8c5a00d50649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f75306dbf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879ad0a1949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bc6e07f77040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8cd13eed2147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a1293f847d46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28" hidden="0" customWidth="1"/>
    <x:col min="11" max="11" width="12" hidden="0" customWidth="1"/>
  </x:cols>
  <x:sheetData>
    <x:row r="1" ht="28" customHeight="1">
      <x:c r="A1" s="136" t="str">
        <x:v>Hagerty Enthusiast+ — Public Filing Research &amp; Retrieval Status</x:v>
      </x:c>
      <x:c r="B1" s="136"/>
      <x:c r="C1" s="136"/>
      <x:c r="D1" s="136"/>
      <x:c r="E1" s="136"/>
      <x:c r="F1" s="136"/>
      <x:c r="G1" s="136"/>
      <x:c r="H1" s="136"/>
      <x:c r="I1" s="137"/>
      <x:c r="J1" s="137"/>
      <x:c r="K1" s="137"/>
      <x:c r="L1" s="137"/>
      <x:c r="M1" s="137"/>
      <x:c r="N1" s="137"/>
      <x:c r="O1" s="137"/>
      <x:c r="P1" s="137"/>
    </x:row>
    <x:row r="2" ht="28" customHeight="1">
      <x:c r="A2" s="136"/>
      <x:c r="B2" s="136"/>
      <x:c r="C2" s="136"/>
      <x:c r="D2" s="136"/>
      <x:c r="E2" s="136"/>
      <x:c r="F2" s="136"/>
      <x:c r="G2" s="136"/>
      <x:c r="H2" s="136"/>
      <x:c r="I2" s="137"/>
      <x:c r="J2" s="137"/>
      <x:c r="K2" s="137"/>
      <x:c r="L2" s="137"/>
      <x:c r="M2" s="137"/>
      <x:c r="N2" s="137"/>
      <x:c r="O2" s="137"/>
      <x:c r="P2" s="137"/>
    </x:row>
    <x:row r="3" ht="22" customHeight="1">
      <x:c r="A3" s="138" t="str">
        <x:v>51-jurisdiction review | As of 2026-07-15 | Underwriter: Drivers Edge Insurance Company (NAIC 23795)</x:v>
      </x:c>
      <x:c r="B3" s="138"/>
      <x:c r="C3" s="138"/>
      <x:c r="D3" s="138"/>
      <x:c r="E3" s="138"/>
      <x:c r="F3" s="138"/>
      <x:c r="G3" s="138"/>
      <x:c r="H3" s="138"/>
      <x:c r="I3" s="137"/>
      <x:c r="J3" s="137"/>
      <x:c r="K3" s="137"/>
      <x:c r="L3" s="137"/>
      <x:c r="M3" s="137"/>
      <x:c r="N3" s="137"/>
      <x:c r="O3" s="137"/>
      <x:c r="P3" s="137"/>
    </x:row>
    <x:row r="4">
      <x:c r="A4" s="137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</x:row>
    <x:row r="5">
      <x:c r="A5" s="139" t="str">
        <x:v>Status at a glance</x:v>
      </x:c>
      <x:c r="B5" s="139"/>
      <x:c r="C5" s="139"/>
      <x:c r="D5" s="139"/>
      <x:c r="E5" s="139"/>
      <x:c r="F5" s="139"/>
      <x:c r="G5" s="139"/>
      <x:c r="H5" s="139"/>
      <x:c r="I5" s="137"/>
      <x:c r="J5" s="137"/>
      <x:c r="K5" s="137"/>
      <x:c r="L5" s="137"/>
      <x:c r="M5" s="137"/>
      <x:c r="N5" s="137"/>
      <x:c r="O5" s="137"/>
      <x:c r="P5" s="137"/>
    </x:row>
    <x:row r="6">
      <x:c r="A6" s="26" t="str">
        <x:v>Verified active states</x:v>
      </x:c>
      <x:c r="B6" s="26"/>
      <x:c r="C6" s="137"/>
      <x:c r="D6" s="26" t="str">
        <x:v>Reported / unresolved</x:v>
      </x:c>
      <x:c r="E6" s="26"/>
      <x:c r="F6" s="137"/>
      <x:c r="G6" s="26" t="str">
        <x:v>No verified rollout found</x:v>
      </x:c>
      <x:c r="H6" s="26"/>
      <x:c r="I6" s="137"/>
      <x:c r="J6" s="137"/>
      <x:c r="K6" s="137"/>
      <x:c r="L6" s="137"/>
      <x:c r="M6" s="137"/>
      <x:c r="N6" s="137"/>
      <x:c r="O6" s="137"/>
      <x:c r="P6" s="137"/>
    </x:row>
    <x:row r="7">
      <x:c r="A7" s="140" t="n">
        <x:f>COUNTIF('State Status'!$B$6:$B$56,"Verified active / pilot")</x:f>
        <x:v>1</x:v>
      </x:c>
      <x:c r="B7" s="140"/>
      <x:c r="C7" s="137"/>
      <x:c r="D7" s="141" t="n">
        <x:f>COUNTIF('State Status'!$B$6:$B$56,"Reported rollout / unresolved")</x:f>
        <x:v>1</x:v>
      </x:c>
      <x:c r="E7" s="141"/>
      <x:c r="F7" s="137"/>
      <x:c r="G7" s="142" t="n">
        <x:f>COUNTIF('State Status'!$B$6:$B$56,"No verified rollout found")</x:f>
        <x:v>49</x:v>
      </x:c>
      <x:c r="H7" s="142"/>
      <x:c r="I7" s="137"/>
      <x:c r="J7" s="137"/>
      <x:c r="K7" s="137"/>
      <x:c r="L7" s="137"/>
      <x:c r="M7" s="137"/>
      <x:c r="N7" s="137"/>
      <x:c r="O7" s="137"/>
      <x:c r="P7" s="137"/>
    </x:row>
    <x:row r="8">
      <x:c r="A8" s="140"/>
      <x:c r="B8" s="140"/>
      <x:c r="C8" s="137"/>
      <x:c r="D8" s="141"/>
      <x:c r="E8" s="141"/>
      <x:c r="F8" s="137"/>
      <x:c r="G8" s="142"/>
      <x:c r="H8" s="142"/>
      <x:c r="I8" s="137"/>
      <x:c r="J8" s="137"/>
      <x:c r="K8" s="137"/>
      <x:c r="L8" s="137"/>
      <x:c r="M8" s="137"/>
      <x:c r="N8" s="137"/>
      <x:c r="O8" s="137"/>
      <x:c r="P8" s="137"/>
    </x:row>
    <x:row r="9">
      <x:c r="A9" s="137"/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37"/>
      <x:c r="M9" s="137"/>
      <x:c r="N9" s="137"/>
      <x:c r="O9" s="137"/>
      <x:c r="P9" s="137"/>
    </x:row>
    <x:row r="10">
      <x:c r="A10" s="26" t="str">
        <x:v>Official SERFF exports retrieved</x:v>
      </x:c>
      <x:c r="B10" s="26"/>
      <x:c r="C10" s="137"/>
      <x:c r="D10" s="26" t="str">
        <x:v>Candidate SERFF IDs</x:v>
      </x:c>
      <x:c r="E10" s="26"/>
      <x:c r="F10" s="137"/>
      <x:c r="G10" s="26" t="str">
        <x:v>Jurisdictions reviewed</x:v>
      </x:c>
      <x:c r="H10" s="26"/>
      <x:c r="I10" s="137"/>
      <x:c r="J10" s="137"/>
      <x:c r="K10" s="137"/>
      <x:c r="L10" s="137"/>
      <x:c r="M10" s="137"/>
      <x:c r="N10" s="137"/>
      <x:c r="O10" s="137"/>
      <x:c r="P10" s="137"/>
    </x:row>
    <x:row r="11">
      <x:c r="A11" s="143" t="n">
        <x:f>COUNTIF('State Status'!$H$6:$H$56,"Yes")</x:f>
        <x:v>0</x:v>
      </x:c>
      <x:c r="B11" s="143"/>
      <x:c r="C11" s="137"/>
      <x:c r="D11" s="144" t="n">
        <x:f>COUNTA('Candidate Filings'!$A$6:$A$7)</x:f>
        <x:v>2</x:v>
      </x:c>
      <x:c r="E11" s="144"/>
      <x:c r="F11" s="137"/>
      <x:c r="G11" s="145" t="n">
        <x:f>COUNTA('State Status'!$A$6:$A$56)</x:f>
        <x:v>51</x:v>
      </x:c>
      <x:c r="H11" s="145"/>
      <x:c r="I11" s="137"/>
      <x:c r="J11" s="137"/>
      <x:c r="K11" s="137"/>
      <x:c r="L11" s="137"/>
      <x:c r="M11" s="137"/>
      <x:c r="N11" s="137"/>
      <x:c r="O11" s="137"/>
      <x:c r="P11" s="137"/>
    </x:row>
    <x:row r="12">
      <x:c r="A12" s="143"/>
      <x:c r="B12" s="143"/>
      <x:c r="C12" s="137"/>
      <x:c r="D12" s="144"/>
      <x:c r="E12" s="144"/>
      <x:c r="F12" s="137"/>
      <x:c r="G12" s="145"/>
      <x:c r="H12" s="145"/>
      <x:c r="I12" s="137"/>
      <x:c r="J12" s="137"/>
      <x:c r="K12" s="137"/>
      <x:c r="L12" s="137"/>
      <x:c r="M12" s="137"/>
      <x:c r="N12" s="137"/>
      <x:c r="O12" s="137"/>
      <x:c r="P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</x:row>
    <x:row r="14">
      <x:c r="A14" s="139" t="str">
        <x:v>Bottom line</x:v>
      </x:c>
      <x:c r="B14" s="139"/>
      <x:c r="C14" s="139"/>
      <x:c r="D14" s="139"/>
      <x:c r="E14" s="139"/>
      <x:c r="F14" s="139"/>
      <x:c r="G14" s="139"/>
      <x:c r="H14" s="139"/>
      <x:c r="I14" s="137"/>
      <x:c r="J14" s="137"/>
      <x:c r="K14" s="137"/>
      <x:c r="L14" s="137"/>
      <x:c r="M14" s="137"/>
      <x:c r="N14" s="137"/>
      <x:c r="O14" s="137"/>
      <x:c r="P14" s="137"/>
    </x:row>
    <x:row r="15">
      <x:c r="A15" s="94" t="str">
        <x:v>Colorado is the only currently verified active Enthusiast+ market. Wisconsin was reported as a second launch in September 2025, but a later May 2026 issuer statement said the product was in one state, Colorado; Wisconsin is therefore unresolved. No official SERFF attachment export was retrieved, so this workbook and ZIP are a defensible research/retrieval package—not the complete filed rate/rule/form set.</x:v>
      </x:c>
      <x:c r="B15" s="94"/>
      <x:c r="C15" s="94"/>
      <x:c r="D15" s="94"/>
      <x:c r="E15" s="94"/>
      <x:c r="F15" s="94"/>
      <x:c r="G15" s="94"/>
      <x:c r="H15" s="94"/>
      <x:c r="I15" s="137"/>
      <x:c r="J15" s="137"/>
      <x:c r="K15" s="137"/>
      <x:c r="L15" s="137"/>
      <x:c r="M15" s="137"/>
      <x:c r="N15" s="137"/>
      <x:c r="O15" s="137"/>
      <x:c r="P15" s="137"/>
    </x:row>
    <x:row r="16">
      <x:c r="A16" s="94"/>
      <x:c r="B16" s="94"/>
      <x:c r="C16" s="94"/>
      <x:c r="D16" s="94"/>
      <x:c r="E16" s="94"/>
      <x:c r="F16" s="94"/>
      <x:c r="G16" s="94"/>
      <x:c r="H16" s="94"/>
      <x:c r="I16" s="137"/>
      <x:c r="J16" s="137"/>
      <x:c r="K16" s="137"/>
      <x:c r="L16" s="137"/>
      <x:c r="M16" s="137"/>
      <x:c r="N16" s="137"/>
      <x:c r="O16" s="137"/>
      <x:c r="P16" s="137"/>
    </x:row>
    <x:row r="17">
      <x:c r="A17" s="94"/>
      <x:c r="B17" s="94"/>
      <x:c r="C17" s="94"/>
      <x:c r="D17" s="94"/>
      <x:c r="E17" s="94"/>
      <x:c r="F17" s="94"/>
      <x:c r="G17" s="94"/>
      <x:c r="H17" s="94"/>
      <x:c r="I17" s="137"/>
      <x:c r="J17" s="137"/>
      <x:c r="K17" s="137"/>
      <x:c r="L17" s="137"/>
      <x:c r="M17" s="137"/>
      <x:c r="N17" s="137"/>
      <x:c r="O17" s="137"/>
      <x:c r="P17" s="137"/>
    </x:row>
    <x:row r="18">
      <x:c r="A18" s="94"/>
      <x:c r="B18" s="94"/>
      <x:c r="C18" s="94"/>
      <x:c r="D18" s="94"/>
      <x:c r="E18" s="94"/>
      <x:c r="F18" s="94"/>
      <x:c r="G18" s="94"/>
      <x:c r="H18" s="94"/>
      <x:c r="I18" s="137"/>
      <x:c r="J18" s="137"/>
      <x:c r="K18" s="137"/>
      <x:c r="L18" s="137"/>
      <x:c r="M18" s="137"/>
      <x:c r="N18" s="137"/>
      <x:c r="O18" s="137"/>
      <x:c r="P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</x:row>
    <x:row r="20">
      <x:c r="A20" s="139" t="str">
        <x:v>State conclusions</x:v>
      </x:c>
      <x:c r="B20" s="139"/>
      <x:c r="C20" s="139"/>
      <x:c r="D20" s="139"/>
      <x:c r="E20" s="139"/>
      <x:c r="F20" s="139"/>
      <x:c r="G20" s="139"/>
      <x:c r="H20" s="139"/>
      <x:c r="I20" s="137"/>
      <x:c r="J20" s="26" t="str">
        <x:v>Status</x:v>
      </x:c>
      <x:c r="K20" s="26" t="str">
        <x:v>Count</x:v>
      </x:c>
      <x:c r="L20" s="137"/>
      <x:c r="M20" s="137"/>
      <x:c r="N20" s="137"/>
      <x:c r="O20" s="137"/>
      <x:c r="P20" s="137"/>
    </x:row>
    <x:row r="21">
      <x:c r="A21" s="108" t="str">
        <x:v>Colorado</x:v>
      </x:c>
      <x:c r="B21" s="110" t="str">
        <x:v>Verified active / pilot</x:v>
      </x:c>
      <x:c r="C21" s="103" t="str">
        <x:v>Q3 2025 launch; one-state statement on 2026-05-06.</x:v>
      </x:c>
      <x:c r="D21" s="103"/>
      <x:c r="E21" s="103"/>
      <x:c r="F21" s="103"/>
      <x:c r="G21" s="103"/>
      <x:c r="H21" s="103"/>
      <x:c r="I21" s="137"/>
      <x:c r="J21" s="103" t="str">
        <x:v>Verified active</x:v>
      </x:c>
      <x:c r="K21" s="103" t="n">
        <x:f>COUNTIF('State Status'!$B$6:$B$56,"Verified active / pilot")</x:f>
        <x:v>1</x:v>
      </x:c>
      <x:c r="L21" s="137"/>
      <x:c r="M21" s="137"/>
      <x:c r="N21" s="137"/>
      <x:c r="O21" s="137"/>
      <x:c r="P21" s="137"/>
    </x:row>
    <x:row r="22">
      <x:c r="A22" s="108" t="str">
        <x:v>Wisconsin</x:v>
      </x:c>
      <x:c r="B22" s="110" t="str">
        <x:v>Reported rollout / unresolved</x:v>
      </x:c>
      <x:c r="C22" s="103" t="str">
        <x:v>Trade report conflicts with later issuer state count; regulator file needed.</x:v>
      </x:c>
      <x:c r="D22" s="103"/>
      <x:c r="E22" s="103"/>
      <x:c r="F22" s="103"/>
      <x:c r="G22" s="103"/>
      <x:c r="H22" s="103"/>
      <x:c r="I22" s="137"/>
      <x:c r="J22" s="103" t="str">
        <x:v>Reported / unresolved</x:v>
      </x:c>
      <x:c r="K22" s="103" t="n">
        <x:f>COUNTIF('State Status'!$B$6:$B$56,"Reported rollout / unresolved")</x:f>
        <x:v>1</x:v>
      </x:c>
      <x:c r="L22" s="137"/>
      <x:c r="M22" s="137"/>
      <x:c r="N22" s="137"/>
      <x:c r="O22" s="137"/>
      <x:c r="P22" s="137"/>
    </x:row>
    <x:row r="23">
      <x:c r="A23" s="108" t="str">
        <x:v>Other 49 jurisdictions</x:v>
      </x:c>
      <x:c r="B23" s="110" t="str">
        <x:v>No verified rollout found</x:v>
      </x:c>
      <x:c r="C23" s="103" t="str">
        <x:v>No reviewed public source established a live product; this is not proof of absence.</x:v>
      </x:c>
      <x:c r="D23" s="103"/>
      <x:c r="E23" s="103"/>
      <x:c r="F23" s="103"/>
      <x:c r="G23" s="103"/>
      <x:c r="H23" s="103"/>
      <x:c r="I23" s="137"/>
      <x:c r="J23" s="103" t="str">
        <x:v>No verified rollout</x:v>
      </x:c>
      <x:c r="K23" s="103" t="n">
        <x:f>COUNTIF('State Status'!$B$6:$B$56,"No verified rollout found")</x:f>
        <x:v>49</x:v>
      </x:c>
      <x:c r="L23" s="137"/>
      <x:c r="M23" s="137"/>
      <x:c r="N23" s="137"/>
      <x:c r="O23" s="137"/>
      <x:c r="P23" s="137"/>
    </x:row>
    <x:row r="24">
      <x:c r="A24" s="108" t="str">
        <x:v>Underwriter</x:v>
      </x:c>
      <x:c r="B24" s="110" t="str">
        <x:v>Drivers Edge Insurance Company</x:v>
      </x:c>
      <x:c r="C24" s="103" t="str">
        <x:v>NAIC 23795; formerly Consolidated National Insurance Company.</x:v>
      </x:c>
      <x:c r="D24" s="103"/>
      <x:c r="E24" s="103"/>
      <x:c r="F24" s="103"/>
      <x:c r="G24" s="103"/>
      <x:c r="H24" s="103"/>
      <x:c r="I24" s="137"/>
      <x:c r="J24" s="137"/>
      <x:c r="K24" s="137"/>
      <x:c r="L24" s="137"/>
      <x:c r="M24" s="137"/>
      <x:c r="N24" s="137"/>
      <x:c r="O24" s="137"/>
      <x:c r="P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</x:row>
    <x:row r="26">
      <x:c r="A26" s="139" t="str">
        <x:v>Included in the packet</x:v>
      </x:c>
      <x:c r="B26" s="139"/>
      <x:c r="C26" s="139"/>
      <x:c r="D26" s="139"/>
      <x:c r="E26" s="139" t="str">
        <x:v>Still missing from the official filing set</x:v>
      </x:c>
      <x:c r="F26" s="139"/>
      <x:c r="G26" s="139"/>
      <x:c r="H26" s="139"/>
      <x:c r="I26" s="137"/>
      <x:c r="J26" s="137"/>
      <x:c r="K26" s="137"/>
      <x:c r="L26" s="137"/>
      <x:c r="M26" s="137"/>
      <x:c r="N26" s="137"/>
      <x:c r="O26" s="137"/>
      <x:c r="P26" s="137"/>
    </x:row>
    <x:row r="27">
      <x:c r="A27" s="115" t="str">
        <x:v>• 51-jurisdiction status ledger
• Candidate SERFF leads
• Source and evidence manifest
• Colorado/Wisconsin retrieval checklist
• Ready-to-send regulator requests
• Corporate evidence and E-Docs exclusion log</x:v>
      </x:c>
      <x:c r="B27" s="115"/>
      <x:c r="C27" s="115"/>
      <x:c r="D27" s="115"/>
      <x:c r="E27" s="123" t="str">
        <x:v>• Official filing summary/transmittal
• Form schedule and filed forms
• Rate and rule manuals
• Rating factors and actuarial exhibits
• Regulator correspondence
• Dispositions, effective dates and version chain</x:v>
      </x:c>
      <x:c r="F27" s="123"/>
      <x:c r="G27" s="123"/>
      <x:c r="H27" s="123"/>
      <x:c r="I27" s="137"/>
      <x:c r="J27" s="137"/>
      <x:c r="K27" s="137"/>
      <x:c r="L27" s="137"/>
      <x:c r="M27" s="137"/>
      <x:c r="N27" s="137"/>
      <x:c r="O27" s="137"/>
      <x:c r="P27" s="137"/>
    </x:row>
    <x:row r="28">
      <x:c r="A28" s="115"/>
      <x:c r="B28" s="115"/>
      <x:c r="C28" s="115"/>
      <x:c r="D28" s="115"/>
      <x:c r="E28" s="123"/>
      <x:c r="F28" s="123"/>
      <x:c r="G28" s="123"/>
      <x:c r="H28" s="123"/>
      <x:c r="I28" s="137"/>
      <x:c r="J28" s="137"/>
      <x:c r="K28" s="137"/>
      <x:c r="L28" s="137"/>
      <x:c r="M28" s="137"/>
      <x:c r="N28" s="137"/>
      <x:c r="O28" s="137"/>
      <x:c r="P28" s="137"/>
    </x:row>
    <x:row r="29">
      <x:c r="A29" s="115"/>
      <x:c r="B29" s="115"/>
      <x:c r="C29" s="115"/>
      <x:c r="D29" s="115"/>
      <x:c r="E29" s="123"/>
      <x:c r="F29" s="123"/>
      <x:c r="G29" s="123"/>
      <x:c r="H29" s="123"/>
      <x:c r="I29" s="137"/>
      <x:c r="J29" s="137"/>
      <x:c r="K29" s="137"/>
      <x:c r="L29" s="137"/>
      <x:c r="M29" s="137"/>
      <x:c r="N29" s="137"/>
      <x:c r="O29" s="137"/>
      <x:c r="P29" s="137"/>
    </x:row>
    <x:row r="30">
      <x:c r="A30" s="115"/>
      <x:c r="B30" s="115"/>
      <x:c r="C30" s="115"/>
      <x:c r="D30" s="115"/>
      <x:c r="E30" s="123"/>
      <x:c r="F30" s="123"/>
      <x:c r="G30" s="123"/>
      <x:c r="H30" s="123"/>
      <x:c r="I30" s="137"/>
      <x:c r="J30" s="137"/>
      <x:c r="K30" s="137"/>
      <x:c r="L30" s="137"/>
      <x:c r="M30" s="137"/>
      <x:c r="N30" s="137"/>
      <x:c r="O30" s="137"/>
      <x:c r="P30" s="137"/>
    </x:row>
    <x:row r="31">
      <x:c r="A31" s="115"/>
      <x:c r="B31" s="115"/>
      <x:c r="C31" s="115"/>
      <x:c r="D31" s="115"/>
      <x:c r="E31" s="123"/>
      <x:c r="F31" s="123"/>
      <x:c r="G31" s="123"/>
      <x:c r="H31" s="123"/>
      <x:c r="I31" s="137"/>
      <x:c r="J31" s="137"/>
      <x:c r="K31" s="137"/>
      <x:c r="L31" s="137"/>
      <x:c r="M31" s="137"/>
      <x:c r="N31" s="137"/>
      <x:c r="O31" s="137"/>
      <x:c r="P31" s="137"/>
    </x:row>
    <x:row r="32">
      <x:c r="A32" s="115"/>
      <x:c r="B32" s="115"/>
      <x:c r="C32" s="115"/>
      <x:c r="D32" s="115"/>
      <x:c r="E32" s="123"/>
      <x:c r="F32" s="123"/>
      <x:c r="G32" s="123"/>
      <x:c r="H32" s="123"/>
      <x:c r="I32" s="137"/>
      <x:c r="J32" s="137"/>
      <x:c r="K32" s="137"/>
      <x:c r="L32" s="137"/>
      <x:c r="M32" s="137"/>
      <x:c r="N32" s="137"/>
      <x:c r="O32" s="137"/>
      <x:c r="P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</x:row>
    <x:row r="34">
      <x:c r="A34" s="139" t="str">
        <x:v>Completion path</x:v>
      </x:c>
      <x:c r="B34" s="139"/>
      <x:c r="C34" s="139"/>
      <x:c r="D34" s="139"/>
      <x:c r="E34" s="139"/>
      <x:c r="F34" s="139"/>
      <x:c r="G34" s="139"/>
      <x:c r="H34" s="139"/>
      <x:c r="I34" s="137"/>
      <x:c r="J34" s="137"/>
      <x:c r="K34" s="137"/>
      <x:c r="L34" s="137"/>
      <x:c r="M34" s="137"/>
      <x:c r="N34" s="137"/>
      <x:c r="O34" s="137"/>
      <x:c r="P34" s="137"/>
    </x:row>
    <x:row r="35">
      <x:c r="A35" s="131" t="str">
        <x:v>Use the included regulator-request drafts to obtain the complete public attachment exports and written current-in-force confirmation. Then build a filing version chain using disposition and effective dates, reconcile every form number and edition date to the form schedule, and update the retrieval fields in this workbook.</x:v>
      </x:c>
      <x:c r="B35" s="131"/>
      <x:c r="C35" s="131"/>
      <x:c r="D35" s="131"/>
      <x:c r="E35" s="131"/>
      <x:c r="F35" s="131"/>
      <x:c r="G35" s="131"/>
      <x:c r="H35" s="131"/>
      <x:c r="I35" s="137"/>
      <x:c r="J35" s="137"/>
      <x:c r="K35" s="137"/>
      <x:c r="L35" s="137"/>
      <x:c r="M35" s="137"/>
      <x:c r="N35" s="137"/>
      <x:c r="O35" s="137"/>
      <x:c r="P35" s="137"/>
    </x:row>
    <x:row r="36">
      <x:c r="A36" s="131"/>
      <x:c r="B36" s="131"/>
      <x:c r="C36" s="131"/>
      <x:c r="D36" s="131"/>
      <x:c r="E36" s="131"/>
      <x:c r="F36" s="131"/>
      <x:c r="G36" s="131"/>
      <x:c r="H36" s="131"/>
      <x:c r="I36" s="137"/>
      <x:c r="J36" s="137"/>
      <x:c r="K36" s="137"/>
      <x:c r="L36" s="137"/>
      <x:c r="M36" s="137"/>
      <x:c r="N36" s="137"/>
      <x:c r="O36" s="137"/>
      <x:c r="P36" s="137"/>
    </x:row>
    <x:row r="37">
      <x:c r="A37" s="131"/>
      <x:c r="B37" s="131"/>
      <x:c r="C37" s="131"/>
      <x:c r="D37" s="131"/>
      <x:c r="E37" s="131"/>
      <x:c r="F37" s="131"/>
      <x:c r="G37" s="131"/>
      <x:c r="H37" s="131"/>
      <x:c r="I37" s="137"/>
      <x:c r="J37" s="137"/>
      <x:c r="K37" s="137"/>
      <x:c r="L37" s="137"/>
      <x:c r="M37" s="137"/>
      <x:c r="N37" s="137"/>
      <x:c r="O37" s="137"/>
      <x:c r="P37" s="137"/>
    </x:row>
    <x:row r="38">
      <x:c r="A38" s="131"/>
      <x:c r="B38" s="131"/>
      <x:c r="C38" s="131"/>
      <x:c r="D38" s="131"/>
      <x:c r="E38" s="131"/>
      <x:c r="F38" s="131"/>
      <x:c r="G38" s="131"/>
      <x:c r="H38" s="131"/>
      <x:c r="I38" s="137"/>
      <x:c r="J38" s="137"/>
      <x:c r="K38" s="137"/>
      <x:c r="L38" s="137"/>
      <x:c r="M38" s="137"/>
      <x:c r="N38" s="137"/>
      <x:c r="O38" s="137"/>
      <x:c r="P38" s="137"/>
    </x:row>
  </x:sheetData>
  <x:mergeCells>
    <x:mergeCell ref="A1:H2"/>
    <x:mergeCell ref="A3:H3"/>
    <x:mergeCell ref="A5:H5"/>
    <x:mergeCell ref="A6:B6"/>
    <x:mergeCell ref="A7:B8"/>
    <x:mergeCell ref="D6:E6"/>
    <x:mergeCell ref="D7:E8"/>
    <x:mergeCell ref="G6:H6"/>
    <x:mergeCell ref="G7:H8"/>
    <x:mergeCell ref="A10:B10"/>
    <x:mergeCell ref="A11:B12"/>
    <x:mergeCell ref="D10:E10"/>
    <x:mergeCell ref="D11:E12"/>
    <x:mergeCell ref="G10:H10"/>
    <x:mergeCell ref="G11:H12"/>
    <x:mergeCell ref="A14:H14"/>
    <x:mergeCell ref="A15:H18"/>
    <x:mergeCell ref="A20:H20"/>
    <x:mergeCell ref="C21:H21"/>
    <x:mergeCell ref="C22:H22"/>
    <x:mergeCell ref="C23:H23"/>
    <x:mergeCell ref="C24:H24"/>
    <x:mergeCell ref="A26:D26"/>
    <x:mergeCell ref="E26:H26"/>
    <x:mergeCell ref="A27:D32"/>
    <x:mergeCell ref="E27:H32"/>
    <x:mergeCell ref="A34:H34"/>
    <x:mergeCell ref="A35:H38"/>
  </x:mergeCells>
  <x:pageMargins left="0.7" right="0.7" top="0.75" bottom="0.75" header="0.3" footer="0.3"/>
  <x:drawing xmlns:r="http://schemas.openxmlformats.org/officeDocument/2006/relationships" r:id="R308c5a00d5064986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9" hidden="0" customWidth="1"/>
    <x:col min="3" max="3" width="54" hidden="0" customWidth="1"/>
    <x:col min="4" max="4" width="14" hidden="0" customWidth="1"/>
    <x:col min="5" max="5" width="30" hidden="0" customWidth="1"/>
    <x:col min="6" max="6" width="12" hidden="0" customWidth="1"/>
    <x:col min="7" max="7" width="42" hidden="0" customWidth="1"/>
    <x:col min="8" max="8" width="17" hidden="0" customWidth="1"/>
    <x:col min="9" max="9" width="18" hidden="0" customWidth="1"/>
    <x:col min="10" max="10" width="16" hidden="0" customWidth="1"/>
    <x:col min="11" max="11" width="34" hidden="0" customWidth="1"/>
    <x:col min="12" max="12" width="50" hidden="0" customWidth="1"/>
    <x:col min="13" max="13" width="40" hidden="0" customWidth="1"/>
    <x:col min="14" max="14" width="40" hidden="0" customWidth="1"/>
    <x:col min="15" max="15" width="56" hidden="0" customWidth="1"/>
  </x:cols>
  <x:sheetData>
    <x:row r="1">
      <x:c r="A1" s="5" t="str">
        <x:v>Enthusiast+ State-by-State Status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2" t="str">
        <x:v>Public-source findings through 2026-07-15. 'No verified rollout found' is not proof that no filing exists.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5">
      <x:c r="A5" s="26" t="str">
        <x:v>Jurisdiction</x:v>
      </x:c>
      <x:c r="B5" s="26" t="str">
        <x:v>Status Classification</x:v>
      </x:c>
      <x:c r="C5" s="26" t="str">
        <x:v>Latest Verified Product Status</x:v>
      </x:c>
      <x:c r="D5" s="26" t="str">
        <x:v>Evidence Date</x:v>
      </x:c>
      <x:c r="E5" s="26" t="str">
        <x:v>Underwriter</x:v>
      </x:c>
      <x:c r="F5" s="26" t="str">
        <x:v>NAIC Code</x:v>
      </x:c>
      <x:c r="G5" s="26" t="str">
        <x:v>Candidate SERFF IDs</x:v>
      </x:c>
      <x:c r="H5" s="26" t="str">
        <x:v>Filing ZIP Retrieved?</x:v>
      </x:c>
      <x:c r="I5" s="26" t="str">
        <x:v>Rates / Rules Retrieved?</x:v>
      </x:c>
      <x:c r="J5" s="26" t="str">
        <x:v>Forms Retrieved?</x:v>
      </x:c>
      <x:c r="K5" s="26" t="str">
        <x:v>Confidence</x:v>
      </x:c>
      <x:c r="L5" s="26" t="str">
        <x:v>Next Action</x:v>
      </x:c>
      <x:c r="M5" s="26" t="str">
        <x:v>Primary Source URL</x:v>
      </x:c>
      <x:c r="N5" s="26" t="str">
        <x:v>Corroborating / Conflicting Source URL</x:v>
      </x:c>
      <x:c r="O5" s="26" t="str">
        <x:v>Notes</x:v>
      </x:c>
    </x:row>
    <x:row r="6" ht="48" customHeight="1">
      <x:c r="A6" s="103" t="str">
        <x:v>Alabama</x:v>
      </x:c>
      <x:c r="B6" s="103" t="str">
        <x:v>No verified rollout found</x:v>
      </x:c>
      <x:c r="C6" s="103" t="str">
        <x:v>No public evidence of a live Enthusiast+ rollout or a verified product filing was found in the reviewed sources through 2026-07-15.</x:v>
      </x:c>
      <x:c r="D6" s="156"/>
      <x:c r="E6" s="103" t="str">
        <x:v>Drivers Edge Insurance Company</x:v>
      </x:c>
      <x:c r="F6" s="103" t="n">
        <x:v>23795</x:v>
      </x:c>
      <x:c r="G6" s="103" t="str"/>
      <x:c r="H6" s="103" t="str">
        <x:v>No</x:v>
      </x:c>
      <x:c r="I6" s="103" t="str">
        <x:v>No</x:v>
      </x:c>
      <x:c r="J6" s="103" t="str">
        <x:v>No</x:v>
      </x:c>
      <x:c r="K6" s="103" t="str">
        <x:v>Unknown / not established</x:v>
      </x:c>
      <x:c r="L6" s="103" t="str">
        <x:v>Recheck the state's SERFF Filing Access portal under the legal carrier name and product-name variants as the phased rollout progresses.</x:v>
      </x:c>
      <x:c r="M6" s="103" t="str">
        <x:v>https://s28.q4cdn.com/107308082/files/doc_financials/2025/ar/4b3894e9-e517-492e-a004-ab01967e5a6d.pdf</x:v>
      </x:c>
      <x:c r="N6" s="103" t="str">
        <x:v>https://www.sec.gov/Archives/edgar/data/1840776/000184077626000021/hgty-20260331.htm</x:v>
      </x:c>
      <x:c r="O6" s="103" t="str">
        <x:v>This is not proof that no filing exists. Drivers Edge's certificates of authority do not establish that Enthusiast+ is approved, offered, or in force in a given state.</x:v>
      </x:c>
    </x:row>
    <x:row r="7" ht="48" customHeight="1">
      <x:c r="A7" s="103" t="str">
        <x:v>Alaska</x:v>
      </x:c>
      <x:c r="B7" s="103" t="str">
        <x:v>No verified rollout found</x:v>
      </x:c>
      <x:c r="C7" s="103" t="str">
        <x:v>No public evidence of a live Enthusiast+ rollout or a verified product filing was found in the reviewed sources through 2026-07-15.</x:v>
      </x:c>
      <x:c r="D7" s="156"/>
      <x:c r="E7" s="103" t="str">
        <x:v>Drivers Edge Insurance Company</x:v>
      </x:c>
      <x:c r="F7" s="103" t="n">
        <x:v>23795</x:v>
      </x:c>
      <x:c r="G7" s="103" t="str"/>
      <x:c r="H7" s="103" t="str">
        <x:v>No</x:v>
      </x:c>
      <x:c r="I7" s="103" t="str">
        <x:v>No</x:v>
      </x:c>
      <x:c r="J7" s="103" t="str">
        <x:v>No</x:v>
      </x:c>
      <x:c r="K7" s="103" t="str">
        <x:v>Unknown / not established</x:v>
      </x:c>
      <x:c r="L7" s="103" t="str">
        <x:v>Recheck the state's SERFF Filing Access portal under the legal carrier name and product-name variants as the phased rollout progresses.</x:v>
      </x:c>
      <x:c r="M7" s="103" t="str">
        <x:v>https://s28.q4cdn.com/107308082/files/doc_financials/2025/ar/4b3894e9-e517-492e-a004-ab01967e5a6d.pdf</x:v>
      </x:c>
      <x:c r="N7" s="103" t="str">
        <x:v>https://www.sec.gov/Archives/edgar/data/1840776/000184077626000021/hgty-20260331.htm</x:v>
      </x:c>
      <x:c r="O7" s="103" t="str">
        <x:v>This is not proof that no filing exists. Drivers Edge's certificates of authority do not establish that Enthusiast+ is approved, offered, or in force in a given state.</x:v>
      </x:c>
    </x:row>
    <x:row r="8" ht="48" customHeight="1">
      <x:c r="A8" s="103" t="str">
        <x:v>Arizona</x:v>
      </x:c>
      <x:c r="B8" s="103" t="str">
        <x:v>No verified rollout found</x:v>
      </x:c>
      <x:c r="C8" s="103" t="str">
        <x:v>No public evidence of a live Enthusiast+ rollout or a verified product filing was found in the reviewed sources through 2026-07-15.</x:v>
      </x:c>
      <x:c r="D8" s="156"/>
      <x:c r="E8" s="103" t="str">
        <x:v>Drivers Edge Insurance Company</x:v>
      </x:c>
      <x:c r="F8" s="103" t="n">
        <x:v>23795</x:v>
      </x:c>
      <x:c r="G8" s="103" t="str"/>
      <x:c r="H8" s="103" t="str">
        <x:v>No</x:v>
      </x:c>
      <x:c r="I8" s="103" t="str">
        <x:v>No</x:v>
      </x:c>
      <x:c r="J8" s="103" t="str">
        <x:v>No</x:v>
      </x:c>
      <x:c r="K8" s="103" t="str">
        <x:v>Unknown / not established</x:v>
      </x:c>
      <x:c r="L8" s="103" t="str">
        <x:v>Recheck the state's SERFF Filing Access portal under the legal carrier name and product-name variants as the phased rollout progresses.</x:v>
      </x:c>
      <x:c r="M8" s="103" t="str">
        <x:v>https://s28.q4cdn.com/107308082/files/doc_financials/2025/ar/4b3894e9-e517-492e-a004-ab01967e5a6d.pdf</x:v>
      </x:c>
      <x:c r="N8" s="103" t="str">
        <x:v>https://www.sec.gov/Archives/edgar/data/1840776/000184077626000021/hgty-20260331.htm</x:v>
      </x:c>
      <x:c r="O8" s="103" t="str">
        <x:v>This is not proof that no filing exists. Drivers Edge's certificates of authority do not establish that Enthusiast+ is approved, offered, or in force in a given state.</x:v>
      </x:c>
    </x:row>
    <x:row r="9" ht="48" customHeight="1">
      <x:c r="A9" s="103" t="str">
        <x:v>Arkansas</x:v>
      </x:c>
      <x:c r="B9" s="103" t="str">
        <x:v>No verified rollout found</x:v>
      </x:c>
      <x:c r="C9" s="103" t="str">
        <x:v>No public evidence of a live Enthusiast+ rollout or a verified product filing was found in the reviewed sources through 2026-07-15.</x:v>
      </x:c>
      <x:c r="D9" s="156"/>
      <x:c r="E9" s="103" t="str">
        <x:v>Drivers Edge Insurance Company</x:v>
      </x:c>
      <x:c r="F9" s="103" t="n">
        <x:v>23795</x:v>
      </x:c>
      <x:c r="G9" s="103" t="str"/>
      <x:c r="H9" s="103" t="str">
        <x:v>No</x:v>
      </x:c>
      <x:c r="I9" s="103" t="str">
        <x:v>No</x:v>
      </x:c>
      <x:c r="J9" s="103" t="str">
        <x:v>No</x:v>
      </x:c>
      <x:c r="K9" s="103" t="str">
        <x:v>Unknown / not established</x:v>
      </x:c>
      <x:c r="L9" s="103" t="str">
        <x:v>Recheck the state's SERFF Filing Access portal under the legal carrier name and product-name variants as the phased rollout progresses.</x:v>
      </x:c>
      <x:c r="M9" s="103" t="str">
        <x:v>https://s28.q4cdn.com/107308082/files/doc_financials/2025/ar/4b3894e9-e517-492e-a004-ab01967e5a6d.pdf</x:v>
      </x:c>
      <x:c r="N9" s="103" t="str">
        <x:v>https://www.sec.gov/Archives/edgar/data/1840776/000184077626000021/hgty-20260331.htm</x:v>
      </x:c>
      <x:c r="O9" s="103" t="str">
        <x:v>This is not proof that no filing exists. Drivers Edge's certificates of authority do not establish that Enthusiast+ is approved, offered, or in force in a given state.</x:v>
      </x:c>
    </x:row>
    <x:row r="10" ht="48" customHeight="1">
      <x:c r="A10" s="103" t="str">
        <x:v>California</x:v>
      </x:c>
      <x:c r="B10" s="103" t="str">
        <x:v>No verified rollout found</x:v>
      </x:c>
      <x:c r="C10" s="103" t="str">
        <x:v>No public evidence of a live Enthusiast+ rollout or a verified product filing was found in the reviewed sources through 2026-07-15.</x:v>
      </x:c>
      <x:c r="D10" s="156"/>
      <x:c r="E10" s="103" t="str">
        <x:v>Drivers Edge Insurance Company</x:v>
      </x:c>
      <x:c r="F10" s="103" t="n">
        <x:v>23795</x:v>
      </x:c>
      <x:c r="G10" s="103" t="str"/>
      <x:c r="H10" s="103" t="str">
        <x:v>No</x:v>
      </x:c>
      <x:c r="I10" s="103" t="str">
        <x:v>No</x:v>
      </x:c>
      <x:c r="J10" s="103" t="str">
        <x:v>No</x:v>
      </x:c>
      <x:c r="K10" s="103" t="str">
        <x:v>Unknown / not established</x:v>
      </x:c>
      <x:c r="L10" s="103" t="str">
        <x:v>Recheck the state's SERFF Filing Access portal under the legal carrier name and product-name variants as the phased rollout progresses.</x:v>
      </x:c>
      <x:c r="M10" s="103" t="str">
        <x:v>https://s28.q4cdn.com/107308082/files/doc_financials/2025/ar/4b3894e9-e517-492e-a004-ab01967e5a6d.pdf</x:v>
      </x:c>
      <x:c r="N10" s="103" t="str">
        <x:v>https://www.sec.gov/Archives/edgar/data/1840776/000184077626000021/hgty-20260331.htm</x:v>
      </x:c>
      <x:c r="O10" s="103" t="str">
        <x:v>This is not proof that no filing exists. Drivers Edge's certificates of authority do not establish that Enthusiast+ is approved, offered, or in force in a given state.</x:v>
      </x:c>
    </x:row>
    <x:row r="11" ht="48" customHeight="1">
      <x:c r="A11" s="103" t="str">
        <x:v>Colorado</x:v>
      </x:c>
      <x:c r="B11" s="103" t="str">
        <x:v>Verified active / pilot</x:v>
      </x:c>
      <x:c r="C11" s="103" t="str">
        <x:v>Enthusiast+ launched in Q3 2025. On 2026-05-06, Hagerty's CFO stated that E-Plus was in one state, Colorado.</x:v>
      </x:c>
      <x:c r="D11" s="156" t="n">
        <x:v>46148</x:v>
      </x:c>
      <x:c r="E11" s="103" t="str">
        <x:v>Drivers Edge Insurance Company</x:v>
      </x:c>
      <x:c r="F11" s="103" t="n">
        <x:v>23795</x:v>
      </x:c>
      <x:c r="G11" s="103" t="str">
        <x:v>134093487; 134444200 (state and product mapping unconfirmed)</x:v>
      </x:c>
      <x:c r="H11" s="103" t="str">
        <x:v>No</x:v>
      </x:c>
      <x:c r="I11" s="103" t="str">
        <x:v>No</x:v>
      </x:c>
      <x:c r="J11" s="103" t="str">
        <x:v>No</x:v>
      </x:c>
      <x:c r="K11" s="103" t="str">
        <x:v>High on live status; low on candidate filing-ID mapping</x:v>
      </x:c>
      <x:c r="L11" s="103" t="str">
        <x:v>Obtain the complete current-in-force SERFF export from the Colorado Division of Insurance and reconcile the candidate IDs.</x:v>
      </x:c>
      <x:c r="M11" s="103" t="str">
        <x:v>https://s28.q4cdn.com/107308082/files/doc_financials/2025/ar/4b3894e9-e517-492e-a004-ab01967e5a6d.pdf</x:v>
      </x:c>
      <x:c r="N11" s="103" t="str">
        <x:v>https://www.roic.ai/quote/HGTY/transcripts/2026-year/1-quarter</x:v>
      </x:c>
      <x:c r="O11" s="103" t="str">
        <x:v>Colorado is the only currently verified active market. The official filing attachments were not retrievable from a public deep link without an active state SERFF session.</x:v>
      </x:c>
    </x:row>
    <x:row r="12" ht="48" customHeight="1">
      <x:c r="A12" s="103" t="str">
        <x:v>Connecticut</x:v>
      </x:c>
      <x:c r="B12" s="103" t="str">
        <x:v>No verified rollout found</x:v>
      </x:c>
      <x:c r="C12" s="103" t="str">
        <x:v>No public evidence of a live Enthusiast+ rollout or a verified product filing was found in the reviewed sources through 2026-07-15.</x:v>
      </x:c>
      <x:c r="D12" s="156"/>
      <x:c r="E12" s="103" t="str">
        <x:v>Drivers Edge Insurance Company</x:v>
      </x:c>
      <x:c r="F12" s="103" t="n">
        <x:v>23795</x:v>
      </x:c>
      <x:c r="G12" s="103" t="str"/>
      <x:c r="H12" s="103" t="str">
        <x:v>No</x:v>
      </x:c>
      <x:c r="I12" s="103" t="str">
        <x:v>No</x:v>
      </x:c>
      <x:c r="J12" s="103" t="str">
        <x:v>No</x:v>
      </x:c>
      <x:c r="K12" s="103" t="str">
        <x:v>Unknown / not established</x:v>
      </x:c>
      <x:c r="L12" s="103" t="str">
        <x:v>Recheck the state's SERFF Filing Access portal under the legal carrier name and product-name variants as the phased rollout progresses.</x:v>
      </x:c>
      <x:c r="M12" s="103" t="str">
        <x:v>https://s28.q4cdn.com/107308082/files/doc_financials/2025/ar/4b3894e9-e517-492e-a004-ab01967e5a6d.pdf</x:v>
      </x:c>
      <x:c r="N12" s="103" t="str">
        <x:v>https://www.sec.gov/Archives/edgar/data/1840776/000184077626000021/hgty-20260331.htm</x:v>
      </x:c>
      <x:c r="O12" s="103" t="str">
        <x:v>This is not proof that no filing exists. Drivers Edge's certificates of authority do not establish that Enthusiast+ is approved, offered, or in force in a given state.</x:v>
      </x:c>
    </x:row>
    <x:row r="13" ht="48" customHeight="1">
      <x:c r="A13" s="103" t="str">
        <x:v>Delaware</x:v>
      </x:c>
      <x:c r="B13" s="103" t="str">
        <x:v>No verified rollout found</x:v>
      </x:c>
      <x:c r="C13" s="103" t="str">
        <x:v>No public evidence of a live Enthusiast+ rollout or a verified product filing was found in the reviewed sources through 2026-07-15.</x:v>
      </x:c>
      <x:c r="D13" s="156"/>
      <x:c r="E13" s="103" t="str">
        <x:v>Drivers Edge Insurance Company</x:v>
      </x:c>
      <x:c r="F13" s="103" t="n">
        <x:v>23795</x:v>
      </x:c>
      <x:c r="G13" s="103" t="str"/>
      <x:c r="H13" s="103" t="str">
        <x:v>No</x:v>
      </x:c>
      <x:c r="I13" s="103" t="str">
        <x:v>No</x:v>
      </x:c>
      <x:c r="J13" s="103" t="str">
        <x:v>No</x:v>
      </x:c>
      <x:c r="K13" s="103" t="str">
        <x:v>Unknown / not established</x:v>
      </x:c>
      <x:c r="L13" s="103" t="str">
        <x:v>Recheck the state's SERFF Filing Access portal under the legal carrier name and product-name variants as the phased rollout progresses.</x:v>
      </x:c>
      <x:c r="M13" s="103" t="str">
        <x:v>https://s28.q4cdn.com/107308082/files/doc_financials/2025/ar/4b3894e9-e517-492e-a004-ab01967e5a6d.pdf</x:v>
      </x:c>
      <x:c r="N13" s="103" t="str">
        <x:v>https://www.sec.gov/Archives/edgar/data/1840776/000184077626000021/hgty-20260331.htm</x:v>
      </x:c>
      <x:c r="O13" s="103" t="str">
        <x:v>This is not proof that no filing exists. Drivers Edge's certificates of authority do not establish that Enthusiast+ is approved, offered, or in force in a given state.</x:v>
      </x:c>
    </x:row>
    <x:row r="14" ht="48" customHeight="1">
      <x:c r="A14" s="103" t="str">
        <x:v>District of Columbia</x:v>
      </x:c>
      <x:c r="B14" s="103" t="str">
        <x:v>No verified rollout found</x:v>
      </x:c>
      <x:c r="C14" s="103" t="str">
        <x:v>No public evidence of a live Enthusiast+ rollout or a verified product filing was found in the reviewed sources through 2026-07-15.</x:v>
      </x:c>
      <x:c r="D14" s="156"/>
      <x:c r="E14" s="103" t="str">
        <x:v>Drivers Edge Insurance Company</x:v>
      </x:c>
      <x:c r="F14" s="103" t="n">
        <x:v>23795</x:v>
      </x:c>
      <x:c r="G14" s="103" t="str"/>
      <x:c r="H14" s="103" t="str">
        <x:v>No</x:v>
      </x:c>
      <x:c r="I14" s="103" t="str">
        <x:v>No</x:v>
      </x:c>
      <x:c r="J14" s="103" t="str">
        <x:v>No</x:v>
      </x:c>
      <x:c r="K14" s="103" t="str">
        <x:v>Unknown / not established</x:v>
      </x:c>
      <x:c r="L14" s="103" t="str">
        <x:v>Recheck the state's SERFF Filing Access portal under the legal carrier name and product-name variants as the phased rollout progresses.</x:v>
      </x:c>
      <x:c r="M14" s="103" t="str">
        <x:v>https://s28.q4cdn.com/107308082/files/doc_financials/2025/ar/4b3894e9-e517-492e-a004-ab01967e5a6d.pdf</x:v>
      </x:c>
      <x:c r="N14" s="103" t="str">
        <x:v>https://www.sec.gov/Archives/edgar/data/1840776/000184077626000021/hgty-20260331.htm</x:v>
      </x:c>
      <x:c r="O14" s="103" t="str">
        <x:v>This is not proof that no filing exists. Drivers Edge's certificates of authority do not establish that Enthusiast+ is approved, offered, or in force in a given state.</x:v>
      </x:c>
    </x:row>
    <x:row r="15" ht="48" customHeight="1">
      <x:c r="A15" s="103" t="str">
        <x:v>Florida</x:v>
      </x:c>
      <x:c r="B15" s="103" t="str">
        <x:v>No verified rollout found</x:v>
      </x:c>
      <x:c r="C15" s="103" t="str">
        <x:v>No public evidence of a live Enthusiast+ rollout or a verified product filing was found in the reviewed sources through 2026-07-15.</x:v>
      </x:c>
      <x:c r="D15" s="156"/>
      <x:c r="E15" s="103" t="str">
        <x:v>Drivers Edge Insurance Company</x:v>
      </x:c>
      <x:c r="F15" s="103" t="n">
        <x:v>23795</x:v>
      </x:c>
      <x:c r="G15" s="103" t="str"/>
      <x:c r="H15" s="103" t="str">
        <x:v>No</x:v>
      </x:c>
      <x:c r="I15" s="103" t="str">
        <x:v>No</x:v>
      </x:c>
      <x:c r="J15" s="103" t="str">
        <x:v>No</x:v>
      </x:c>
      <x:c r="K15" s="103" t="str">
        <x:v>Unknown / not established</x:v>
      </x:c>
      <x:c r="L15" s="103" t="str">
        <x:v>Recheck the state's SERFF Filing Access portal under the legal carrier name and product-name variants as the phased rollout progresses.</x:v>
      </x:c>
      <x:c r="M15" s="103" t="str">
        <x:v>https://s28.q4cdn.com/107308082/files/doc_financials/2025/ar/4b3894e9-e517-492e-a004-ab01967e5a6d.pdf</x:v>
      </x:c>
      <x:c r="N15" s="103" t="str">
        <x:v>https://www.sec.gov/Archives/edgar/data/1840776/000184077626000021/hgty-20260331.htm</x:v>
      </x:c>
      <x:c r="O15" s="103" t="str">
        <x:v>This is not proof that no filing exists. Drivers Edge's certificates of authority do not establish that Enthusiast+ is approved, offered, or in force in a given state.</x:v>
      </x:c>
    </x:row>
    <x:row r="16" ht="48" customHeight="1">
      <x:c r="A16" s="103" t="str">
        <x:v>Georgia</x:v>
      </x:c>
      <x:c r="B16" s="103" t="str">
        <x:v>No verified rollout found</x:v>
      </x:c>
      <x:c r="C16" s="103" t="str">
        <x:v>No public evidence of a live Enthusiast+ rollout or a verified product filing was found in the reviewed sources through 2026-07-15.</x:v>
      </x:c>
      <x:c r="D16" s="156"/>
      <x:c r="E16" s="103" t="str">
        <x:v>Drivers Edge Insurance Company</x:v>
      </x:c>
      <x:c r="F16" s="103" t="n">
        <x:v>23795</x:v>
      </x:c>
      <x:c r="G16" s="103" t="str"/>
      <x:c r="H16" s="103" t="str">
        <x:v>No</x:v>
      </x:c>
      <x:c r="I16" s="103" t="str">
        <x:v>No</x:v>
      </x:c>
      <x:c r="J16" s="103" t="str">
        <x:v>No</x:v>
      </x:c>
      <x:c r="K16" s="103" t="str">
        <x:v>Unknown / not established</x:v>
      </x:c>
      <x:c r="L16" s="103" t="str">
        <x:v>Recheck the state's SERFF Filing Access portal under the legal carrier name and product-name variants as the phased rollout progresses.</x:v>
      </x:c>
      <x:c r="M16" s="103" t="str">
        <x:v>https://s28.q4cdn.com/107308082/files/doc_financials/2025/ar/4b3894e9-e517-492e-a004-ab01967e5a6d.pdf</x:v>
      </x:c>
      <x:c r="N16" s="103" t="str">
        <x:v>https://www.sec.gov/Archives/edgar/data/1840776/000184077626000021/hgty-20260331.htm</x:v>
      </x:c>
      <x:c r="O16" s="103" t="str">
        <x:v>This is not proof that no filing exists. Drivers Edge's certificates of authority do not establish that Enthusiast+ is approved, offered, or in force in a given state.</x:v>
      </x:c>
    </x:row>
    <x:row r="17" ht="48" customHeight="1">
      <x:c r="A17" s="103" t="str">
        <x:v>Hawaii</x:v>
      </x:c>
      <x:c r="B17" s="103" t="str">
        <x:v>No verified rollout found</x:v>
      </x:c>
      <x:c r="C17" s="103" t="str">
        <x:v>No public evidence of a live Enthusiast+ rollout or a verified product filing was found in the reviewed sources through 2026-07-15.</x:v>
      </x:c>
      <x:c r="D17" s="156"/>
      <x:c r="E17" s="103" t="str">
        <x:v>Drivers Edge Insurance Company</x:v>
      </x:c>
      <x:c r="F17" s="103" t="n">
        <x:v>23795</x:v>
      </x:c>
      <x:c r="G17" s="103" t="str"/>
      <x:c r="H17" s="103" t="str">
        <x:v>No</x:v>
      </x:c>
      <x:c r="I17" s="103" t="str">
        <x:v>No</x:v>
      </x:c>
      <x:c r="J17" s="103" t="str">
        <x:v>No</x:v>
      </x:c>
      <x:c r="K17" s="103" t="str">
        <x:v>Unknown / not established</x:v>
      </x:c>
      <x:c r="L17" s="103" t="str">
        <x:v>Recheck the state's SERFF Filing Access portal under the legal carrier name and product-name variants as the phased rollout progresses.</x:v>
      </x:c>
      <x:c r="M17" s="103" t="str">
        <x:v>https://s28.q4cdn.com/107308082/files/doc_financials/2025/ar/4b3894e9-e517-492e-a004-ab01967e5a6d.pdf</x:v>
      </x:c>
      <x:c r="N17" s="103" t="str">
        <x:v>https://www.sec.gov/Archives/edgar/data/1840776/000184077626000021/hgty-20260331.htm</x:v>
      </x:c>
      <x:c r="O17" s="103" t="str">
        <x:v>This is not proof that no filing exists. Drivers Edge's certificates of authority do not establish that Enthusiast+ is approved, offered, or in force in a given state.</x:v>
      </x:c>
    </x:row>
    <x:row r="18" ht="48" customHeight="1">
      <x:c r="A18" s="103" t="str">
        <x:v>Idaho</x:v>
      </x:c>
      <x:c r="B18" s="103" t="str">
        <x:v>No verified rollout found</x:v>
      </x:c>
      <x:c r="C18" s="103" t="str">
        <x:v>No public evidence of a live Enthusiast+ rollout or a verified product filing was found in the reviewed sources through 2026-07-15.</x:v>
      </x:c>
      <x:c r="D18" s="156"/>
      <x:c r="E18" s="103" t="str">
        <x:v>Drivers Edge Insurance Company</x:v>
      </x:c>
      <x:c r="F18" s="103" t="n">
        <x:v>23795</x:v>
      </x:c>
      <x:c r="G18" s="103" t="str"/>
      <x:c r="H18" s="103" t="str">
        <x:v>No</x:v>
      </x:c>
      <x:c r="I18" s="103" t="str">
        <x:v>No</x:v>
      </x:c>
      <x:c r="J18" s="103" t="str">
        <x:v>No</x:v>
      </x:c>
      <x:c r="K18" s="103" t="str">
        <x:v>Unknown / not established</x:v>
      </x:c>
      <x:c r="L18" s="103" t="str">
        <x:v>Recheck the state's SERFF Filing Access portal under the legal carrier name and product-name variants as the phased rollout progresses.</x:v>
      </x:c>
      <x:c r="M18" s="103" t="str">
        <x:v>https://s28.q4cdn.com/107308082/files/doc_financials/2025/ar/4b3894e9-e517-492e-a004-ab01967e5a6d.pdf</x:v>
      </x:c>
      <x:c r="N18" s="103" t="str">
        <x:v>https://www.sec.gov/Archives/edgar/data/1840776/000184077626000021/hgty-20260331.htm</x:v>
      </x:c>
      <x:c r="O18" s="103" t="str">
        <x:v>This is not proof that no filing exists. Drivers Edge's certificates of authority do not establish that Enthusiast+ is approved, offered, or in force in a given state.</x:v>
      </x:c>
    </x:row>
    <x:row r="19" ht="48" customHeight="1">
      <x:c r="A19" s="103" t="str">
        <x:v>Illinois</x:v>
      </x:c>
      <x:c r="B19" s="103" t="str">
        <x:v>No verified rollout found</x:v>
      </x:c>
      <x:c r="C19" s="103" t="str">
        <x:v>No public evidence of a live Enthusiast+ rollout or a verified product filing was found in the reviewed sources through 2026-07-15.</x:v>
      </x:c>
      <x:c r="D19" s="156"/>
      <x:c r="E19" s="103" t="str">
        <x:v>Drivers Edge Insurance Company</x:v>
      </x:c>
      <x:c r="F19" s="103" t="n">
        <x:v>23795</x:v>
      </x:c>
      <x:c r="G19" s="103" t="str"/>
      <x:c r="H19" s="103" t="str">
        <x:v>No</x:v>
      </x:c>
      <x:c r="I19" s="103" t="str">
        <x:v>No</x:v>
      </x:c>
      <x:c r="J19" s="103" t="str">
        <x:v>No</x:v>
      </x:c>
      <x:c r="K19" s="103" t="str">
        <x:v>Unknown / not established</x:v>
      </x:c>
      <x:c r="L19" s="103" t="str">
        <x:v>Recheck the state's SERFF Filing Access portal under the legal carrier name and product-name variants as the phased rollout progresses.</x:v>
      </x:c>
      <x:c r="M19" s="103" t="str">
        <x:v>https://s28.q4cdn.com/107308082/files/doc_financials/2025/ar/4b3894e9-e517-492e-a004-ab01967e5a6d.pdf</x:v>
      </x:c>
      <x:c r="N19" s="103" t="str">
        <x:v>https://www.sec.gov/Archives/edgar/data/1840776/000184077626000021/hgty-20260331.htm</x:v>
      </x:c>
      <x:c r="O19" s="103" t="str">
        <x:v>This is not proof that no filing exists. Drivers Edge's certificates of authority do not establish that Enthusiast+ is approved, offered, or in force in a given state.</x:v>
      </x:c>
    </x:row>
    <x:row r="20" ht="48" customHeight="1">
      <x:c r="A20" s="103" t="str">
        <x:v>Indiana</x:v>
      </x:c>
      <x:c r="B20" s="103" t="str">
        <x:v>No verified rollout found</x:v>
      </x:c>
      <x:c r="C20" s="103" t="str">
        <x:v>No public evidence of a live Enthusiast+ rollout or a verified product filing was found in the reviewed sources through 2026-07-15.</x:v>
      </x:c>
      <x:c r="D20" s="156"/>
      <x:c r="E20" s="103" t="str">
        <x:v>Drivers Edge Insurance Company</x:v>
      </x:c>
      <x:c r="F20" s="103" t="n">
        <x:v>23795</x:v>
      </x:c>
      <x:c r="G20" s="103" t="str"/>
      <x:c r="H20" s="103" t="str">
        <x:v>No</x:v>
      </x:c>
      <x:c r="I20" s="103" t="str">
        <x:v>No</x:v>
      </x:c>
      <x:c r="J20" s="103" t="str">
        <x:v>No</x:v>
      </x:c>
      <x:c r="K20" s="103" t="str">
        <x:v>Unknown / not established</x:v>
      </x:c>
      <x:c r="L20" s="103" t="str">
        <x:v>Recheck the state's SERFF Filing Access portal under the legal carrier name and product-name variants as the phased rollout progresses.</x:v>
      </x:c>
      <x:c r="M20" s="103" t="str">
        <x:v>https://s28.q4cdn.com/107308082/files/doc_financials/2025/ar/4b3894e9-e517-492e-a004-ab01967e5a6d.pdf</x:v>
      </x:c>
      <x:c r="N20" s="103" t="str">
        <x:v>https://www.sec.gov/Archives/edgar/data/1840776/000184077626000021/hgty-20260331.htm</x:v>
      </x:c>
      <x:c r="O20" s="103" t="str">
        <x:v>This is not proof that no filing exists. Drivers Edge's certificates of authority do not establish that Enthusiast+ is approved, offered, or in force in a given state.</x:v>
      </x:c>
    </x:row>
    <x:row r="21" ht="48" customHeight="1">
      <x:c r="A21" s="103" t="str">
        <x:v>Iowa</x:v>
      </x:c>
      <x:c r="B21" s="103" t="str">
        <x:v>No verified rollout found</x:v>
      </x:c>
      <x:c r="C21" s="103" t="str">
        <x:v>No public evidence of a live Enthusiast+ rollout or a verified product filing was found in the reviewed sources through 2026-07-15.</x:v>
      </x:c>
      <x:c r="D21" s="156"/>
      <x:c r="E21" s="103" t="str">
        <x:v>Drivers Edge Insurance Company</x:v>
      </x:c>
      <x:c r="F21" s="103" t="n">
        <x:v>23795</x:v>
      </x:c>
      <x:c r="G21" s="103" t="str"/>
      <x:c r="H21" s="103" t="str">
        <x:v>No</x:v>
      </x:c>
      <x:c r="I21" s="103" t="str">
        <x:v>No</x:v>
      </x:c>
      <x:c r="J21" s="103" t="str">
        <x:v>No</x:v>
      </x:c>
      <x:c r="K21" s="103" t="str">
        <x:v>Unknown / not established</x:v>
      </x:c>
      <x:c r="L21" s="103" t="str">
        <x:v>Recheck the state's SERFF Filing Access portal under the legal carrier name and product-name variants as the phased rollout progresses.</x:v>
      </x:c>
      <x:c r="M21" s="103" t="str">
        <x:v>https://s28.q4cdn.com/107308082/files/doc_financials/2025/ar/4b3894e9-e517-492e-a004-ab01967e5a6d.pdf</x:v>
      </x:c>
      <x:c r="N21" s="103" t="str">
        <x:v>https://www.sec.gov/Archives/edgar/data/1840776/000184077626000021/hgty-20260331.htm</x:v>
      </x:c>
      <x:c r="O21" s="103" t="str">
        <x:v>This is not proof that no filing exists. Drivers Edge's certificates of authority do not establish that Enthusiast+ is approved, offered, or in force in a given state.</x:v>
      </x:c>
    </x:row>
    <x:row r="22" ht="48" customHeight="1">
      <x:c r="A22" s="103" t="str">
        <x:v>Kansas</x:v>
      </x:c>
      <x:c r="B22" s="103" t="str">
        <x:v>No verified rollout found</x:v>
      </x:c>
      <x:c r="C22" s="103" t="str">
        <x:v>No public evidence of a live Enthusiast+ rollout or a verified product filing was found in the reviewed sources through 2026-07-15.</x:v>
      </x:c>
      <x:c r="D22" s="156"/>
      <x:c r="E22" s="103" t="str">
        <x:v>Drivers Edge Insurance Company</x:v>
      </x:c>
      <x:c r="F22" s="103" t="n">
        <x:v>23795</x:v>
      </x:c>
      <x:c r="G22" s="103" t="str"/>
      <x:c r="H22" s="103" t="str">
        <x:v>No</x:v>
      </x:c>
      <x:c r="I22" s="103" t="str">
        <x:v>No</x:v>
      </x:c>
      <x:c r="J22" s="103" t="str">
        <x:v>No</x:v>
      </x:c>
      <x:c r="K22" s="103" t="str">
        <x:v>Unknown / not established</x:v>
      </x:c>
      <x:c r="L22" s="103" t="str">
        <x:v>Recheck the state's SERFF Filing Access portal under the legal carrier name and product-name variants as the phased rollout progresses.</x:v>
      </x:c>
      <x:c r="M22" s="103" t="str">
        <x:v>https://s28.q4cdn.com/107308082/files/doc_financials/2025/ar/4b3894e9-e517-492e-a004-ab01967e5a6d.pdf</x:v>
      </x:c>
      <x:c r="N22" s="103" t="str">
        <x:v>https://www.sec.gov/Archives/edgar/data/1840776/000184077626000021/hgty-20260331.htm</x:v>
      </x:c>
      <x:c r="O22" s="103" t="str">
        <x:v>This is not proof that no filing exists. Drivers Edge's certificates of authority do not establish that Enthusiast+ is approved, offered, or in force in a given state.</x:v>
      </x:c>
    </x:row>
    <x:row r="23" ht="48" customHeight="1">
      <x:c r="A23" s="103" t="str">
        <x:v>Kentucky</x:v>
      </x:c>
      <x:c r="B23" s="103" t="str">
        <x:v>No verified rollout found</x:v>
      </x:c>
      <x:c r="C23" s="103" t="str">
        <x:v>No public evidence of a live Enthusiast+ rollout or a verified product filing was found in the reviewed sources through 2026-07-15.</x:v>
      </x:c>
      <x:c r="D23" s="156"/>
      <x:c r="E23" s="103" t="str">
        <x:v>Drivers Edge Insurance Company</x:v>
      </x:c>
      <x:c r="F23" s="103" t="n">
        <x:v>23795</x:v>
      </x:c>
      <x:c r="G23" s="103" t="str"/>
      <x:c r="H23" s="103" t="str">
        <x:v>No</x:v>
      </x:c>
      <x:c r="I23" s="103" t="str">
        <x:v>No</x:v>
      </x:c>
      <x:c r="J23" s="103" t="str">
        <x:v>No</x:v>
      </x:c>
      <x:c r="K23" s="103" t="str">
        <x:v>Unknown / not established</x:v>
      </x:c>
      <x:c r="L23" s="103" t="str">
        <x:v>Recheck the state's SERFF Filing Access portal under the legal carrier name and product-name variants as the phased rollout progresses.</x:v>
      </x:c>
      <x:c r="M23" s="103" t="str">
        <x:v>https://s28.q4cdn.com/107308082/files/doc_financials/2025/ar/4b3894e9-e517-492e-a004-ab01967e5a6d.pdf</x:v>
      </x:c>
      <x:c r="N23" s="103" t="str">
        <x:v>https://www.sec.gov/Archives/edgar/data/1840776/000184077626000021/hgty-20260331.htm</x:v>
      </x:c>
      <x:c r="O23" s="103" t="str">
        <x:v>This is not proof that no filing exists. Drivers Edge's certificates of authority do not establish that Enthusiast+ is approved, offered, or in force in a given state.</x:v>
      </x:c>
    </x:row>
    <x:row r="24" ht="48" customHeight="1">
      <x:c r="A24" s="103" t="str">
        <x:v>Louisiana</x:v>
      </x:c>
      <x:c r="B24" s="103" t="str">
        <x:v>No verified rollout found</x:v>
      </x:c>
      <x:c r="C24" s="103" t="str">
        <x:v>No public evidence of a live Enthusiast+ rollout or a verified product filing was found in the reviewed sources through 2026-07-15.</x:v>
      </x:c>
      <x:c r="D24" s="156"/>
      <x:c r="E24" s="103" t="str">
        <x:v>Drivers Edge Insurance Company</x:v>
      </x:c>
      <x:c r="F24" s="103" t="n">
        <x:v>23795</x:v>
      </x:c>
      <x:c r="G24" s="103" t="str"/>
      <x:c r="H24" s="103" t="str">
        <x:v>No</x:v>
      </x:c>
      <x:c r="I24" s="103" t="str">
        <x:v>No</x:v>
      </x:c>
      <x:c r="J24" s="103" t="str">
        <x:v>No</x:v>
      </x:c>
      <x:c r="K24" s="103" t="str">
        <x:v>Unknown / not established</x:v>
      </x:c>
      <x:c r="L24" s="103" t="str">
        <x:v>Recheck the state's SERFF Filing Access portal under the legal carrier name and product-name variants as the phased rollout progresses.</x:v>
      </x:c>
      <x:c r="M24" s="103" t="str">
        <x:v>https://s28.q4cdn.com/107308082/files/doc_financials/2025/ar/4b3894e9-e517-492e-a004-ab01967e5a6d.pdf</x:v>
      </x:c>
      <x:c r="N24" s="103" t="str">
        <x:v>https://www.sec.gov/Archives/edgar/data/1840776/000184077626000021/hgty-20260331.htm</x:v>
      </x:c>
      <x:c r="O24" s="103" t="str">
        <x:v>This is not proof that no filing exists. Drivers Edge's certificates of authority do not establish that Enthusiast+ is approved, offered, or in force in a given state.</x:v>
      </x:c>
    </x:row>
    <x:row r="25" ht="48" customHeight="1">
      <x:c r="A25" s="103" t="str">
        <x:v>Maine</x:v>
      </x:c>
      <x:c r="B25" s="103" t="str">
        <x:v>No verified rollout found</x:v>
      </x:c>
      <x:c r="C25" s="103" t="str">
        <x:v>No public evidence of a live Enthusiast+ rollout or a verified product filing was found in the reviewed sources through 2026-07-15.</x:v>
      </x:c>
      <x:c r="D25" s="156"/>
      <x:c r="E25" s="103" t="str">
        <x:v>Drivers Edge Insurance Company</x:v>
      </x:c>
      <x:c r="F25" s="103" t="n">
        <x:v>23795</x:v>
      </x:c>
      <x:c r="G25" s="103" t="str"/>
      <x:c r="H25" s="103" t="str">
        <x:v>No</x:v>
      </x:c>
      <x:c r="I25" s="103" t="str">
        <x:v>No</x:v>
      </x:c>
      <x:c r="J25" s="103" t="str">
        <x:v>No</x:v>
      </x:c>
      <x:c r="K25" s="103" t="str">
        <x:v>Unknown / not established</x:v>
      </x:c>
      <x:c r="L25" s="103" t="str">
        <x:v>Recheck the state's SERFF Filing Access portal under the legal carrier name and product-name variants as the phased rollout progresses.</x:v>
      </x:c>
      <x:c r="M25" s="103" t="str">
        <x:v>https://s28.q4cdn.com/107308082/files/doc_financials/2025/ar/4b3894e9-e517-492e-a004-ab01967e5a6d.pdf</x:v>
      </x:c>
      <x:c r="N25" s="103" t="str">
        <x:v>https://www.sec.gov/Archives/edgar/data/1840776/000184077626000021/hgty-20260331.htm</x:v>
      </x:c>
      <x:c r="O25" s="103" t="str">
        <x:v>This is not proof that no filing exists. Drivers Edge's certificates of authority do not establish that Enthusiast+ is approved, offered, or in force in a given state.</x:v>
      </x:c>
    </x:row>
    <x:row r="26" ht="48" customHeight="1">
      <x:c r="A26" s="103" t="str">
        <x:v>Maryland</x:v>
      </x:c>
      <x:c r="B26" s="103" t="str">
        <x:v>No verified rollout found</x:v>
      </x:c>
      <x:c r="C26" s="103" t="str">
        <x:v>No public evidence of a live Enthusiast+ rollout or a verified product filing was found in the reviewed sources through 2026-07-15.</x:v>
      </x:c>
      <x:c r="D26" s="156"/>
      <x:c r="E26" s="103" t="str">
        <x:v>Drivers Edge Insurance Company</x:v>
      </x:c>
      <x:c r="F26" s="103" t="n">
        <x:v>23795</x:v>
      </x:c>
      <x:c r="G26" s="103" t="str"/>
      <x:c r="H26" s="103" t="str">
        <x:v>No</x:v>
      </x:c>
      <x:c r="I26" s="103" t="str">
        <x:v>No</x:v>
      </x:c>
      <x:c r="J26" s="103" t="str">
        <x:v>No</x:v>
      </x:c>
      <x:c r="K26" s="103" t="str">
        <x:v>Unknown / not established</x:v>
      </x:c>
      <x:c r="L26" s="103" t="str">
        <x:v>Recheck the state's SERFF Filing Access portal under the legal carrier name and product-name variants as the phased rollout progresses.</x:v>
      </x:c>
      <x:c r="M26" s="103" t="str">
        <x:v>https://s28.q4cdn.com/107308082/files/doc_financials/2025/ar/4b3894e9-e517-492e-a004-ab01967e5a6d.pdf</x:v>
      </x:c>
      <x:c r="N26" s="103" t="str">
        <x:v>https://www.sec.gov/Archives/edgar/data/1840776/000184077626000021/hgty-20260331.htm</x:v>
      </x:c>
      <x:c r="O26" s="103" t="str">
        <x:v>This is not proof that no filing exists. Drivers Edge's certificates of authority do not establish that Enthusiast+ is approved, offered, or in force in a given state.</x:v>
      </x:c>
    </x:row>
    <x:row r="27" ht="48" customHeight="1">
      <x:c r="A27" s="103" t="str">
        <x:v>Massachusetts</x:v>
      </x:c>
      <x:c r="B27" s="103" t="str">
        <x:v>No verified rollout found</x:v>
      </x:c>
      <x:c r="C27" s="103" t="str">
        <x:v>No public evidence of a live Enthusiast+ rollout or a verified product filing was found in the reviewed sources through 2026-07-15.</x:v>
      </x:c>
      <x:c r="D27" s="156"/>
      <x:c r="E27" s="103" t="str">
        <x:v>Drivers Edge Insurance Company</x:v>
      </x:c>
      <x:c r="F27" s="103" t="n">
        <x:v>23795</x:v>
      </x:c>
      <x:c r="G27" s="103" t="str"/>
      <x:c r="H27" s="103" t="str">
        <x:v>No</x:v>
      </x:c>
      <x:c r="I27" s="103" t="str">
        <x:v>No</x:v>
      </x:c>
      <x:c r="J27" s="103" t="str">
        <x:v>No</x:v>
      </x:c>
      <x:c r="K27" s="103" t="str">
        <x:v>Unknown / not established</x:v>
      </x:c>
      <x:c r="L27" s="103" t="str">
        <x:v>Recheck the state's SERFF Filing Access portal under the legal carrier name and product-name variants as the phased rollout progresses.</x:v>
      </x:c>
      <x:c r="M27" s="103" t="str">
        <x:v>https://s28.q4cdn.com/107308082/files/doc_financials/2025/ar/4b3894e9-e517-492e-a004-ab01967e5a6d.pdf</x:v>
      </x:c>
      <x:c r="N27" s="103" t="str">
        <x:v>https://www.sec.gov/Archives/edgar/data/1840776/000184077626000021/hgty-20260331.htm</x:v>
      </x:c>
      <x:c r="O27" s="103" t="str">
        <x:v>This is not proof that no filing exists. Drivers Edge's certificates of authority do not establish that Enthusiast+ is approved, offered, or in force in a given state.</x:v>
      </x:c>
    </x:row>
    <x:row r="28" ht="48" customHeight="1">
      <x:c r="A28" s="103" t="str">
        <x:v>Michigan</x:v>
      </x:c>
      <x:c r="B28" s="103" t="str">
        <x:v>No verified rollout found</x:v>
      </x:c>
      <x:c r="C28" s="103" t="str">
        <x:v>No public evidence of a live Enthusiast+ rollout or a verified product filing was found in the reviewed sources through 2026-07-15.</x:v>
      </x:c>
      <x:c r="D28" s="156"/>
      <x:c r="E28" s="103" t="str">
        <x:v>Drivers Edge Insurance Company</x:v>
      </x:c>
      <x:c r="F28" s="103" t="n">
        <x:v>23795</x:v>
      </x:c>
      <x:c r="G28" s="103" t="str"/>
      <x:c r="H28" s="103" t="str">
        <x:v>No</x:v>
      </x:c>
      <x:c r="I28" s="103" t="str">
        <x:v>No</x:v>
      </x:c>
      <x:c r="J28" s="103" t="str">
        <x:v>No</x:v>
      </x:c>
      <x:c r="K28" s="103" t="str">
        <x:v>Unknown / not established</x:v>
      </x:c>
      <x:c r="L28" s="103" t="str">
        <x:v>Recheck the state's SERFF Filing Access portal under the legal carrier name and product-name variants as the phased rollout progresses.</x:v>
      </x:c>
      <x:c r="M28" s="103" t="str">
        <x:v>https://s28.q4cdn.com/107308082/files/doc_financials/2025/ar/4b3894e9-e517-492e-a004-ab01967e5a6d.pdf</x:v>
      </x:c>
      <x:c r="N28" s="103" t="str">
        <x:v>https://www.sec.gov/Archives/edgar/data/1840776/000184077626000021/hgty-20260331.htm</x:v>
      </x:c>
      <x:c r="O28" s="103" t="str">
        <x:v>This is not proof that no filing exists. Drivers Edge's certificates of authority do not establish that Enthusiast+ is approved, offered, or in force in a given state.</x:v>
      </x:c>
    </x:row>
    <x:row r="29" ht="48" customHeight="1">
      <x:c r="A29" s="103" t="str">
        <x:v>Minnesota</x:v>
      </x:c>
      <x:c r="B29" s="103" t="str">
        <x:v>No verified rollout found</x:v>
      </x:c>
      <x:c r="C29" s="103" t="str">
        <x:v>No public evidence of a live Enthusiast+ rollout or a verified product filing was found in the reviewed sources through 2026-07-15.</x:v>
      </x:c>
      <x:c r="D29" s="156"/>
      <x:c r="E29" s="103" t="str">
        <x:v>Drivers Edge Insurance Company</x:v>
      </x:c>
      <x:c r="F29" s="103" t="n">
        <x:v>23795</x:v>
      </x:c>
      <x:c r="G29" s="103" t="str"/>
      <x:c r="H29" s="103" t="str">
        <x:v>No</x:v>
      </x:c>
      <x:c r="I29" s="103" t="str">
        <x:v>No</x:v>
      </x:c>
      <x:c r="J29" s="103" t="str">
        <x:v>No</x:v>
      </x:c>
      <x:c r="K29" s="103" t="str">
        <x:v>Unknown / not established</x:v>
      </x:c>
      <x:c r="L29" s="103" t="str">
        <x:v>Recheck the state's SERFF Filing Access portal under the legal carrier name and product-name variants as the phased rollout progresses.</x:v>
      </x:c>
      <x:c r="M29" s="103" t="str">
        <x:v>https://s28.q4cdn.com/107308082/files/doc_financials/2025/ar/4b3894e9-e517-492e-a004-ab01967e5a6d.pdf</x:v>
      </x:c>
      <x:c r="N29" s="103" t="str">
        <x:v>https://www.sec.gov/Archives/edgar/data/1840776/000184077626000021/hgty-20260331.htm</x:v>
      </x:c>
      <x:c r="O29" s="103" t="str">
        <x:v>This is not proof that no filing exists. Drivers Edge's certificates of authority do not establish that Enthusiast+ is approved, offered, or in force in a given state.</x:v>
      </x:c>
    </x:row>
    <x:row r="30" ht="48" customHeight="1">
      <x:c r="A30" s="103" t="str">
        <x:v>Mississippi</x:v>
      </x:c>
      <x:c r="B30" s="103" t="str">
        <x:v>No verified rollout found</x:v>
      </x:c>
      <x:c r="C30" s="103" t="str">
        <x:v>No public evidence of a live Enthusiast+ rollout or a verified product filing was found in the reviewed sources through 2026-07-15.</x:v>
      </x:c>
      <x:c r="D30" s="156"/>
      <x:c r="E30" s="103" t="str">
        <x:v>Drivers Edge Insurance Company</x:v>
      </x:c>
      <x:c r="F30" s="103" t="n">
        <x:v>23795</x:v>
      </x:c>
      <x:c r="G30" s="103" t="str"/>
      <x:c r="H30" s="103" t="str">
        <x:v>No</x:v>
      </x:c>
      <x:c r="I30" s="103" t="str">
        <x:v>No</x:v>
      </x:c>
      <x:c r="J30" s="103" t="str">
        <x:v>No</x:v>
      </x:c>
      <x:c r="K30" s="103" t="str">
        <x:v>Unknown / not established</x:v>
      </x:c>
      <x:c r="L30" s="103" t="str">
        <x:v>Recheck the state's SERFF Filing Access portal under the legal carrier name and product-name variants as the phased rollout progresses.</x:v>
      </x:c>
      <x:c r="M30" s="103" t="str">
        <x:v>https://s28.q4cdn.com/107308082/files/doc_financials/2025/ar/4b3894e9-e517-492e-a004-ab01967e5a6d.pdf</x:v>
      </x:c>
      <x:c r="N30" s="103" t="str">
        <x:v>https://www.sec.gov/Archives/edgar/data/1840776/000184077626000021/hgty-20260331.htm</x:v>
      </x:c>
      <x:c r="O30" s="103" t="str">
        <x:v>This is not proof that no filing exists. Drivers Edge's certificates of authority do not establish that Enthusiast+ is approved, offered, or in force in a given state.</x:v>
      </x:c>
    </x:row>
    <x:row r="31" ht="48" customHeight="1">
      <x:c r="A31" s="103" t="str">
        <x:v>Missouri</x:v>
      </x:c>
      <x:c r="B31" s="103" t="str">
        <x:v>No verified rollout found</x:v>
      </x:c>
      <x:c r="C31" s="103" t="str">
        <x:v>No public evidence of a live Enthusiast+ rollout or a verified product filing was found in the reviewed sources through 2026-07-15.</x:v>
      </x:c>
      <x:c r="D31" s="156"/>
      <x:c r="E31" s="103" t="str">
        <x:v>Drivers Edge Insurance Company</x:v>
      </x:c>
      <x:c r="F31" s="103" t="n">
        <x:v>23795</x:v>
      </x:c>
      <x:c r="G31" s="103" t="str"/>
      <x:c r="H31" s="103" t="str">
        <x:v>No</x:v>
      </x:c>
      <x:c r="I31" s="103" t="str">
        <x:v>No</x:v>
      </x:c>
      <x:c r="J31" s="103" t="str">
        <x:v>No</x:v>
      </x:c>
      <x:c r="K31" s="103" t="str">
        <x:v>Unknown / not established</x:v>
      </x:c>
      <x:c r="L31" s="103" t="str">
        <x:v>Recheck the state's SERFF Filing Access portal under the legal carrier name and product-name variants as the phased rollout progresses.</x:v>
      </x:c>
      <x:c r="M31" s="103" t="str">
        <x:v>https://s28.q4cdn.com/107308082/files/doc_financials/2025/ar/4b3894e9-e517-492e-a004-ab01967e5a6d.pdf</x:v>
      </x:c>
      <x:c r="N31" s="103" t="str">
        <x:v>https://www.sec.gov/Archives/edgar/data/1840776/000184077626000021/hgty-20260331.htm</x:v>
      </x:c>
      <x:c r="O31" s="103" t="str">
        <x:v>This is not proof that no filing exists. Drivers Edge's certificates of authority do not establish that Enthusiast+ is approved, offered, or in force in a given state.</x:v>
      </x:c>
    </x:row>
    <x:row r="32" ht="48" customHeight="1">
      <x:c r="A32" s="103" t="str">
        <x:v>Montana</x:v>
      </x:c>
      <x:c r="B32" s="103" t="str">
        <x:v>No verified rollout found</x:v>
      </x:c>
      <x:c r="C32" s="103" t="str">
        <x:v>No public evidence of a live Enthusiast+ rollout or a verified product filing was found in the reviewed sources through 2026-07-15.</x:v>
      </x:c>
      <x:c r="D32" s="156"/>
      <x:c r="E32" s="103" t="str">
        <x:v>Drivers Edge Insurance Company</x:v>
      </x:c>
      <x:c r="F32" s="103" t="n">
        <x:v>23795</x:v>
      </x:c>
      <x:c r="G32" s="103" t="str"/>
      <x:c r="H32" s="103" t="str">
        <x:v>No</x:v>
      </x:c>
      <x:c r="I32" s="103" t="str">
        <x:v>No</x:v>
      </x:c>
      <x:c r="J32" s="103" t="str">
        <x:v>No</x:v>
      </x:c>
      <x:c r="K32" s="103" t="str">
        <x:v>Unknown / not established</x:v>
      </x:c>
      <x:c r="L32" s="103" t="str">
        <x:v>Recheck the state's SERFF Filing Access portal under the legal carrier name and product-name variants as the phased rollout progresses.</x:v>
      </x:c>
      <x:c r="M32" s="103" t="str">
        <x:v>https://s28.q4cdn.com/107308082/files/doc_financials/2025/ar/4b3894e9-e517-492e-a004-ab01967e5a6d.pdf</x:v>
      </x:c>
      <x:c r="N32" s="103" t="str">
        <x:v>https://www.sec.gov/Archives/edgar/data/1840776/000184077626000021/hgty-20260331.htm</x:v>
      </x:c>
      <x:c r="O32" s="103" t="str">
        <x:v>This is not proof that no filing exists. Drivers Edge's certificates of authority do not establish that Enthusiast+ is approved, offered, or in force in a given state.</x:v>
      </x:c>
    </x:row>
    <x:row r="33" ht="48" customHeight="1">
      <x:c r="A33" s="103" t="str">
        <x:v>Nebraska</x:v>
      </x:c>
      <x:c r="B33" s="103" t="str">
        <x:v>No verified rollout found</x:v>
      </x:c>
      <x:c r="C33" s="103" t="str">
        <x:v>No public evidence of a live Enthusiast+ rollout or a verified product filing was found in the reviewed sources through 2026-07-15.</x:v>
      </x:c>
      <x:c r="D33" s="156"/>
      <x:c r="E33" s="103" t="str">
        <x:v>Drivers Edge Insurance Company</x:v>
      </x:c>
      <x:c r="F33" s="103" t="n">
        <x:v>23795</x:v>
      </x:c>
      <x:c r="G33" s="103" t="str"/>
      <x:c r="H33" s="103" t="str">
        <x:v>No</x:v>
      </x:c>
      <x:c r="I33" s="103" t="str">
        <x:v>No</x:v>
      </x:c>
      <x:c r="J33" s="103" t="str">
        <x:v>No</x:v>
      </x:c>
      <x:c r="K33" s="103" t="str">
        <x:v>Unknown / not established</x:v>
      </x:c>
      <x:c r="L33" s="103" t="str">
        <x:v>Recheck the state's SERFF Filing Access portal under the legal carrier name and product-name variants as the phased rollout progresses.</x:v>
      </x:c>
      <x:c r="M33" s="103" t="str">
        <x:v>https://s28.q4cdn.com/107308082/files/doc_financials/2025/ar/4b3894e9-e517-492e-a004-ab01967e5a6d.pdf</x:v>
      </x:c>
      <x:c r="N33" s="103" t="str">
        <x:v>https://www.sec.gov/Archives/edgar/data/1840776/000184077626000021/hgty-20260331.htm</x:v>
      </x:c>
      <x:c r="O33" s="103" t="str">
        <x:v>This is not proof that no filing exists. Drivers Edge's certificates of authority do not establish that Enthusiast+ is approved, offered, or in force in a given state.</x:v>
      </x:c>
    </x:row>
    <x:row r="34" ht="48" customHeight="1">
      <x:c r="A34" s="103" t="str">
        <x:v>Nevada</x:v>
      </x:c>
      <x:c r="B34" s="103" t="str">
        <x:v>No verified rollout found</x:v>
      </x:c>
      <x:c r="C34" s="103" t="str">
        <x:v>No public evidence of a live Enthusiast+ rollout or a verified product filing was found in the reviewed sources through 2026-07-15.</x:v>
      </x:c>
      <x:c r="D34" s="156"/>
      <x:c r="E34" s="103" t="str">
        <x:v>Drivers Edge Insurance Company</x:v>
      </x:c>
      <x:c r="F34" s="103" t="n">
        <x:v>23795</x:v>
      </x:c>
      <x:c r="G34" s="103" t="str"/>
      <x:c r="H34" s="103" t="str">
        <x:v>No</x:v>
      </x:c>
      <x:c r="I34" s="103" t="str">
        <x:v>No</x:v>
      </x:c>
      <x:c r="J34" s="103" t="str">
        <x:v>No</x:v>
      </x:c>
      <x:c r="K34" s="103" t="str">
        <x:v>Unknown / not established</x:v>
      </x:c>
      <x:c r="L34" s="103" t="str">
        <x:v>Recheck the state's SERFF Filing Access portal under the legal carrier name and product-name variants as the phased rollout progresses.</x:v>
      </x:c>
      <x:c r="M34" s="103" t="str">
        <x:v>https://s28.q4cdn.com/107308082/files/doc_financials/2025/ar/4b3894e9-e517-492e-a004-ab01967e5a6d.pdf</x:v>
      </x:c>
      <x:c r="N34" s="103" t="str">
        <x:v>https://www.sec.gov/Archives/edgar/data/1840776/000184077626000021/hgty-20260331.htm</x:v>
      </x:c>
      <x:c r="O34" s="103" t="str">
        <x:v>This is not proof that no filing exists. Drivers Edge's certificates of authority do not establish that Enthusiast+ is approved, offered, or in force in a given state.</x:v>
      </x:c>
    </x:row>
    <x:row r="35" ht="48" customHeight="1">
      <x:c r="A35" s="103" t="str">
        <x:v>New Hampshire</x:v>
      </x:c>
      <x:c r="B35" s="103" t="str">
        <x:v>No verified rollout found</x:v>
      </x:c>
      <x:c r="C35" s="103" t="str">
        <x:v>No public evidence of a live Enthusiast+ rollout or a verified product filing was found in the reviewed sources through 2026-07-15.</x:v>
      </x:c>
      <x:c r="D35" s="156"/>
      <x:c r="E35" s="103" t="str">
        <x:v>Drivers Edge Insurance Company</x:v>
      </x:c>
      <x:c r="F35" s="103" t="n">
        <x:v>23795</x:v>
      </x:c>
      <x:c r="G35" s="103" t="str"/>
      <x:c r="H35" s="103" t="str">
        <x:v>No</x:v>
      </x:c>
      <x:c r="I35" s="103" t="str">
        <x:v>No</x:v>
      </x:c>
      <x:c r="J35" s="103" t="str">
        <x:v>No</x:v>
      </x:c>
      <x:c r="K35" s="103" t="str">
        <x:v>Unknown / not established</x:v>
      </x:c>
      <x:c r="L35" s="103" t="str">
        <x:v>Recheck the state's SERFF Filing Access portal under the legal carrier name and product-name variants as the phased rollout progresses.</x:v>
      </x:c>
      <x:c r="M35" s="103" t="str">
        <x:v>https://s28.q4cdn.com/107308082/files/doc_financials/2025/ar/4b3894e9-e517-492e-a004-ab01967e5a6d.pdf</x:v>
      </x:c>
      <x:c r="N35" s="103" t="str">
        <x:v>https://www.sec.gov/Archives/edgar/data/1840776/000184077626000021/hgty-20260331.htm</x:v>
      </x:c>
      <x:c r="O35" s="103" t="str">
        <x:v>This is not proof that no filing exists. Drivers Edge's certificates of authority do not establish that Enthusiast+ is approved, offered, or in force in a given state.</x:v>
      </x:c>
    </x:row>
    <x:row r="36" ht="48" customHeight="1">
      <x:c r="A36" s="103" t="str">
        <x:v>New Jersey</x:v>
      </x:c>
      <x:c r="B36" s="103" t="str">
        <x:v>No verified rollout found</x:v>
      </x:c>
      <x:c r="C36" s="103" t="str">
        <x:v>No public evidence of a live Enthusiast+ rollout or a verified product filing was found in the reviewed sources through 2026-07-15.</x:v>
      </x:c>
      <x:c r="D36" s="156"/>
      <x:c r="E36" s="103" t="str">
        <x:v>Drivers Edge Insurance Company</x:v>
      </x:c>
      <x:c r="F36" s="103" t="n">
        <x:v>23795</x:v>
      </x:c>
      <x:c r="G36" s="103" t="str"/>
      <x:c r="H36" s="103" t="str">
        <x:v>No</x:v>
      </x:c>
      <x:c r="I36" s="103" t="str">
        <x:v>No</x:v>
      </x:c>
      <x:c r="J36" s="103" t="str">
        <x:v>No</x:v>
      </x:c>
      <x:c r="K36" s="103" t="str">
        <x:v>Unknown / not established</x:v>
      </x:c>
      <x:c r="L36" s="103" t="str">
        <x:v>Recheck the state's SERFF Filing Access portal under the legal carrier name and product-name variants as the phased rollout progresses.</x:v>
      </x:c>
      <x:c r="M36" s="103" t="str">
        <x:v>https://s28.q4cdn.com/107308082/files/doc_financials/2025/ar/4b3894e9-e517-492e-a004-ab01967e5a6d.pdf</x:v>
      </x:c>
      <x:c r="N36" s="103" t="str">
        <x:v>https://www.sec.gov/Archives/edgar/data/1840776/000184077626000021/hgty-20260331.htm</x:v>
      </x:c>
      <x:c r="O36" s="103" t="str">
        <x:v>This is not proof that no filing exists. Drivers Edge's certificates of authority do not establish that Enthusiast+ is approved, offered, or in force in a given state.</x:v>
      </x:c>
    </x:row>
    <x:row r="37" ht="48" customHeight="1">
      <x:c r="A37" s="103" t="str">
        <x:v>New Mexico</x:v>
      </x:c>
      <x:c r="B37" s="103" t="str">
        <x:v>No verified rollout found</x:v>
      </x:c>
      <x:c r="C37" s="103" t="str">
        <x:v>No public evidence of a live Enthusiast+ rollout or a verified product filing was found in the reviewed sources through 2026-07-15.</x:v>
      </x:c>
      <x:c r="D37" s="156"/>
      <x:c r="E37" s="103" t="str">
        <x:v>Drivers Edge Insurance Company</x:v>
      </x:c>
      <x:c r="F37" s="103" t="n">
        <x:v>23795</x:v>
      </x:c>
      <x:c r="G37" s="103" t="str"/>
      <x:c r="H37" s="103" t="str">
        <x:v>No</x:v>
      </x:c>
      <x:c r="I37" s="103" t="str">
        <x:v>No</x:v>
      </x:c>
      <x:c r="J37" s="103" t="str">
        <x:v>No</x:v>
      </x:c>
      <x:c r="K37" s="103" t="str">
        <x:v>Unknown / not established</x:v>
      </x:c>
      <x:c r="L37" s="103" t="str">
        <x:v>Recheck the state's SERFF Filing Access portal under the legal carrier name and product-name variants as the phased rollout progresses.</x:v>
      </x:c>
      <x:c r="M37" s="103" t="str">
        <x:v>https://s28.q4cdn.com/107308082/files/doc_financials/2025/ar/4b3894e9-e517-492e-a004-ab01967e5a6d.pdf</x:v>
      </x:c>
      <x:c r="N37" s="103" t="str">
        <x:v>https://www.sec.gov/Archives/edgar/data/1840776/000184077626000021/hgty-20260331.htm</x:v>
      </x:c>
      <x:c r="O37" s="103" t="str">
        <x:v>This is not proof that no filing exists. Drivers Edge's certificates of authority do not establish that Enthusiast+ is approved, offered, or in force in a given state.</x:v>
      </x:c>
    </x:row>
    <x:row r="38" ht="48" customHeight="1">
      <x:c r="A38" s="103" t="str">
        <x:v>New York</x:v>
      </x:c>
      <x:c r="B38" s="103" t="str">
        <x:v>No verified rollout found</x:v>
      </x:c>
      <x:c r="C38" s="103" t="str">
        <x:v>No public evidence of a live Enthusiast+ rollout or a verified product filing was found in the reviewed sources through 2026-07-15.</x:v>
      </x:c>
      <x:c r="D38" s="156"/>
      <x:c r="E38" s="103" t="str">
        <x:v>Drivers Edge Insurance Company</x:v>
      </x:c>
      <x:c r="F38" s="103" t="n">
        <x:v>23795</x:v>
      </x:c>
      <x:c r="G38" s="103" t="str"/>
      <x:c r="H38" s="103" t="str">
        <x:v>No</x:v>
      </x:c>
      <x:c r="I38" s="103" t="str">
        <x:v>No</x:v>
      </x:c>
      <x:c r="J38" s="103" t="str">
        <x:v>No</x:v>
      </x:c>
      <x:c r="K38" s="103" t="str">
        <x:v>Unknown / not established</x:v>
      </x:c>
      <x:c r="L38" s="103" t="str">
        <x:v>Recheck the state's SERFF Filing Access portal under the legal carrier name and product-name variants as the phased rollout progresses.</x:v>
      </x:c>
      <x:c r="M38" s="103" t="str">
        <x:v>https://s28.q4cdn.com/107308082/files/doc_financials/2025/ar/4b3894e9-e517-492e-a004-ab01967e5a6d.pdf</x:v>
      </x:c>
      <x:c r="N38" s="103" t="str">
        <x:v>https://www.sec.gov/Archives/edgar/data/1840776/000184077626000021/hgty-20260331.htm</x:v>
      </x:c>
      <x:c r="O38" s="103" t="str">
        <x:v>This is not proof that no filing exists. Drivers Edge's certificates of authority do not establish that Enthusiast+ is approved, offered, or in force in a given state.</x:v>
      </x:c>
    </x:row>
    <x:row r="39" ht="48" customHeight="1">
      <x:c r="A39" s="103" t="str">
        <x:v>North Carolina</x:v>
      </x:c>
      <x:c r="B39" s="103" t="str">
        <x:v>No verified rollout found</x:v>
      </x:c>
      <x:c r="C39" s="103" t="str">
        <x:v>No public evidence of a live Enthusiast+ rollout or a verified product filing was found in the reviewed sources through 2026-07-15.</x:v>
      </x:c>
      <x:c r="D39" s="156"/>
      <x:c r="E39" s="103" t="str">
        <x:v>Drivers Edge Insurance Company</x:v>
      </x:c>
      <x:c r="F39" s="103" t="n">
        <x:v>23795</x:v>
      </x:c>
      <x:c r="G39" s="103" t="str"/>
      <x:c r="H39" s="103" t="str">
        <x:v>No</x:v>
      </x:c>
      <x:c r="I39" s="103" t="str">
        <x:v>No</x:v>
      </x:c>
      <x:c r="J39" s="103" t="str">
        <x:v>No</x:v>
      </x:c>
      <x:c r="K39" s="103" t="str">
        <x:v>Unknown / not established</x:v>
      </x:c>
      <x:c r="L39" s="103" t="str">
        <x:v>Recheck the state's SERFF Filing Access portal under the legal carrier name and product-name variants as the phased rollout progresses.</x:v>
      </x:c>
      <x:c r="M39" s="103" t="str">
        <x:v>https://s28.q4cdn.com/107308082/files/doc_financials/2025/ar/4b3894e9-e517-492e-a004-ab01967e5a6d.pdf</x:v>
      </x:c>
      <x:c r="N39" s="103" t="str">
        <x:v>https://www.sec.gov/Archives/edgar/data/1840776/000184077626000021/hgty-20260331.htm</x:v>
      </x:c>
      <x:c r="O39" s="103" t="str">
        <x:v>This is not proof that no filing exists. Drivers Edge's certificates of authority do not establish that Enthusiast+ is approved, offered, or in force in a given state.</x:v>
      </x:c>
    </x:row>
    <x:row r="40" ht="48" customHeight="1">
      <x:c r="A40" s="103" t="str">
        <x:v>North Dakota</x:v>
      </x:c>
      <x:c r="B40" s="103" t="str">
        <x:v>No verified rollout found</x:v>
      </x:c>
      <x:c r="C40" s="103" t="str">
        <x:v>No public evidence of a live Enthusiast+ rollout or a verified product filing was found in the reviewed sources through 2026-07-15.</x:v>
      </x:c>
      <x:c r="D40" s="156"/>
      <x:c r="E40" s="103" t="str">
        <x:v>Drivers Edge Insurance Company</x:v>
      </x:c>
      <x:c r="F40" s="103" t="n">
        <x:v>23795</x:v>
      </x:c>
      <x:c r="G40" s="103" t="str"/>
      <x:c r="H40" s="103" t="str">
        <x:v>No</x:v>
      </x:c>
      <x:c r="I40" s="103" t="str">
        <x:v>No</x:v>
      </x:c>
      <x:c r="J40" s="103" t="str">
        <x:v>No</x:v>
      </x:c>
      <x:c r="K40" s="103" t="str">
        <x:v>Unknown / not established</x:v>
      </x:c>
      <x:c r="L40" s="103" t="str">
        <x:v>Recheck the state's SERFF Filing Access portal under the legal carrier name and product-name variants as the phased rollout progresses.</x:v>
      </x:c>
      <x:c r="M40" s="103" t="str">
        <x:v>https://s28.q4cdn.com/107308082/files/doc_financials/2025/ar/4b3894e9-e517-492e-a004-ab01967e5a6d.pdf</x:v>
      </x:c>
      <x:c r="N40" s="103" t="str">
        <x:v>https://www.sec.gov/Archives/edgar/data/1840776/000184077626000021/hgty-20260331.htm</x:v>
      </x:c>
      <x:c r="O40" s="103" t="str">
        <x:v>This is not proof that no filing exists. Drivers Edge's certificates of authority do not establish that Enthusiast+ is approved, offered, or in force in a given state.</x:v>
      </x:c>
    </x:row>
    <x:row r="41" ht="48" customHeight="1">
      <x:c r="A41" s="103" t="str">
        <x:v>Ohio</x:v>
      </x:c>
      <x:c r="B41" s="103" t="str">
        <x:v>No verified rollout found</x:v>
      </x:c>
      <x:c r="C41" s="103" t="str">
        <x:v>No public evidence of a live Enthusiast+ rollout or a verified product filing was found in the reviewed sources through 2026-07-15.</x:v>
      </x:c>
      <x:c r="D41" s="156"/>
      <x:c r="E41" s="103" t="str">
        <x:v>Drivers Edge Insurance Company</x:v>
      </x:c>
      <x:c r="F41" s="103" t="n">
        <x:v>23795</x:v>
      </x:c>
      <x:c r="G41" s="103" t="str"/>
      <x:c r="H41" s="103" t="str">
        <x:v>No</x:v>
      </x:c>
      <x:c r="I41" s="103" t="str">
        <x:v>No</x:v>
      </x:c>
      <x:c r="J41" s="103" t="str">
        <x:v>No</x:v>
      </x:c>
      <x:c r="K41" s="103" t="str">
        <x:v>Unknown / not established</x:v>
      </x:c>
      <x:c r="L41" s="103" t="str">
        <x:v>Recheck the state's SERFF Filing Access portal under the legal carrier name and product-name variants as the phased rollout progresses.</x:v>
      </x:c>
      <x:c r="M41" s="103" t="str">
        <x:v>https://s28.q4cdn.com/107308082/files/doc_financials/2025/ar/4b3894e9-e517-492e-a004-ab01967e5a6d.pdf</x:v>
      </x:c>
      <x:c r="N41" s="103" t="str">
        <x:v>https://www.sec.gov/Archives/edgar/data/1840776/000184077626000021/hgty-20260331.htm</x:v>
      </x:c>
      <x:c r="O41" s="103" t="str">
        <x:v>This is not proof that no filing exists. Drivers Edge's certificates of authority do not establish that Enthusiast+ is approved, offered, or in force in a given state.</x:v>
      </x:c>
    </x:row>
    <x:row r="42" ht="48" customHeight="1">
      <x:c r="A42" s="103" t="str">
        <x:v>Oklahoma</x:v>
      </x:c>
      <x:c r="B42" s="103" t="str">
        <x:v>No verified rollout found</x:v>
      </x:c>
      <x:c r="C42" s="103" t="str">
        <x:v>No public evidence of a live Enthusiast+ rollout or a verified product filing was found in the reviewed sources through 2026-07-15.</x:v>
      </x:c>
      <x:c r="D42" s="156"/>
      <x:c r="E42" s="103" t="str">
        <x:v>Drivers Edge Insurance Company</x:v>
      </x:c>
      <x:c r="F42" s="103" t="n">
        <x:v>23795</x:v>
      </x:c>
      <x:c r="G42" s="103" t="str"/>
      <x:c r="H42" s="103" t="str">
        <x:v>No</x:v>
      </x:c>
      <x:c r="I42" s="103" t="str">
        <x:v>No</x:v>
      </x:c>
      <x:c r="J42" s="103" t="str">
        <x:v>No</x:v>
      </x:c>
      <x:c r="K42" s="103" t="str">
        <x:v>Unknown / not established</x:v>
      </x:c>
      <x:c r="L42" s="103" t="str">
        <x:v>Recheck the state's SERFF Filing Access portal under the legal carrier name and product-name variants as the phased rollout progresses.</x:v>
      </x:c>
      <x:c r="M42" s="103" t="str">
        <x:v>https://s28.q4cdn.com/107308082/files/doc_financials/2025/ar/4b3894e9-e517-492e-a004-ab01967e5a6d.pdf</x:v>
      </x:c>
      <x:c r="N42" s="103" t="str">
        <x:v>https://www.sec.gov/Archives/edgar/data/1840776/000184077626000021/hgty-20260331.htm</x:v>
      </x:c>
      <x:c r="O42" s="103" t="str">
        <x:v>This is not proof that no filing exists. Drivers Edge's certificates of authority do not establish that Enthusiast+ is approved, offered, or in force in a given state.</x:v>
      </x:c>
    </x:row>
    <x:row r="43" ht="48" customHeight="1">
      <x:c r="A43" s="103" t="str">
        <x:v>Oregon</x:v>
      </x:c>
      <x:c r="B43" s="103" t="str">
        <x:v>No verified rollout found</x:v>
      </x:c>
      <x:c r="C43" s="103" t="str">
        <x:v>No public evidence of a live Enthusiast+ rollout or a verified product filing was found in the reviewed sources through 2026-07-15.</x:v>
      </x:c>
      <x:c r="D43" s="156"/>
      <x:c r="E43" s="103" t="str">
        <x:v>Drivers Edge Insurance Company</x:v>
      </x:c>
      <x:c r="F43" s="103" t="n">
        <x:v>23795</x:v>
      </x:c>
      <x:c r="G43" s="103" t="str"/>
      <x:c r="H43" s="103" t="str">
        <x:v>No</x:v>
      </x:c>
      <x:c r="I43" s="103" t="str">
        <x:v>No</x:v>
      </x:c>
      <x:c r="J43" s="103" t="str">
        <x:v>No</x:v>
      </x:c>
      <x:c r="K43" s="103" t="str">
        <x:v>Unknown / not established</x:v>
      </x:c>
      <x:c r="L43" s="103" t="str">
        <x:v>Recheck the state's SERFF Filing Access portal under the legal carrier name and product-name variants as the phased rollout progresses.</x:v>
      </x:c>
      <x:c r="M43" s="103" t="str">
        <x:v>https://s28.q4cdn.com/107308082/files/doc_financials/2025/ar/4b3894e9-e517-492e-a004-ab01967e5a6d.pdf</x:v>
      </x:c>
      <x:c r="N43" s="103" t="str">
        <x:v>https://www.sec.gov/Archives/edgar/data/1840776/000184077626000021/hgty-20260331.htm</x:v>
      </x:c>
      <x:c r="O43" s="103" t="str">
        <x:v>This is not proof that no filing exists. Drivers Edge's certificates of authority do not establish that Enthusiast+ is approved, offered, or in force in a given state.</x:v>
      </x:c>
    </x:row>
    <x:row r="44" ht="48" customHeight="1">
      <x:c r="A44" s="103" t="str">
        <x:v>Pennsylvania</x:v>
      </x:c>
      <x:c r="B44" s="103" t="str">
        <x:v>No verified rollout found</x:v>
      </x:c>
      <x:c r="C44" s="103" t="str">
        <x:v>No public evidence of a live Enthusiast+ rollout or a verified product filing was found in the reviewed sources through 2026-07-15.</x:v>
      </x:c>
      <x:c r="D44" s="156"/>
      <x:c r="E44" s="103" t="str">
        <x:v>Drivers Edge Insurance Company</x:v>
      </x:c>
      <x:c r="F44" s="103" t="n">
        <x:v>23795</x:v>
      </x:c>
      <x:c r="G44" s="103" t="str"/>
      <x:c r="H44" s="103" t="str">
        <x:v>No</x:v>
      </x:c>
      <x:c r="I44" s="103" t="str">
        <x:v>No</x:v>
      </x:c>
      <x:c r="J44" s="103" t="str">
        <x:v>No</x:v>
      </x:c>
      <x:c r="K44" s="103" t="str">
        <x:v>Unknown / not established</x:v>
      </x:c>
      <x:c r="L44" s="103" t="str">
        <x:v>Recheck the state's SERFF Filing Access portal under the legal carrier name and product-name variants as the phased rollout progresses.</x:v>
      </x:c>
      <x:c r="M44" s="103" t="str">
        <x:v>https://s28.q4cdn.com/107308082/files/doc_financials/2025/ar/4b3894e9-e517-492e-a004-ab01967e5a6d.pdf</x:v>
      </x:c>
      <x:c r="N44" s="103" t="str">
        <x:v>https://www.sec.gov/Archives/edgar/data/1840776/000184077626000021/hgty-20260331.htm</x:v>
      </x:c>
      <x:c r="O44" s="103" t="str">
        <x:v>This is not proof that no filing exists. Drivers Edge's certificates of authority do not establish that Enthusiast+ is approved, offered, or in force in a given state.</x:v>
      </x:c>
    </x:row>
    <x:row r="45" ht="48" customHeight="1">
      <x:c r="A45" s="103" t="str">
        <x:v>Rhode Island</x:v>
      </x:c>
      <x:c r="B45" s="103" t="str">
        <x:v>No verified rollout found</x:v>
      </x:c>
      <x:c r="C45" s="103" t="str">
        <x:v>No public evidence of a live Enthusiast+ rollout or a verified product filing was found in the reviewed sources through 2026-07-15.</x:v>
      </x:c>
      <x:c r="D45" s="156"/>
      <x:c r="E45" s="103" t="str">
        <x:v>Drivers Edge Insurance Company</x:v>
      </x:c>
      <x:c r="F45" s="103" t="n">
        <x:v>23795</x:v>
      </x:c>
      <x:c r="G45" s="103" t="str"/>
      <x:c r="H45" s="103" t="str">
        <x:v>No</x:v>
      </x:c>
      <x:c r="I45" s="103" t="str">
        <x:v>No</x:v>
      </x:c>
      <x:c r="J45" s="103" t="str">
        <x:v>No</x:v>
      </x:c>
      <x:c r="K45" s="103" t="str">
        <x:v>Unknown / not established</x:v>
      </x:c>
      <x:c r="L45" s="103" t="str">
        <x:v>Recheck the state's SERFF Filing Access portal under the legal carrier name and product-name variants as the phased rollout progresses.</x:v>
      </x:c>
      <x:c r="M45" s="103" t="str">
        <x:v>https://s28.q4cdn.com/107308082/files/doc_financials/2025/ar/4b3894e9-e517-492e-a004-ab01967e5a6d.pdf</x:v>
      </x:c>
      <x:c r="N45" s="103" t="str">
        <x:v>https://www.sec.gov/Archives/edgar/data/1840776/000184077626000021/hgty-20260331.htm</x:v>
      </x:c>
      <x:c r="O45" s="103" t="str">
        <x:v>This is not proof that no filing exists. Drivers Edge's certificates of authority do not establish that Enthusiast+ is approved, offered, or in force in a given state.</x:v>
      </x:c>
    </x:row>
    <x:row r="46" ht="48" customHeight="1">
      <x:c r="A46" s="103" t="str">
        <x:v>South Carolina</x:v>
      </x:c>
      <x:c r="B46" s="103" t="str">
        <x:v>No verified rollout found</x:v>
      </x:c>
      <x:c r="C46" s="103" t="str">
        <x:v>No public evidence of a live Enthusiast+ rollout or a verified product filing was found in the reviewed sources through 2026-07-15.</x:v>
      </x:c>
      <x:c r="D46" s="156"/>
      <x:c r="E46" s="103" t="str">
        <x:v>Drivers Edge Insurance Company</x:v>
      </x:c>
      <x:c r="F46" s="103" t="n">
        <x:v>23795</x:v>
      </x:c>
      <x:c r="G46" s="103" t="str"/>
      <x:c r="H46" s="103" t="str">
        <x:v>No</x:v>
      </x:c>
      <x:c r="I46" s="103" t="str">
        <x:v>No</x:v>
      </x:c>
      <x:c r="J46" s="103" t="str">
        <x:v>No</x:v>
      </x:c>
      <x:c r="K46" s="103" t="str">
        <x:v>Unknown / not established</x:v>
      </x:c>
      <x:c r="L46" s="103" t="str">
        <x:v>Recheck the state's SERFF Filing Access portal under the legal carrier name and product-name variants as the phased rollout progresses.</x:v>
      </x:c>
      <x:c r="M46" s="103" t="str">
        <x:v>https://s28.q4cdn.com/107308082/files/doc_financials/2025/ar/4b3894e9-e517-492e-a004-ab01967e5a6d.pdf</x:v>
      </x:c>
      <x:c r="N46" s="103" t="str">
        <x:v>https://www.sec.gov/Archives/edgar/data/1840776/000184077626000021/hgty-20260331.htm</x:v>
      </x:c>
      <x:c r="O46" s="103" t="str">
        <x:v>This is not proof that no filing exists. Drivers Edge's certificates of authority do not establish that Enthusiast+ is approved, offered, or in force in a given state.</x:v>
      </x:c>
    </x:row>
    <x:row r="47" ht="48" customHeight="1">
      <x:c r="A47" s="103" t="str">
        <x:v>South Dakota</x:v>
      </x:c>
      <x:c r="B47" s="103" t="str">
        <x:v>No verified rollout found</x:v>
      </x:c>
      <x:c r="C47" s="103" t="str">
        <x:v>No public evidence of a live Enthusiast+ rollout or a verified product filing was found in the reviewed sources through 2026-07-15.</x:v>
      </x:c>
      <x:c r="D47" s="156"/>
      <x:c r="E47" s="103" t="str">
        <x:v>Drivers Edge Insurance Company</x:v>
      </x:c>
      <x:c r="F47" s="103" t="n">
        <x:v>23795</x:v>
      </x:c>
      <x:c r="G47" s="103" t="str"/>
      <x:c r="H47" s="103" t="str">
        <x:v>No</x:v>
      </x:c>
      <x:c r="I47" s="103" t="str">
        <x:v>No</x:v>
      </x:c>
      <x:c r="J47" s="103" t="str">
        <x:v>No</x:v>
      </x:c>
      <x:c r="K47" s="103" t="str">
        <x:v>Unknown / not established</x:v>
      </x:c>
      <x:c r="L47" s="103" t="str">
        <x:v>Recheck the state's SERFF Filing Access portal under the legal carrier name and product-name variants as the phased rollout progresses.</x:v>
      </x:c>
      <x:c r="M47" s="103" t="str">
        <x:v>https://s28.q4cdn.com/107308082/files/doc_financials/2025/ar/4b3894e9-e517-492e-a004-ab01967e5a6d.pdf</x:v>
      </x:c>
      <x:c r="N47" s="103" t="str">
        <x:v>https://www.sec.gov/Archives/edgar/data/1840776/000184077626000021/hgty-20260331.htm</x:v>
      </x:c>
      <x:c r="O47" s="103" t="str">
        <x:v>This is not proof that no filing exists. Drivers Edge's certificates of authority do not establish that Enthusiast+ is approved, offered, or in force in a given state.</x:v>
      </x:c>
    </x:row>
    <x:row r="48" ht="48" customHeight="1">
      <x:c r="A48" s="103" t="str">
        <x:v>Tennessee</x:v>
      </x:c>
      <x:c r="B48" s="103" t="str">
        <x:v>No verified rollout found</x:v>
      </x:c>
      <x:c r="C48" s="103" t="str">
        <x:v>No public evidence of a live Enthusiast+ rollout or a verified product filing was found in the reviewed sources through 2026-07-15.</x:v>
      </x:c>
      <x:c r="D48" s="156"/>
      <x:c r="E48" s="103" t="str">
        <x:v>Drivers Edge Insurance Company</x:v>
      </x:c>
      <x:c r="F48" s="103" t="n">
        <x:v>23795</x:v>
      </x:c>
      <x:c r="G48" s="103" t="str"/>
      <x:c r="H48" s="103" t="str">
        <x:v>No</x:v>
      </x:c>
      <x:c r="I48" s="103" t="str">
        <x:v>No</x:v>
      </x:c>
      <x:c r="J48" s="103" t="str">
        <x:v>No</x:v>
      </x:c>
      <x:c r="K48" s="103" t="str">
        <x:v>Unknown / not established</x:v>
      </x:c>
      <x:c r="L48" s="103" t="str">
        <x:v>Recheck the state's SERFF Filing Access portal under the legal carrier name and product-name variants as the phased rollout progresses.</x:v>
      </x:c>
      <x:c r="M48" s="103" t="str">
        <x:v>https://s28.q4cdn.com/107308082/files/doc_financials/2025/ar/4b3894e9-e517-492e-a004-ab01967e5a6d.pdf</x:v>
      </x:c>
      <x:c r="N48" s="103" t="str">
        <x:v>https://www.sec.gov/Archives/edgar/data/1840776/000184077626000021/hgty-20260331.htm</x:v>
      </x:c>
      <x:c r="O48" s="103" t="str">
        <x:v>This is not proof that no filing exists. Drivers Edge's certificates of authority do not establish that Enthusiast+ is approved, offered, or in force in a given state.</x:v>
      </x:c>
    </x:row>
    <x:row r="49" ht="48" customHeight="1">
      <x:c r="A49" s="103" t="str">
        <x:v>Texas</x:v>
      </x:c>
      <x:c r="B49" s="103" t="str">
        <x:v>No verified rollout found</x:v>
      </x:c>
      <x:c r="C49" s="103" t="str">
        <x:v>No public evidence of a live Enthusiast+ rollout or a verified product filing was found in the reviewed sources through 2026-07-15.</x:v>
      </x:c>
      <x:c r="D49" s="156"/>
      <x:c r="E49" s="103" t="str">
        <x:v>Drivers Edge Insurance Company</x:v>
      </x:c>
      <x:c r="F49" s="103" t="n">
        <x:v>23795</x:v>
      </x:c>
      <x:c r="G49" s="103" t="str"/>
      <x:c r="H49" s="103" t="str">
        <x:v>No</x:v>
      </x:c>
      <x:c r="I49" s="103" t="str">
        <x:v>No</x:v>
      </x:c>
      <x:c r="J49" s="103" t="str">
        <x:v>No</x:v>
      </x:c>
      <x:c r="K49" s="103" t="str">
        <x:v>Unknown / not established</x:v>
      </x:c>
      <x:c r="L49" s="103" t="str">
        <x:v>Recheck the state's SERFF Filing Access portal under the legal carrier name and product-name variants as the phased rollout progresses.</x:v>
      </x:c>
      <x:c r="M49" s="103" t="str">
        <x:v>https://s28.q4cdn.com/107308082/files/doc_financials/2025/ar/4b3894e9-e517-492e-a004-ab01967e5a6d.pdf</x:v>
      </x:c>
      <x:c r="N49" s="103" t="str">
        <x:v>https://www.sec.gov/Archives/edgar/data/1840776/000184077626000021/hgty-20260331.htm</x:v>
      </x:c>
      <x:c r="O49" s="103" t="str">
        <x:v>This is not proof that no filing exists. Drivers Edge's certificates of authority do not establish that Enthusiast+ is approved, offered, or in force in a given state.</x:v>
      </x:c>
    </x:row>
    <x:row r="50" ht="48" customHeight="1">
      <x:c r="A50" s="103" t="str">
        <x:v>Utah</x:v>
      </x:c>
      <x:c r="B50" s="103" t="str">
        <x:v>No verified rollout found</x:v>
      </x:c>
      <x:c r="C50" s="103" t="str">
        <x:v>No public evidence of a live Enthusiast+ rollout or a verified product filing was found in the reviewed sources through 2026-07-15.</x:v>
      </x:c>
      <x:c r="D50" s="156"/>
      <x:c r="E50" s="103" t="str">
        <x:v>Drivers Edge Insurance Company</x:v>
      </x:c>
      <x:c r="F50" s="103" t="n">
        <x:v>23795</x:v>
      </x:c>
      <x:c r="G50" s="103" t="str"/>
      <x:c r="H50" s="103" t="str">
        <x:v>No</x:v>
      </x:c>
      <x:c r="I50" s="103" t="str">
        <x:v>No</x:v>
      </x:c>
      <x:c r="J50" s="103" t="str">
        <x:v>No</x:v>
      </x:c>
      <x:c r="K50" s="103" t="str">
        <x:v>Unknown / not established</x:v>
      </x:c>
      <x:c r="L50" s="103" t="str">
        <x:v>Recheck the state's SERFF Filing Access portal under the legal carrier name and product-name variants as the phased rollout progresses.</x:v>
      </x:c>
      <x:c r="M50" s="103" t="str">
        <x:v>https://s28.q4cdn.com/107308082/files/doc_financials/2025/ar/4b3894e9-e517-492e-a004-ab01967e5a6d.pdf</x:v>
      </x:c>
      <x:c r="N50" s="103" t="str">
        <x:v>https://www.sec.gov/Archives/edgar/data/1840776/000184077626000021/hgty-20260331.htm</x:v>
      </x:c>
      <x:c r="O50" s="103" t="str">
        <x:v>This is not proof that no filing exists. Drivers Edge's certificates of authority do not establish that Enthusiast+ is approved, offered, or in force in a given state.</x:v>
      </x:c>
    </x:row>
    <x:row r="51" ht="48" customHeight="1">
      <x:c r="A51" s="103" t="str">
        <x:v>Vermont</x:v>
      </x:c>
      <x:c r="B51" s="103" t="str">
        <x:v>No verified rollout found</x:v>
      </x:c>
      <x:c r="C51" s="103" t="str">
        <x:v>No public evidence of a live Enthusiast+ rollout or a verified product filing was found in the reviewed sources through 2026-07-15.</x:v>
      </x:c>
      <x:c r="D51" s="156"/>
      <x:c r="E51" s="103" t="str">
        <x:v>Drivers Edge Insurance Company</x:v>
      </x:c>
      <x:c r="F51" s="103" t="n">
        <x:v>23795</x:v>
      </x:c>
      <x:c r="G51" s="103" t="str"/>
      <x:c r="H51" s="103" t="str">
        <x:v>No</x:v>
      </x:c>
      <x:c r="I51" s="103" t="str">
        <x:v>No</x:v>
      </x:c>
      <x:c r="J51" s="103" t="str">
        <x:v>No</x:v>
      </x:c>
      <x:c r="K51" s="103" t="str">
        <x:v>Unknown / not established</x:v>
      </x:c>
      <x:c r="L51" s="103" t="str">
        <x:v>Recheck the state's SERFF Filing Access portal under the legal carrier name and product-name variants as the phased rollout progresses.</x:v>
      </x:c>
      <x:c r="M51" s="103" t="str">
        <x:v>https://s28.q4cdn.com/107308082/files/doc_financials/2025/ar/4b3894e9-e517-492e-a004-ab01967e5a6d.pdf</x:v>
      </x:c>
      <x:c r="N51" s="103" t="str">
        <x:v>https://www.sec.gov/Archives/edgar/data/1840776/000184077626000021/hgty-20260331.htm</x:v>
      </x:c>
      <x:c r="O51" s="103" t="str">
        <x:v>This is not proof that no filing exists. Drivers Edge's certificates of authority do not establish that Enthusiast+ is approved, offered, or in force in a given state.</x:v>
      </x:c>
    </x:row>
    <x:row r="52" ht="48" customHeight="1">
      <x:c r="A52" s="103" t="str">
        <x:v>Virginia</x:v>
      </x:c>
      <x:c r="B52" s="103" t="str">
        <x:v>No verified rollout found</x:v>
      </x:c>
      <x:c r="C52" s="103" t="str">
        <x:v>No public evidence of a live Enthusiast+ rollout or a verified product filing was found in the reviewed sources through 2026-07-15.</x:v>
      </x:c>
      <x:c r="D52" s="156"/>
      <x:c r="E52" s="103" t="str">
        <x:v>Drivers Edge Insurance Company</x:v>
      </x:c>
      <x:c r="F52" s="103" t="n">
        <x:v>23795</x:v>
      </x:c>
      <x:c r="G52" s="103" t="str"/>
      <x:c r="H52" s="103" t="str">
        <x:v>No</x:v>
      </x:c>
      <x:c r="I52" s="103" t="str">
        <x:v>No</x:v>
      </x:c>
      <x:c r="J52" s="103" t="str">
        <x:v>No</x:v>
      </x:c>
      <x:c r="K52" s="103" t="str">
        <x:v>Unknown / not established</x:v>
      </x:c>
      <x:c r="L52" s="103" t="str">
        <x:v>Recheck the state's SERFF Filing Access portal under the legal carrier name and product-name variants as the phased rollout progresses.</x:v>
      </x:c>
      <x:c r="M52" s="103" t="str">
        <x:v>https://s28.q4cdn.com/107308082/files/doc_financials/2025/ar/4b3894e9-e517-492e-a004-ab01967e5a6d.pdf</x:v>
      </x:c>
      <x:c r="N52" s="103" t="str">
        <x:v>https://www.sec.gov/Archives/edgar/data/1840776/000184077626000021/hgty-20260331.htm</x:v>
      </x:c>
      <x:c r="O52" s="103" t="str">
        <x:v>This is not proof that no filing exists. Drivers Edge's certificates of authority do not establish that Enthusiast+ is approved, offered, or in force in a given state.</x:v>
      </x:c>
    </x:row>
    <x:row r="53" ht="48" customHeight="1">
      <x:c r="A53" s="103" t="str">
        <x:v>Washington</x:v>
      </x:c>
      <x:c r="B53" s="103" t="str">
        <x:v>No verified rollout found</x:v>
      </x:c>
      <x:c r="C53" s="103" t="str">
        <x:v>No public evidence of a live Enthusiast+ rollout or a verified product filing was found in the reviewed sources through 2026-07-15.</x:v>
      </x:c>
      <x:c r="D53" s="156"/>
      <x:c r="E53" s="103" t="str">
        <x:v>Drivers Edge Insurance Company</x:v>
      </x:c>
      <x:c r="F53" s="103" t="n">
        <x:v>23795</x:v>
      </x:c>
      <x:c r="G53" s="103" t="str"/>
      <x:c r="H53" s="103" t="str">
        <x:v>No</x:v>
      </x:c>
      <x:c r="I53" s="103" t="str">
        <x:v>No</x:v>
      </x:c>
      <x:c r="J53" s="103" t="str">
        <x:v>No</x:v>
      </x:c>
      <x:c r="K53" s="103" t="str">
        <x:v>Unknown / not established</x:v>
      </x:c>
      <x:c r="L53" s="103" t="str">
        <x:v>Recheck the state's SERFF Filing Access portal under the legal carrier name and product-name variants as the phased rollout progresses.</x:v>
      </x:c>
      <x:c r="M53" s="103" t="str">
        <x:v>https://s28.q4cdn.com/107308082/files/doc_financials/2025/ar/4b3894e9-e517-492e-a004-ab01967e5a6d.pdf</x:v>
      </x:c>
      <x:c r="N53" s="103" t="str">
        <x:v>https://www.sec.gov/Archives/edgar/data/1840776/000184077626000021/hgty-20260331.htm</x:v>
      </x:c>
      <x:c r="O53" s="103" t="str">
        <x:v>This is not proof that no filing exists. Drivers Edge's certificates of authority do not establish that Enthusiast+ is approved, offered, or in force in a given state.</x:v>
      </x:c>
    </x:row>
    <x:row r="54" ht="48" customHeight="1">
      <x:c r="A54" s="103" t="str">
        <x:v>West Virginia</x:v>
      </x:c>
      <x:c r="B54" s="103" t="str">
        <x:v>No verified rollout found</x:v>
      </x:c>
      <x:c r="C54" s="103" t="str">
        <x:v>No public evidence of a live Enthusiast+ rollout or a verified product filing was found in the reviewed sources through 2026-07-15.</x:v>
      </x:c>
      <x:c r="D54" s="156"/>
      <x:c r="E54" s="103" t="str">
        <x:v>Drivers Edge Insurance Company</x:v>
      </x:c>
      <x:c r="F54" s="103" t="n">
        <x:v>23795</x:v>
      </x:c>
      <x:c r="G54" s="103" t="str"/>
      <x:c r="H54" s="103" t="str">
        <x:v>No</x:v>
      </x:c>
      <x:c r="I54" s="103" t="str">
        <x:v>No</x:v>
      </x:c>
      <x:c r="J54" s="103" t="str">
        <x:v>No</x:v>
      </x:c>
      <x:c r="K54" s="103" t="str">
        <x:v>Unknown / not established</x:v>
      </x:c>
      <x:c r="L54" s="103" t="str">
        <x:v>Recheck the state's SERFF Filing Access portal under the legal carrier name and product-name variants as the phased rollout progresses.</x:v>
      </x:c>
      <x:c r="M54" s="103" t="str">
        <x:v>https://s28.q4cdn.com/107308082/files/doc_financials/2025/ar/4b3894e9-e517-492e-a004-ab01967e5a6d.pdf</x:v>
      </x:c>
      <x:c r="N54" s="103" t="str">
        <x:v>https://www.sec.gov/Archives/edgar/data/1840776/000184077626000021/hgty-20260331.htm</x:v>
      </x:c>
      <x:c r="O54" s="103" t="str">
        <x:v>This is not proof that no filing exists. Drivers Edge's certificates of authority do not establish that Enthusiast+ is approved, offered, or in force in a given state.</x:v>
      </x:c>
    </x:row>
    <x:row r="55" ht="48" customHeight="1">
      <x:c r="A55" s="103" t="str">
        <x:v>Wisconsin</x:v>
      </x:c>
      <x:c r="B55" s="103" t="str">
        <x:v>Reported rollout / unresolved</x:v>
      </x:c>
      <x:c r="C55" s="103" t="str">
        <x:v>Coverager reported Wisconsin as the second launch on 2025-09-10; a later issuer statement on 2026-05-06 said E-Plus was in one state, Colorado.</x:v>
      </x:c>
      <x:c r="D55" s="156" t="n">
        <x:v>46148</x:v>
      </x:c>
      <x:c r="E55" s="103" t="str">
        <x:v>Drivers Edge Insurance Company</x:v>
      </x:c>
      <x:c r="F55" s="103" t="n">
        <x:v>23795</x:v>
      </x:c>
      <x:c r="G55" s="103" t="str">
        <x:v>134093487; 134444200 (state and product mapping unconfirmed)</x:v>
      </x:c>
      <x:c r="H55" s="103" t="str">
        <x:v>No</x:v>
      </x:c>
      <x:c r="I55" s="103" t="str">
        <x:v>No</x:v>
      </x:c>
      <x:c r="J55" s="103" t="str">
        <x:v>No</x:v>
      </x:c>
      <x:c r="K55" s="103" t="str">
        <x:v>Medium on reported launch; high on later issuer contradiction</x:v>
      </x:c>
      <x:c r="L55" s="103" t="str">
        <x:v>Request the complete Wisconsin OCI filing file and written current-status confirmation: approved, launched, withdrawn, delayed, or superseded.</x:v>
      </x:c>
      <x:c r="M55" s="103" t="str">
        <x:v>https://coverager.com/hagerty-expands-drivers-edge-enthusiast-program-to-wisconsin/</x:v>
      </x:c>
      <x:c r="N55" s="103" t="str">
        <x:v>https://www.roic.ai/quote/HGTY/transcripts/2026-year/1-quarter</x:v>
      </x:c>
      <x:c r="O55" s="103" t="str">
        <x:v>Do not treat Wisconsin as currently in force until OCI filing dispositions/effective dates or the insurer resolve the conflict.</x:v>
      </x:c>
    </x:row>
    <x:row r="56" ht="48" customHeight="1">
      <x:c r="A56" s="103" t="str">
        <x:v>Wyoming</x:v>
      </x:c>
      <x:c r="B56" s="103" t="str">
        <x:v>No verified rollout found</x:v>
      </x:c>
      <x:c r="C56" s="103" t="str">
        <x:v>No public evidence of a live Enthusiast+ rollout or a verified product filing was found in the reviewed sources through 2026-07-15.</x:v>
      </x:c>
      <x:c r="D56" s="156"/>
      <x:c r="E56" s="103" t="str">
        <x:v>Drivers Edge Insurance Company</x:v>
      </x:c>
      <x:c r="F56" s="103" t="n">
        <x:v>23795</x:v>
      </x:c>
      <x:c r="G56" s="103" t="str"/>
      <x:c r="H56" s="103" t="str">
        <x:v>No</x:v>
      </x:c>
      <x:c r="I56" s="103" t="str">
        <x:v>No</x:v>
      </x:c>
      <x:c r="J56" s="103" t="str">
        <x:v>No</x:v>
      </x:c>
      <x:c r="K56" s="103" t="str">
        <x:v>Unknown / not established</x:v>
      </x:c>
      <x:c r="L56" s="103" t="str">
        <x:v>Recheck the state's SERFF Filing Access portal under the legal carrier name and product-name variants as the phased rollout progresses.</x:v>
      </x:c>
      <x:c r="M56" s="103" t="str">
        <x:v>https://s28.q4cdn.com/107308082/files/doc_financials/2025/ar/4b3894e9-e517-492e-a004-ab01967e5a6d.pdf</x:v>
      </x:c>
      <x:c r="N56" s="103" t="str">
        <x:v>https://www.sec.gov/Archives/edgar/data/1840776/000184077626000021/hgty-20260331.htm</x:v>
      </x:c>
      <x:c r="O56" s="103" t="str">
        <x:v>This is not proof that no filing exists. Drivers Edge's certificates of authority do not establish that Enthusiast+ is approved, offered, or in force in a given state.</x:v>
      </x:c>
    </x:row>
  </x:sheetData>
  <x:mergeCells>
    <x:mergeCell ref="A1:O2"/>
    <x:mergeCell ref="A3:O3"/>
  </x:mergeCells>
  <x:conditionalFormatting sqref="B6:B56">
    <x:cfRule type="expression" dxfId="0" priority="1">
      <x:formula>B6="Verified active / pilot"</x:formula>
    </x:cfRule>
    <x:cfRule type="expression" dxfId="1" priority="2">
      <x:formula>B6="Reported rollout / unresolved"</x:formula>
    </x:cfRule>
    <x:cfRule type="expression" dxfId="2" priority="3">
      <x:formula>B6="No verified rollout found"</x:formula>
    </x:cfRule>
  </x:conditionalFormatting>
  <x:conditionalFormatting sqref="H6:H56">
    <x:cfRule type="expression" dxfId="3" priority="4">
      <x:formula>H6="No"</x:formula>
    </x:cfRule>
    <x:cfRule type="expression" dxfId="4" priority="5">
      <x:formula>H6="Yes"</x:formula>
    </x:cfRule>
  </x:conditionalFormatting>
  <x:conditionalFormatting sqref="I6:I56">
    <x:cfRule type="expression" dxfId="5" priority="6">
      <x:formula>I6="No"</x:formula>
    </x:cfRule>
    <x:cfRule type="expression" dxfId="6" priority="7">
      <x:formula>I6="Yes"</x:formula>
    </x:cfRule>
  </x:conditionalFormatting>
  <x:conditionalFormatting sqref="J6:J56">
    <x:cfRule type="expression" dxfId="7" priority="8">
      <x:formula>J6="No"</x:formula>
    </x:cfRule>
    <x:cfRule type="expression" dxfId="8" priority="9">
      <x:formula>J6="Yes"</x:formula>
    </x:cfRule>
  </x:conditionalFormatting>
  <x:dataValidations count="1">
    <x:dataValidation type="list" sqref="B6:B56">
      <x:formula1>"Verified active / pilot,Reported rollout / unresolved,No verified rollout found"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bf75306dbf47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42" hidden="0" customWidth="1"/>
    <x:col min="4" max="4" width="18" hidden="0" customWidth="1"/>
    <x:col min="5" max="5" width="18" hidden="0" customWidth="1"/>
    <x:col min="6" max="6" width="44" hidden="0" customWidth="1"/>
    <x:col min="7" max="7" width="20" hidden="0" customWidth="1"/>
    <x:col min="8" max="8" width="18" hidden="0" customWidth="1"/>
    <x:col min="9" max="9" width="52" hidden="0" customWidth="1"/>
  </x:cols>
  <x:sheetData>
    <x:row r="1">
      <x:c r="A1" s="5" t="str">
        <x:v>Candidate SERFF Filing Leads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12" t="str">
        <x:v>These internal page IDs are leads only. State and product mapping are unconfirmed; no official attachment export was retrieved.</x:v>
      </x:c>
      <x:c r="B3" s="12"/>
      <x:c r="C3" s="12"/>
      <x:c r="D3" s="12"/>
      <x:c r="E3" s="12"/>
      <x:c r="F3" s="12"/>
      <x:c r="G3" s="12"/>
      <x:c r="H3" s="12"/>
      <x:c r="I3" s="12"/>
    </x:row>
    <x:row r="5">
      <x:c r="A5" s="26" t="str">
        <x:v>Candidate Internal Filing ID</x:v>
      </x:c>
      <x:c r="B5" s="26" t="str">
        <x:v>Deep Link</x:v>
      </x:c>
      <x:c r="C5" s="26" t="str">
        <x:v>Observed Search Context</x:v>
      </x:c>
      <x:c r="D5" s="26" t="str">
        <x:v>State Mapping</x:v>
      </x:c>
      <x:c r="E5" s="26" t="str">
        <x:v>Product Mapping</x:v>
      </x:c>
      <x:c r="F5" s="26" t="str">
        <x:v>Direct Access Result</x:v>
      </x:c>
      <x:c r="G5" s="26" t="str">
        <x:v>Official Export Retrieved?</x:v>
      </x:c>
      <x:c r="H5" s="26" t="str">
        <x:v>Confidence</x:v>
      </x:c>
      <x:c r="I5" s="26" t="str">
        <x:v>Next Action</x:v>
      </x:c>
    </x:row>
    <x:row r="6" ht="48" customHeight="1">
      <x:c r="A6" s="103" t="str">
        <x:v>134093487</x:v>
      </x:c>
      <x:c r="B6" s="103" t="str">
        <x:v>https://filingaccess.serff.com/sfa/search/filingSummary.xhtml?filingId=134093487</x:v>
      </x:c>
      <x:c r="C6" s="103" t="str">
        <x:v>Surfaced in exact public-web searches involving Drivers Edge / Hagerty filing terms.</x:v>
      </x:c>
      <x:c r="D6" s="103" t="str">
        <x:v>Unconfirmed</x:v>
      </x:c>
      <x:c r="E6" s="103" t="str">
        <x:v>Unconfirmed</x:v>
      </x:c>
      <x:c r="F6" s="103" t="str">
        <x:v>Direct deep link required an active state SERFF session or returned an access/session error.</x:v>
      </x:c>
      <x:c r="G6" s="103" t="str">
        <x:v>No</x:v>
      </x:c>
      <x:c r="H6" s="103" t="str">
        <x:v>Low; lead only</x:v>
      </x:c>
      <x:c r="I6" s="103" t="str">
        <x:v>Search from the Colorado and Wisconsin state SFA entry pages or ask the regulator to identify the filing associated with this internal ID.</x:v>
      </x:c>
    </x:row>
    <x:row r="7" ht="48" customHeight="1">
      <x:c r="A7" s="103" t="str">
        <x:v>134444200</x:v>
      </x:c>
      <x:c r="B7" s="103" t="str">
        <x:v>https://filingaccess.serff.com/sfa/search/filingSummary.xhtml?filingId=134444200</x:v>
      </x:c>
      <x:c r="C7" s="103" t="str">
        <x:v>Surfaced in exact public-web searches involving Drivers Edge / Hagerty filing terms.</x:v>
      </x:c>
      <x:c r="D7" s="103" t="str">
        <x:v>Unconfirmed</x:v>
      </x:c>
      <x:c r="E7" s="103" t="str">
        <x:v>Unconfirmed</x:v>
      </x:c>
      <x:c r="F7" s="103" t="str">
        <x:v>Direct deep link required an active state SERFF session or returned an access/session error.</x:v>
      </x:c>
      <x:c r="G7" s="103" t="str">
        <x:v>No</x:v>
      </x:c>
      <x:c r="H7" s="103" t="str">
        <x:v>Low; lead only</x:v>
      </x:c>
      <x:c r="I7" s="103" t="str">
        <x:v>Search from the Colorado and Wisconsin state SFA entry pages or ask the regulator to identify the filing associated with this internal ID.</x:v>
      </x:c>
    </x:row>
  </x:sheetData>
  <x:mergeCells>
    <x:mergeCell ref="A1:I2"/>
    <x:mergeCell ref="A3:I3"/>
  </x:mergeCells>
  <x:conditionalFormatting sqref="G6:G7">
    <x:cfRule type="expression" dxfId="9" priority="1">
      <x:formula>G6="No"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7879ad0a1949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54" hidden="0" customWidth="1"/>
    <x:col min="4" max="4" width="18" hidden="0" customWidth="1"/>
    <x:col min="5" max="5" width="58" hidden="0" customWidth="1"/>
    <x:col min="6" max="6" width="54" hidden="0" customWidth="1"/>
    <x:col min="7" max="7" width="30" hidden="0" customWidth="1"/>
  </x:cols>
  <x:sheetData>
    <x:row r="1">
      <x:c r="A1" s="5" t="str">
        <x:v>Official Filing Retrieval Checklist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12" t="str">
        <x:v>A complete packet requires every responsive filing attachment, supplement and version-history record for the operative product.</x:v>
      </x:c>
      <x:c r="B3" s="12"/>
      <x:c r="C3" s="12"/>
      <x:c r="D3" s="12"/>
      <x:c r="E3" s="12"/>
      <x:c r="F3" s="12"/>
      <x:c r="G3" s="12"/>
    </x:row>
    <x:row r="5">
      <x:c r="A5" s="26" t="str">
        <x:v>State</x:v>
      </x:c>
      <x:c r="B5" s="26" t="str">
        <x:v>Document Category</x:v>
      </x:c>
      <x:c r="C5" s="26" t="str">
        <x:v>Expected Contents</x:v>
      </x:c>
      <x:c r="D5" s="26" t="str">
        <x:v>Status</x:v>
      </x:c>
      <x:c r="E5" s="26" t="str">
        <x:v>Evidence / Current Path</x:v>
      </x:c>
      <x:c r="F5" s="26" t="str">
        <x:v>Why It Matters</x:v>
      </x:c>
      <x:c r="G5" s="26" t="str">
        <x:v>Retrieval Route</x:v>
      </x:c>
    </x:row>
    <x:row r="6" ht="48" customHeight="1">
      <x:c r="A6" s="103" t="str">
        <x:v>Colorado</x:v>
      </x:c>
      <x:c r="B6" s="103" t="str">
        <x:v>Filing summary / transmittal</x:v>
      </x:c>
      <x:c r="C6" s="103" t="str">
        <x:v>SERFF tracking number, filing type, product name, company, dates, status</x:v>
      </x:c>
      <x:c r="D6" s="103" t="str">
        <x:v>Not retrieved</x:v>
      </x:c>
      <x:c r="E6" s="103" t="str">
        <x:v>Candidate SERFF IDs exist but are not mapped; no official attachment ZIP was accessible through a direct public deep link.</x:v>
      </x:c>
      <x:c r="F6" s="103" t="str">
        <x:v>Required to build a complete, defensible latest-product packet rather than a marketing or legacy-form approximation.</x:v>
      </x:c>
      <x:c r="G6" s="103" t="str">
        <x:v>Colorado DOI records request</x:v>
      </x:c>
    </x:row>
    <x:row r="7" ht="48" customHeight="1">
      <x:c r="A7" s="103" t="str">
        <x:v>Colorado</x:v>
      </x:c>
      <x:c r="B7" s="103" t="str">
        <x:v>Form schedule</x:v>
      </x:c>
      <x:c r="C7" s="103" t="str">
        <x:v>Complete form-number, edition-date, action and replacement schedule</x:v>
      </x:c>
      <x:c r="D7" s="103" t="str">
        <x:v>Not retrieved</x:v>
      </x:c>
      <x:c r="E7" s="103" t="str">
        <x:v>Candidate SERFF IDs exist but are not mapped; no official attachment ZIP was accessible through a direct public deep link.</x:v>
      </x:c>
      <x:c r="F7" s="103" t="str">
        <x:v>Required to build a complete, defensible latest-product packet rather than a marketing or legacy-form approximation.</x:v>
      </x:c>
      <x:c r="G7" s="103" t="str">
        <x:v>Colorado DOI records request</x:v>
      </x:c>
    </x:row>
    <x:row r="8" ht="48" customHeight="1">
      <x:c r="A8" s="103" t="str">
        <x:v>Colorado</x:v>
      </x:c>
      <x:c r="B8" s="103" t="str">
        <x:v>Base policy / policy jacket</x:v>
      </x:c>
      <x:c r="C8" s="103" t="str">
        <x:v>Full insuring agreement, definitions, exclusions, conditions</x:v>
      </x:c>
      <x:c r="D8" s="103" t="str">
        <x:v>Not retrieved</x:v>
      </x:c>
      <x:c r="E8" s="103" t="str">
        <x:v>Candidate SERFF IDs exist but are not mapped; no official attachment ZIP was accessible through a direct public deep link.</x:v>
      </x:c>
      <x:c r="F8" s="103" t="str">
        <x:v>Required to build a complete, defensible latest-product packet rather than a marketing or legacy-form approximation.</x:v>
      </x:c>
      <x:c r="G8" s="103" t="str">
        <x:v>Colorado DOI records request</x:v>
      </x:c>
    </x:row>
    <x:row r="9" ht="48" customHeight="1">
      <x:c r="A9" s="103" t="str">
        <x:v>Colorado</x:v>
      </x:c>
      <x:c r="B9" s="103" t="str">
        <x:v>State amendatory endorsements</x:v>
      </x:c>
      <x:c r="C9" s="103" t="str">
        <x:v>Mandatory state-specific amendments and exceptions</x:v>
      </x:c>
      <x:c r="D9" s="103" t="str">
        <x:v>Not retrieved</x:v>
      </x:c>
      <x:c r="E9" s="103" t="str">
        <x:v>Candidate SERFF IDs exist but are not mapped; no official attachment ZIP was accessible through a direct public deep link.</x:v>
      </x:c>
      <x:c r="F9" s="103" t="str">
        <x:v>Required to build a complete, defensible latest-product packet rather than a marketing or legacy-form approximation.</x:v>
      </x:c>
      <x:c r="G9" s="103" t="str">
        <x:v>Colorado DOI records request</x:v>
      </x:c>
    </x:row>
    <x:row r="10" ht="48" customHeight="1">
      <x:c r="A10" s="103" t="str">
        <x:v>Colorado</x:v>
      </x:c>
      <x:c r="B10" s="103" t="str">
        <x:v>Coverage endorsements</x:v>
      </x:c>
      <x:c r="C10" s="103" t="str">
        <x:v>Motorsports, off-road, overlander, stated value, cherished salvage, spare parts and related options</x:v>
      </x:c>
      <x:c r="D10" s="103" t="str">
        <x:v>Not retrieved</x:v>
      </x:c>
      <x:c r="E10" s="103" t="str">
        <x:v>Candidate SERFF IDs exist but are not mapped; no official attachment ZIP was accessible through a direct public deep link.</x:v>
      </x:c>
      <x:c r="F10" s="103" t="str">
        <x:v>Required to build a complete, defensible latest-product packet rather than a marketing or legacy-form approximation.</x:v>
      </x:c>
      <x:c r="G10" s="103" t="str">
        <x:v>Colorado DOI records request</x:v>
      </x:c>
    </x:row>
    <x:row r="11" ht="48" customHeight="1">
      <x:c r="A11" s="103" t="str">
        <x:v>Colorado</x:v>
      </x:c>
      <x:c r="B11" s="103" t="str">
        <x:v>Applications / quote / declarations / notices</x:v>
      </x:c>
      <x:c r="C11" s="103" t="str">
        <x:v>Customer-facing application, selection, disclosure and notice forms</x:v>
      </x:c>
      <x:c r="D11" s="103" t="str">
        <x:v>Not retrieved</x:v>
      </x:c>
      <x:c r="E11" s="103" t="str">
        <x:v>Candidate SERFF IDs exist but are not mapped; no official attachment ZIP was accessible through a direct public deep link.</x:v>
      </x:c>
      <x:c r="F11" s="103" t="str">
        <x:v>Required to build a complete, defensible latest-product packet rather than a marketing or legacy-form approximation.</x:v>
      </x:c>
      <x:c r="G11" s="103" t="str">
        <x:v>Colorado DOI records request</x:v>
      </x:c>
    </x:row>
    <x:row r="12" ht="48" customHeight="1">
      <x:c r="A12" s="103" t="str">
        <x:v>Colorado</x:v>
      </x:c>
      <x:c r="B12" s="103" t="str">
        <x:v>Rate manual</x:v>
      </x:c>
      <x:c r="C12" s="103" t="str">
        <x:v>Base rates, territories, symbols, limits, deductibles, relativities and fees</x:v>
      </x:c>
      <x:c r="D12" s="103" t="str">
        <x:v>Not retrieved</x:v>
      </x:c>
      <x:c r="E12" s="103" t="str">
        <x:v>Candidate SERFF IDs exist but are not mapped; no official attachment ZIP was accessible through a direct public deep link.</x:v>
      </x:c>
      <x:c r="F12" s="103" t="str">
        <x:v>Required to build a complete, defensible latest-product packet rather than a marketing or legacy-form approximation.</x:v>
      </x:c>
      <x:c r="G12" s="103" t="str">
        <x:v>Colorado DOI records request</x:v>
      </x:c>
    </x:row>
    <x:row r="13" ht="48" customHeight="1">
      <x:c r="A13" s="103" t="str">
        <x:v>Colorado</x:v>
      </x:c>
      <x:c r="B13" s="103" t="str">
        <x:v>Rule manual</x:v>
      </x:c>
      <x:c r="C13" s="103" t="str">
        <x:v>Eligibility, underwriting, classification, cancellations, renewals and rating rules</x:v>
      </x:c>
      <x:c r="D13" s="103" t="str">
        <x:v>Not retrieved</x:v>
      </x:c>
      <x:c r="E13" s="103" t="str">
        <x:v>Candidate SERFF IDs exist but are not mapped; no official attachment ZIP was accessible through a direct public deep link.</x:v>
      </x:c>
      <x:c r="F13" s="103" t="str">
        <x:v>Required to build a complete, defensible latest-product packet rather than a marketing or legacy-form approximation.</x:v>
      </x:c>
      <x:c r="G13" s="103" t="str">
        <x:v>Colorado DOI records request</x:v>
      </x:c>
    </x:row>
    <x:row r="14" ht="48" customHeight="1">
      <x:c r="A14" s="103" t="str">
        <x:v>Colorado</x:v>
      </x:c>
      <x:c r="B14" s="103" t="str">
        <x:v>Rating algorithms / factors / tables</x:v>
      </x:c>
      <x:c r="C14" s="103" t="str">
        <x:v>All rating steps, factors, lookups and calculation logic made public</x:v>
      </x:c>
      <x:c r="D14" s="103" t="str">
        <x:v>Not retrieved</x:v>
      </x:c>
      <x:c r="E14" s="103" t="str">
        <x:v>Candidate SERFF IDs exist but are not mapped; no official attachment ZIP was accessible through a direct public deep link.</x:v>
      </x:c>
      <x:c r="F14" s="103" t="str">
        <x:v>Required to build a complete, defensible latest-product packet rather than a marketing or legacy-form approximation.</x:v>
      </x:c>
      <x:c r="G14" s="103" t="str">
        <x:v>Colorado DOI records request</x:v>
      </x:c>
    </x:row>
    <x:row r="15" ht="48" customHeight="1">
      <x:c r="A15" s="103" t="str">
        <x:v>Colorado</x:v>
      </x:c>
      <x:c r="B15" s="103" t="str">
        <x:v>Actuarial memorandum and exhibits</x:v>
      </x:c>
      <x:c r="C15" s="103" t="str">
        <x:v>Indications, assumptions, loss costs, expenses, trend, credibility and rate impact</x:v>
      </x:c>
      <x:c r="D15" s="103" t="str">
        <x:v>Not retrieved</x:v>
      </x:c>
      <x:c r="E15" s="103" t="str">
        <x:v>Candidate SERFF IDs exist but are not mapped; no official attachment ZIP was accessible through a direct public deep link.</x:v>
      </x:c>
      <x:c r="F15" s="103" t="str">
        <x:v>Required to build a complete, defensible latest-product packet rather than a marketing or legacy-form approximation.</x:v>
      </x:c>
      <x:c r="G15" s="103" t="str">
        <x:v>Colorado DOI records request</x:v>
      </x:c>
    </x:row>
    <x:row r="16" ht="48" customHeight="1">
      <x:c r="A16" s="103" t="str">
        <x:v>Colorado</x:v>
      </x:c>
      <x:c r="B16" s="103" t="str">
        <x:v>Supporting documents</x:v>
      </x:c>
      <x:c r="C16" s="103" t="str">
        <x:v>Product narratives, comparisons, implementation documents and exhibits</x:v>
      </x:c>
      <x:c r="D16" s="103" t="str">
        <x:v>Not retrieved</x:v>
      </x:c>
      <x:c r="E16" s="103" t="str">
        <x:v>Candidate SERFF IDs exist but are not mapped; no official attachment ZIP was accessible through a direct public deep link.</x:v>
      </x:c>
      <x:c r="F16" s="103" t="str">
        <x:v>Required to build a complete, defensible latest-product packet rather than a marketing or legacy-form approximation.</x:v>
      </x:c>
      <x:c r="G16" s="103" t="str">
        <x:v>Colorado DOI records request</x:v>
      </x:c>
    </x:row>
    <x:row r="17" ht="48" customHeight="1">
      <x:c r="A17" s="103" t="str">
        <x:v>Colorado</x:v>
      </x:c>
      <x:c r="B17" s="103" t="str">
        <x:v>Objections / responses / correspondence</x:v>
      </x:c>
      <x:c r="C17" s="103" t="str">
        <x:v>Regulator questions, insurer responses and negotiated changes</x:v>
      </x:c>
      <x:c r="D17" s="103" t="str">
        <x:v>Not retrieved</x:v>
      </x:c>
      <x:c r="E17" s="103" t="str">
        <x:v>Candidate SERFF IDs exist but are not mapped; no official attachment ZIP was accessible through a direct public deep link.</x:v>
      </x:c>
      <x:c r="F17" s="103" t="str">
        <x:v>Required to build a complete, defensible latest-product packet rather than a marketing or legacy-form approximation.</x:v>
      </x:c>
      <x:c r="G17" s="103" t="str">
        <x:v>Colorado DOI records request</x:v>
      </x:c>
    </x:row>
    <x:row r="18" ht="48" customHeight="1">
      <x:c r="A18" s="103" t="str">
        <x:v>Colorado</x:v>
      </x:c>
      <x:c r="B18" s="103" t="str">
        <x:v>Disposition / approval order</x:v>
      </x:c>
      <x:c r="C18" s="103" t="str">
        <x:v>Approval, acknowledgment, disapproval, withdrawal and effective dates</x:v>
      </x:c>
      <x:c r="D18" s="103" t="str">
        <x:v>Not retrieved</x:v>
      </x:c>
      <x:c r="E18" s="103" t="str">
        <x:v>Candidate SERFF IDs exist but are not mapped; no official attachment ZIP was accessible through a direct public deep link.</x:v>
      </x:c>
      <x:c r="F18" s="103" t="str">
        <x:v>Required to build a complete, defensible latest-product packet rather than a marketing or legacy-form approximation.</x:v>
      </x:c>
      <x:c r="G18" s="103" t="str">
        <x:v>Colorado DOI records request</x:v>
      </x:c>
    </x:row>
    <x:row r="19" ht="48" customHeight="1">
      <x:c r="A19" s="103" t="str">
        <x:v>Colorado</x:v>
      </x:c>
      <x:c r="B19" s="103" t="str">
        <x:v>Amendments / supplements</x:v>
      </x:c>
      <x:c r="C19" s="103" t="str">
        <x:v>Post-submission revisions and replacement attachments</x:v>
      </x:c>
      <x:c r="D19" s="103" t="str">
        <x:v>Not retrieved</x:v>
      </x:c>
      <x:c r="E19" s="103" t="str">
        <x:v>Candidate SERFF IDs exist but are not mapped; no official attachment ZIP was accessible through a direct public deep link.</x:v>
      </x:c>
      <x:c r="F19" s="103" t="str">
        <x:v>Required to build a complete, defensible latest-product packet rather than a marketing or legacy-form approximation.</x:v>
      </x:c>
      <x:c r="G19" s="103" t="str">
        <x:v>Colorado DOI records request</x:v>
      </x:c>
    </x:row>
    <x:row r="20" ht="48" customHeight="1">
      <x:c r="A20" s="103" t="str">
        <x:v>Colorado</x:v>
      </x:c>
      <x:c r="B20" s="103" t="str">
        <x:v>Superseded / withdrawn filings</x:v>
      </x:c>
      <x:c r="C20" s="103" t="str">
        <x:v>Version history needed to identify the latest operative product</x:v>
      </x:c>
      <x:c r="D20" s="103" t="str">
        <x:v>Not retrieved</x:v>
      </x:c>
      <x:c r="E20" s="103" t="str">
        <x:v>Candidate SERFF IDs exist but are not mapped; no official attachment ZIP was accessible through a direct public deep link.</x:v>
      </x:c>
      <x:c r="F20" s="103" t="str">
        <x:v>Required to build a complete, defensible latest-product packet rather than a marketing or legacy-form approximation.</x:v>
      </x:c>
      <x:c r="G20" s="103" t="str">
        <x:v>Colorado DOI records request</x:v>
      </x:c>
    </x:row>
    <x:row r="21" ht="48" customHeight="1">
      <x:c r="A21" s="103" t="str">
        <x:v>Colorado</x:v>
      </x:c>
      <x:c r="B21" s="103" t="str">
        <x:v>Current-in-force validation</x:v>
      </x:c>
      <x:c r="C21" s="103" t="str">
        <x:v>Written confirmation of the complete operative form/rate/rule set as of the as-of date</x:v>
      </x:c>
      <x:c r="D21" s="103" t="str">
        <x:v>Not retrieved</x:v>
      </x:c>
      <x:c r="E21" s="103" t="str">
        <x:v>Candidate SERFF IDs exist but are not mapped; no official attachment ZIP was accessible through a direct public deep link.</x:v>
      </x:c>
      <x:c r="F21" s="103" t="str">
        <x:v>Required to build a complete, defensible latest-product packet rather than a marketing or legacy-form approximation.</x:v>
      </x:c>
      <x:c r="G21" s="103" t="str">
        <x:v>Colorado DOI records request</x:v>
      </x:c>
    </x:row>
    <x:row r="22" ht="48" customHeight="1">
      <x:c r="A22" s="103" t="str">
        <x:v>Wisconsin</x:v>
      </x:c>
      <x:c r="B22" s="103" t="str">
        <x:v>Filing summary / transmittal</x:v>
      </x:c>
      <x:c r="C22" s="103" t="str">
        <x:v>SERFF tracking number, filing type, product name, company, dates, status</x:v>
      </x:c>
      <x:c r="D22" s="103" t="str">
        <x:v>Not retrieved</x:v>
      </x:c>
      <x:c r="E22" s="103" t="str">
        <x:v>Candidate SERFF IDs exist but are not mapped; no official attachment ZIP was accessible through a direct public deep link.</x:v>
      </x:c>
      <x:c r="F22" s="103" t="str">
        <x:v>Required to build a complete, defensible latest-product packet rather than a marketing or legacy-form approximation.</x:v>
      </x:c>
      <x:c r="G22" s="103" t="str">
        <x:v>Wisconsin OCI records request</x:v>
      </x:c>
    </x:row>
    <x:row r="23" ht="48" customHeight="1">
      <x:c r="A23" s="103" t="str">
        <x:v>Wisconsin</x:v>
      </x:c>
      <x:c r="B23" s="103" t="str">
        <x:v>Form schedule</x:v>
      </x:c>
      <x:c r="C23" s="103" t="str">
        <x:v>Complete form-number, edition-date, action and replacement schedule</x:v>
      </x:c>
      <x:c r="D23" s="103" t="str">
        <x:v>Not retrieved</x:v>
      </x:c>
      <x:c r="E23" s="103" t="str">
        <x:v>Candidate SERFF IDs exist but are not mapped; no official attachment ZIP was accessible through a direct public deep link.</x:v>
      </x:c>
      <x:c r="F23" s="103" t="str">
        <x:v>Required to build a complete, defensible latest-product packet rather than a marketing or legacy-form approximation.</x:v>
      </x:c>
      <x:c r="G23" s="103" t="str">
        <x:v>Wisconsin OCI records request</x:v>
      </x:c>
    </x:row>
    <x:row r="24" ht="48" customHeight="1">
      <x:c r="A24" s="103" t="str">
        <x:v>Wisconsin</x:v>
      </x:c>
      <x:c r="B24" s="103" t="str">
        <x:v>Base policy / policy jacket</x:v>
      </x:c>
      <x:c r="C24" s="103" t="str">
        <x:v>Full insuring agreement, definitions, exclusions, conditions</x:v>
      </x:c>
      <x:c r="D24" s="103" t="str">
        <x:v>Not retrieved</x:v>
      </x:c>
      <x:c r="E24" s="103" t="str">
        <x:v>Candidate SERFF IDs exist but are not mapped; no official attachment ZIP was accessible through a direct public deep link.</x:v>
      </x:c>
      <x:c r="F24" s="103" t="str">
        <x:v>Required to build a complete, defensible latest-product packet rather than a marketing or legacy-form approximation.</x:v>
      </x:c>
      <x:c r="G24" s="103" t="str">
        <x:v>Wisconsin OCI records request</x:v>
      </x:c>
    </x:row>
    <x:row r="25" ht="48" customHeight="1">
      <x:c r="A25" s="103" t="str">
        <x:v>Wisconsin</x:v>
      </x:c>
      <x:c r="B25" s="103" t="str">
        <x:v>State amendatory endorsements</x:v>
      </x:c>
      <x:c r="C25" s="103" t="str">
        <x:v>Mandatory state-specific amendments and exceptions</x:v>
      </x:c>
      <x:c r="D25" s="103" t="str">
        <x:v>Not retrieved</x:v>
      </x:c>
      <x:c r="E25" s="103" t="str">
        <x:v>Candidate SERFF IDs exist but are not mapped; no official attachment ZIP was accessible through a direct public deep link.</x:v>
      </x:c>
      <x:c r="F25" s="103" t="str">
        <x:v>Required to build a complete, defensible latest-product packet rather than a marketing or legacy-form approximation.</x:v>
      </x:c>
      <x:c r="G25" s="103" t="str">
        <x:v>Wisconsin OCI records request</x:v>
      </x:c>
    </x:row>
    <x:row r="26" ht="48" customHeight="1">
      <x:c r="A26" s="103" t="str">
        <x:v>Wisconsin</x:v>
      </x:c>
      <x:c r="B26" s="103" t="str">
        <x:v>Coverage endorsements</x:v>
      </x:c>
      <x:c r="C26" s="103" t="str">
        <x:v>Motorsports, off-road, overlander, stated value, cherished salvage, spare parts and related options</x:v>
      </x:c>
      <x:c r="D26" s="103" t="str">
        <x:v>Not retrieved</x:v>
      </x:c>
      <x:c r="E26" s="103" t="str">
        <x:v>Candidate SERFF IDs exist but are not mapped; no official attachment ZIP was accessible through a direct public deep link.</x:v>
      </x:c>
      <x:c r="F26" s="103" t="str">
        <x:v>Required to build a complete, defensible latest-product packet rather than a marketing or legacy-form approximation.</x:v>
      </x:c>
      <x:c r="G26" s="103" t="str">
        <x:v>Wisconsin OCI records request</x:v>
      </x:c>
    </x:row>
    <x:row r="27" ht="48" customHeight="1">
      <x:c r="A27" s="103" t="str">
        <x:v>Wisconsin</x:v>
      </x:c>
      <x:c r="B27" s="103" t="str">
        <x:v>Applications / quote / declarations / notices</x:v>
      </x:c>
      <x:c r="C27" s="103" t="str">
        <x:v>Customer-facing application, selection, disclosure and notice forms</x:v>
      </x:c>
      <x:c r="D27" s="103" t="str">
        <x:v>Not retrieved</x:v>
      </x:c>
      <x:c r="E27" s="103" t="str">
        <x:v>Candidate SERFF IDs exist but are not mapped; no official attachment ZIP was accessible through a direct public deep link.</x:v>
      </x:c>
      <x:c r="F27" s="103" t="str">
        <x:v>Required to build a complete, defensible latest-product packet rather than a marketing or legacy-form approximation.</x:v>
      </x:c>
      <x:c r="G27" s="103" t="str">
        <x:v>Wisconsin OCI records request</x:v>
      </x:c>
    </x:row>
    <x:row r="28" ht="48" customHeight="1">
      <x:c r="A28" s="103" t="str">
        <x:v>Wisconsin</x:v>
      </x:c>
      <x:c r="B28" s="103" t="str">
        <x:v>Rate manual</x:v>
      </x:c>
      <x:c r="C28" s="103" t="str">
        <x:v>Base rates, territories, symbols, limits, deductibles, relativities and fees</x:v>
      </x:c>
      <x:c r="D28" s="103" t="str">
        <x:v>Not retrieved</x:v>
      </x:c>
      <x:c r="E28" s="103" t="str">
        <x:v>Candidate SERFF IDs exist but are not mapped; no official attachment ZIP was accessible through a direct public deep link.</x:v>
      </x:c>
      <x:c r="F28" s="103" t="str">
        <x:v>Required to build a complete, defensible latest-product packet rather than a marketing or legacy-form approximation.</x:v>
      </x:c>
      <x:c r="G28" s="103" t="str">
        <x:v>Wisconsin OCI records request</x:v>
      </x:c>
    </x:row>
    <x:row r="29" ht="48" customHeight="1">
      <x:c r="A29" s="103" t="str">
        <x:v>Wisconsin</x:v>
      </x:c>
      <x:c r="B29" s="103" t="str">
        <x:v>Rule manual</x:v>
      </x:c>
      <x:c r="C29" s="103" t="str">
        <x:v>Eligibility, underwriting, classification, cancellations, renewals and rating rules</x:v>
      </x:c>
      <x:c r="D29" s="103" t="str">
        <x:v>Not retrieved</x:v>
      </x:c>
      <x:c r="E29" s="103" t="str">
        <x:v>Candidate SERFF IDs exist but are not mapped; no official attachment ZIP was accessible through a direct public deep link.</x:v>
      </x:c>
      <x:c r="F29" s="103" t="str">
        <x:v>Required to build a complete, defensible latest-product packet rather than a marketing or legacy-form approximation.</x:v>
      </x:c>
      <x:c r="G29" s="103" t="str">
        <x:v>Wisconsin OCI records request</x:v>
      </x:c>
    </x:row>
    <x:row r="30" ht="48" customHeight="1">
      <x:c r="A30" s="103" t="str">
        <x:v>Wisconsin</x:v>
      </x:c>
      <x:c r="B30" s="103" t="str">
        <x:v>Rating algorithms / factors / tables</x:v>
      </x:c>
      <x:c r="C30" s="103" t="str">
        <x:v>All rating steps, factors, lookups and calculation logic made public</x:v>
      </x:c>
      <x:c r="D30" s="103" t="str">
        <x:v>Not retrieved</x:v>
      </x:c>
      <x:c r="E30" s="103" t="str">
        <x:v>Candidate SERFF IDs exist but are not mapped; no official attachment ZIP was accessible through a direct public deep link.</x:v>
      </x:c>
      <x:c r="F30" s="103" t="str">
        <x:v>Required to build a complete, defensible latest-product packet rather than a marketing or legacy-form approximation.</x:v>
      </x:c>
      <x:c r="G30" s="103" t="str">
        <x:v>Wisconsin OCI records request</x:v>
      </x:c>
    </x:row>
    <x:row r="31" ht="48" customHeight="1">
      <x:c r="A31" s="103" t="str">
        <x:v>Wisconsin</x:v>
      </x:c>
      <x:c r="B31" s="103" t="str">
        <x:v>Actuarial memorandum and exhibits</x:v>
      </x:c>
      <x:c r="C31" s="103" t="str">
        <x:v>Indications, assumptions, loss costs, expenses, trend, credibility and rate impact</x:v>
      </x:c>
      <x:c r="D31" s="103" t="str">
        <x:v>Not retrieved</x:v>
      </x:c>
      <x:c r="E31" s="103" t="str">
        <x:v>Candidate SERFF IDs exist but are not mapped; no official attachment ZIP was accessible through a direct public deep link.</x:v>
      </x:c>
      <x:c r="F31" s="103" t="str">
        <x:v>Required to build a complete, defensible latest-product packet rather than a marketing or legacy-form approximation.</x:v>
      </x:c>
      <x:c r="G31" s="103" t="str">
        <x:v>Wisconsin OCI records request</x:v>
      </x:c>
    </x:row>
    <x:row r="32" ht="48" customHeight="1">
      <x:c r="A32" s="103" t="str">
        <x:v>Wisconsin</x:v>
      </x:c>
      <x:c r="B32" s="103" t="str">
        <x:v>Supporting documents</x:v>
      </x:c>
      <x:c r="C32" s="103" t="str">
        <x:v>Product narratives, comparisons, implementation documents and exhibits</x:v>
      </x:c>
      <x:c r="D32" s="103" t="str">
        <x:v>Not retrieved</x:v>
      </x:c>
      <x:c r="E32" s="103" t="str">
        <x:v>Candidate SERFF IDs exist but are not mapped; no official attachment ZIP was accessible through a direct public deep link.</x:v>
      </x:c>
      <x:c r="F32" s="103" t="str">
        <x:v>Required to build a complete, defensible latest-product packet rather than a marketing or legacy-form approximation.</x:v>
      </x:c>
      <x:c r="G32" s="103" t="str">
        <x:v>Wisconsin OCI records request</x:v>
      </x:c>
    </x:row>
    <x:row r="33" ht="48" customHeight="1">
      <x:c r="A33" s="103" t="str">
        <x:v>Wisconsin</x:v>
      </x:c>
      <x:c r="B33" s="103" t="str">
        <x:v>Objections / responses / correspondence</x:v>
      </x:c>
      <x:c r="C33" s="103" t="str">
        <x:v>Regulator questions, insurer responses and negotiated changes</x:v>
      </x:c>
      <x:c r="D33" s="103" t="str">
        <x:v>Not retrieved</x:v>
      </x:c>
      <x:c r="E33" s="103" t="str">
        <x:v>Candidate SERFF IDs exist but are not mapped; no official attachment ZIP was accessible through a direct public deep link.</x:v>
      </x:c>
      <x:c r="F33" s="103" t="str">
        <x:v>Required to build a complete, defensible latest-product packet rather than a marketing or legacy-form approximation.</x:v>
      </x:c>
      <x:c r="G33" s="103" t="str">
        <x:v>Wisconsin OCI records request</x:v>
      </x:c>
    </x:row>
    <x:row r="34" ht="48" customHeight="1">
      <x:c r="A34" s="103" t="str">
        <x:v>Wisconsin</x:v>
      </x:c>
      <x:c r="B34" s="103" t="str">
        <x:v>Disposition / approval order</x:v>
      </x:c>
      <x:c r="C34" s="103" t="str">
        <x:v>Approval, acknowledgment, disapproval, withdrawal and effective dates</x:v>
      </x:c>
      <x:c r="D34" s="103" t="str">
        <x:v>Not retrieved</x:v>
      </x:c>
      <x:c r="E34" s="103" t="str">
        <x:v>Candidate SERFF IDs exist but are not mapped; no official attachment ZIP was accessible through a direct public deep link.</x:v>
      </x:c>
      <x:c r="F34" s="103" t="str">
        <x:v>Required to build a complete, defensible latest-product packet rather than a marketing or legacy-form approximation.</x:v>
      </x:c>
      <x:c r="G34" s="103" t="str">
        <x:v>Wisconsin OCI records request</x:v>
      </x:c>
    </x:row>
    <x:row r="35" ht="48" customHeight="1">
      <x:c r="A35" s="103" t="str">
        <x:v>Wisconsin</x:v>
      </x:c>
      <x:c r="B35" s="103" t="str">
        <x:v>Amendments / supplements</x:v>
      </x:c>
      <x:c r="C35" s="103" t="str">
        <x:v>Post-submission revisions and replacement attachments</x:v>
      </x:c>
      <x:c r="D35" s="103" t="str">
        <x:v>Not retrieved</x:v>
      </x:c>
      <x:c r="E35" s="103" t="str">
        <x:v>Candidate SERFF IDs exist but are not mapped; no official attachment ZIP was accessible through a direct public deep link.</x:v>
      </x:c>
      <x:c r="F35" s="103" t="str">
        <x:v>Required to build a complete, defensible latest-product packet rather than a marketing or legacy-form approximation.</x:v>
      </x:c>
      <x:c r="G35" s="103" t="str">
        <x:v>Wisconsin OCI records request</x:v>
      </x:c>
    </x:row>
    <x:row r="36" ht="48" customHeight="1">
      <x:c r="A36" s="103" t="str">
        <x:v>Wisconsin</x:v>
      </x:c>
      <x:c r="B36" s="103" t="str">
        <x:v>Superseded / withdrawn filings</x:v>
      </x:c>
      <x:c r="C36" s="103" t="str">
        <x:v>Version history needed to identify the latest operative product</x:v>
      </x:c>
      <x:c r="D36" s="103" t="str">
        <x:v>Not retrieved</x:v>
      </x:c>
      <x:c r="E36" s="103" t="str">
        <x:v>Candidate SERFF IDs exist but are not mapped; no official attachment ZIP was accessible through a direct public deep link.</x:v>
      </x:c>
      <x:c r="F36" s="103" t="str">
        <x:v>Required to build a complete, defensible latest-product packet rather than a marketing or legacy-form approximation.</x:v>
      </x:c>
      <x:c r="G36" s="103" t="str">
        <x:v>Wisconsin OCI records request</x:v>
      </x:c>
    </x:row>
    <x:row r="37" ht="48" customHeight="1">
      <x:c r="A37" s="103" t="str">
        <x:v>Wisconsin</x:v>
      </x:c>
      <x:c r="B37" s="103" t="str">
        <x:v>Current-in-force validation</x:v>
      </x:c>
      <x:c r="C37" s="103" t="str">
        <x:v>Written confirmation of the complete operative form/rate/rule set as of the as-of date</x:v>
      </x:c>
      <x:c r="D37" s="103" t="str">
        <x:v>Not retrieved</x:v>
      </x:c>
      <x:c r="E37" s="103" t="str">
        <x:v>Candidate SERFF IDs exist but are not mapped; no official attachment ZIP was accessible through a direct public deep link.</x:v>
      </x:c>
      <x:c r="F37" s="103" t="str">
        <x:v>Required to build a complete, defensible latest-product packet rather than a marketing or legacy-form approximation.</x:v>
      </x:c>
      <x:c r="G37" s="103" t="str">
        <x:v>Wisconsin OCI records request</x:v>
      </x:c>
    </x:row>
  </x:sheetData>
  <x:mergeCells>
    <x:mergeCell ref="A1:G2"/>
    <x:mergeCell ref="A3:G3"/>
  </x:mergeCells>
  <x:conditionalFormatting sqref="D6:D37">
    <x:cfRule type="expression" dxfId="10" priority="1">
      <x:formula>D6="Not retrieved"</x:formula>
    </x:cfRule>
  </x:conditionalFormatting>
  <x:dataValidations count="1">
    <x:dataValidation type="list" sqref="D6:D37">
      <x:formula1>"Not retrieved,Partially retrieved,Retrieved,Not public / confidential"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bc6e07f77040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4" hidden="0" customWidth="1"/>
    <x:col min="4" max="4" width="58" hidden="0" customWidth="1"/>
    <x:col min="5" max="5" width="30" hidden="0" customWidth="1"/>
    <x:col min="6" max="6" width="30" hidden="0" customWidth="1"/>
    <x:col min="7" max="7" width="62" hidden="0" customWidth="1"/>
  </x:cols>
  <x:sheetData>
    <x:row r="1">
      <x:c r="A1" s="5" t="str">
        <x:v>Hagerty E-Docs Crosscheck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12" t="str">
        <x:v>Inspected public forms were labeled Essentia or represented mixed programs; they were not assigned to Drivers Edge Enthusiast+.</x:v>
      </x:c>
      <x:c r="B3" s="12"/>
      <x:c r="C3" s="12"/>
      <x:c r="D3" s="12"/>
      <x:c r="E3" s="12"/>
      <x:c r="F3" s="12"/>
      <x:c r="G3" s="12"/>
    </x:row>
    <x:row r="5">
      <x:c r="A5" s="26" t="str">
        <x:v>State / Scope</x:v>
      </x:c>
      <x:c r="B5" s="26" t="str">
        <x:v>Form Number</x:v>
      </x:c>
      <x:c r="C5" s="26" t="str">
        <x:v>Form Title</x:v>
      </x:c>
      <x:c r="D5" s="26" t="str">
        <x:v>Public URL</x:v>
      </x:c>
      <x:c r="E5" s="26" t="str">
        <x:v>Carrier Observed</x:v>
      </x:c>
      <x:c r="F5" s="26" t="str">
        <x:v>Classification</x:v>
      </x:c>
      <x:c r="G5" s="26" t="str">
        <x:v>Rationale</x:v>
      </x:c>
    </x:row>
    <x:row r="6" ht="48" customHeight="1">
      <x:c r="A6" s="103" t="str">
        <x:v>Colorado</x:v>
      </x:c>
      <x:c r="B6" s="103" t="str">
        <x:v>AC 001 CO 09 25</x:v>
      </x:c>
      <x:c r="C6" s="103" t="str">
        <x:v>Colorado State Endorsement</x:v>
      </x:c>
      <x:c r="D6" s="103" t="str">
        <x:v>https://www.hagerty.com/EDocs/Download?id=5142504</x:v>
      </x:c>
      <x:c r="E6" s="103" t="str">
        <x:v>Essentia Insurance Company</x:v>
      </x:c>
      <x:c r="F6" s="103" t="str">
        <x:v>Exclude from Enthusiast+ packet</x:v>
      </x:c>
      <x:c r="G6" s="103" t="str">
        <x:v>Public form is labeled Essentia, not Drivers Edge.</x:v>
      </x:c>
    </x:row>
    <x:row r="7" ht="48" customHeight="1">
      <x:c r="A7" s="103" t="str">
        <x:v>Colorado</x:v>
      </x:c>
      <x:c r="B7" s="103" t="str">
        <x:v>AC 002 CO 02 26</x:v>
      </x:c>
      <x:c r="C7" s="103" t="str">
        <x:v>Part C - Colorado</x:v>
      </x:c>
      <x:c r="D7" s="103" t="str">
        <x:v>https://www.hagerty.com/EDocs/Download?id=5142904</x:v>
      </x:c>
      <x:c r="E7" s="103" t="str">
        <x:v>Essentia Insurance Company</x:v>
      </x:c>
      <x:c r="F7" s="103" t="str">
        <x:v>Exclude from Enthusiast+ packet</x:v>
      </x:c>
      <x:c r="G7" s="103" t="str">
        <x:v>Public form is labeled Essentia, not Drivers Edge.</x:v>
      </x:c>
    </x:row>
    <x:row r="8" ht="48" customHeight="1">
      <x:c r="A8" s="103" t="str">
        <x:v>Multi-state; Colorado listed</x:v>
      </x:c>
      <x:c r="B8" s="103" t="str">
        <x:v>AC 115 11 22</x:v>
      </x:c>
      <x:c r="C8" s="103" t="str">
        <x:v>Motorsports Advantage</x:v>
      </x:c>
      <x:c r="D8" s="103" t="str">
        <x:v>https://www.hagerty.com/EDocs/Download?id=5141546</x:v>
      </x:c>
      <x:c r="E8" s="103" t="str">
        <x:v>Essentia Insurance Company</x:v>
      </x:c>
      <x:c r="F8" s="103" t="str">
        <x:v>Feature-name lead only</x:v>
      </x:c>
      <x:c r="G8" s="103" t="str">
        <x:v>The feature name overlaps public reporting, but the form is an Essentia form and cannot be assigned to Drivers Edge Enthusiast+.</x:v>
      </x:c>
    </x:row>
    <x:row r="9" ht="48" customHeight="1">
      <x:c r="A9" s="103" t="str">
        <x:v>Multi-state; Colorado listed</x:v>
      </x:c>
      <x:c r="B9" s="103" t="str">
        <x:v>AC 127 01 24</x:v>
      </x:c>
      <x:c r="C9" s="103" t="str">
        <x:v>Motorsports, Autocross and HPDE</x:v>
      </x:c>
      <x:c r="D9" s="103" t="str">
        <x:v>https://www.hagerty.com/EDocs/Download?id=5141977</x:v>
      </x:c>
      <x:c r="E9" s="103" t="str">
        <x:v>Essentia Insurance Company</x:v>
      </x:c>
      <x:c r="F9" s="103" t="str">
        <x:v>Feature-name lead only</x:v>
      </x:c>
      <x:c r="G9" s="103" t="str">
        <x:v>The public form is an Essentia endorsement, not verified as part of the Drivers Edge product.</x:v>
      </x:c>
    </x:row>
    <x:row r="10" ht="48" customHeight="1">
      <x:c r="A10" s="103" t="str">
        <x:v>Colorado and Wisconsin indexes</x:v>
      </x:c>
      <x:c r="B10" s="103" t="str"/>
      <x:c r="C10" s="103" t="str">
        <x:v>Hagerty E-Docs state indexes</x:v>
      </x:c>
      <x:c r="D10" s="103" t="str">
        <x:v>https://www.hagerty.com/edocs</x:v>
      </x:c>
      <x:c r="E10" s="103" t="str">
        <x:v>Mixed carriers / programs</x:v>
      </x:c>
      <x:c r="F10" s="103" t="str">
        <x:v>Index crosscheck only</x:v>
      </x:c>
      <x:c r="G10" s="103" t="str">
        <x:v>No Drivers Edge label or unambiguous Enthusiast+ form set was found in the inspected public index entries.</x:v>
      </x:c>
    </x:row>
  </x:sheetData>
  <x:mergeCells>
    <x:mergeCell ref="A1:G2"/>
    <x:mergeCell ref="A3:G3"/>
  </x:mergeCells>
  <x:conditionalFormatting sqref="F6:F10">
    <x:cfRule type="expression" dxfId="11" priority="1">
      <x:formula>F6="Exclude from Enthusiast+ packet"</x:formula>
    </x:cfRule>
    <x:cfRule type="expression" dxfId="12" priority="2">
      <x:formula>F6="Feature-name lead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8cd13eed2147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5" hidden="0" customWidth="1"/>
    <x:col min="4" max="4" width="16" hidden="0" customWidth="1"/>
    <x:col min="5" max="5" width="16" hidden="0" customWidth="1"/>
    <x:col min="6" max="6" width="30" hidden="0" customWidth="1"/>
    <x:col min="7" max="7" width="64" hidden="0" customWidth="1"/>
    <x:col min="8" max="8" width="66" hidden="0" customWidth="1"/>
    <x:col min="9" max="9" width="48" hidden="0" customWidth="1"/>
  </x:cols>
  <x:sheetData>
    <x:row r="1">
      <x:c r="A1" s="5" t="str">
        <x:v>Source &amp; Evidence Manifest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12" t="str">
        <x:v>Plain-text URLs are included for auditability. Official sources are preferred; third-party evidence is explicitly labeled.</x:v>
      </x:c>
      <x:c r="B3" s="12"/>
      <x:c r="C3" s="12"/>
      <x:c r="D3" s="12"/>
      <x:c r="E3" s="12"/>
      <x:c r="F3" s="12"/>
      <x:c r="G3" s="12"/>
      <x:c r="H3" s="12"/>
      <x:c r="I3" s="12"/>
    </x:row>
    <x:row r="5">
      <x:c r="A5" s="26" t="str">
        <x:v>Source ID</x:v>
      </x:c>
      <x:c r="B5" s="26" t="str">
        <x:v>Organization</x:v>
      </x:c>
      <x:c r="C5" s="26" t="str">
        <x:v>Title</x:v>
      </x:c>
      <x:c r="D5" s="26" t="str">
        <x:v>Source / Event Date</x:v>
      </x:c>
      <x:c r="E5" s="26" t="str">
        <x:v>Accessed Date</x:v>
      </x:c>
      <x:c r="F5" s="26" t="str">
        <x:v>Source Type</x:v>
      </x:c>
      <x:c r="G5" s="26" t="str">
        <x:v>Key Fact / Use</x:v>
      </x:c>
      <x:c r="H5" s="26" t="str">
        <x:v>URL</x:v>
      </x:c>
      <x:c r="I5" s="26" t="str">
        <x:v>Confidence / Notes</x:v>
      </x:c>
    </x:row>
    <x:row r="6" ht="48" customHeight="1">
      <x:c r="A6" s="103" t="str">
        <x:v>S01</x:v>
      </x:c>
      <x:c r="B6" s="103" t="str">
        <x:v>Hagerty, Inc.</x:v>
      </x:c>
      <x:c r="C6" s="103" t="str">
        <x:v>2025 Annual Report / Form 10-K</x:v>
      </x:c>
      <x:c r="D6" s="156" t="n">
        <x:v>46079</x:v>
      </x:c>
      <x:c r="E6" s="156" t="n">
        <x:v>46218</x:v>
      </x:c>
      <x:c r="F6" s="103" t="str">
        <x:v>Official corporate filing</x:v>
      </x:c>
      <x:c r="G6" s="103" t="str">
        <x:v>CNIC was renamed Drivers Edge; Enthusiast+ launched in Colorado in Q3 2025; phased nationwide rollout planned over four years.</x:v>
      </x:c>
      <x:c r="H6" s="103" t="str">
        <x:v>https://s28.q4cdn.com/107308082/files/doc_financials/2025/ar/4b3894e9-e517-492e-a004-ab01967e5a6d.pdf</x:v>
      </x:c>
      <x:c r="I6" s="103" t="str">
        <x:v>High; issuer-filed statement.</x:v>
      </x:c>
    </x:row>
    <x:row r="7" ht="48" customHeight="1">
      <x:c r="A7" s="103" t="str">
        <x:v>S02</x:v>
      </x:c>
      <x:c r="B7" s="103" t="str">
        <x:v>U.S. Securities and Exchange Commission</x:v>
      </x:c>
      <x:c r="C7" s="103" t="str">
        <x:v>Hagerty 2025 Form 10-K filing index</x:v>
      </x:c>
      <x:c r="D7" s="156" t="n">
        <x:v>46079</x:v>
      </x:c>
      <x:c r="E7" s="156" t="n">
        <x:v>46218</x:v>
      </x:c>
      <x:c r="F7" s="103" t="str">
        <x:v>Official regulator filing index</x:v>
      </x:c>
      <x:c r="G7" s="103" t="str">
        <x:v>Authenticates filing date and accession for the 2025 Form 10-K.</x:v>
      </x:c>
      <x:c r="H7" s="103" t="str">
        <x:v>https://www.sec.gov/Archives/edgar/data/1840776/000184077626000013/0001840776-26-000013-index.htm</x:v>
      </x:c>
      <x:c r="I7" s="103" t="str">
        <x:v>High.</x:v>
      </x:c>
    </x:row>
    <x:row r="8" ht="48" customHeight="1">
      <x:c r="A8" s="103" t="str">
        <x:v>S03</x:v>
      </x:c>
      <x:c r="B8" s="103" t="str">
        <x:v>Hagerty, Inc.</x:v>
      </x:c>
      <x:c r="C8" s="103" t="str">
        <x:v>First Quarter 2026 Earnings Webcast</x:v>
      </x:c>
      <x:c r="D8" s="156" t="n">
        <x:v>46148</x:v>
      </x:c>
      <x:c r="E8" s="156" t="n">
        <x:v>46218</x:v>
      </x:c>
      <x:c r="F8" s="103" t="str">
        <x:v>Official issuer event page</x:v>
      </x:c>
      <x:c r="G8" s="103" t="str">
        <x:v>Confirms the date and existence of the Q1 2026 earnings call.</x:v>
      </x:c>
      <x:c r="H8" s="103" t="str">
        <x:v>https://investor.hagerty.com/events-and-presentations/</x:v>
      </x:c>
      <x:c r="I8" s="103" t="str">
        <x:v>High; event metadata.</x:v>
      </x:c>
    </x:row>
    <x:row r="9" ht="48" customHeight="1">
      <x:c r="A9" s="103" t="str">
        <x:v>S04</x:v>
      </x:c>
      <x:c r="B9" s="103" t="str">
        <x:v>Roic AI</x:v>
      </x:c>
      <x:c r="C9" s="103" t="str">
        <x:v>Hagerty Q1 FY2026 Earnings Call Transcript</x:v>
      </x:c>
      <x:c r="D9" s="156" t="n">
        <x:v>46148</x:v>
      </x:c>
      <x:c r="E9" s="156" t="n">
        <x:v>46218</x:v>
      </x:c>
      <x:c r="F9" s="103" t="str">
        <x:v>Third-party transcript of issuer call</x:v>
      </x:c>
      <x:c r="G9" s="103" t="str">
        <x:v>CFO stated E-Plus was in one state, Colorado, and was being rolled out over time.</x:v>
      </x:c>
      <x:c r="H9" s="103" t="str">
        <x:v>https://www.roic.ai/quote/HGTY/transcripts/2026-year/1-quarter</x:v>
      </x:c>
      <x:c r="I9" s="103" t="str">
        <x:v>Medium-high; transcript is third party, event is independently confirmed.</x:v>
      </x:c>
    </x:row>
    <x:row r="10" ht="48" customHeight="1">
      <x:c r="A10" s="103" t="str">
        <x:v>S05</x:v>
      </x:c>
      <x:c r="B10" s="103" t="str">
        <x:v>U.S. Securities and Exchange Commission</x:v>
      </x:c>
      <x:c r="C10" s="103" t="str">
        <x:v>Hagerty May 6, 2026 Form 8-K</x:v>
      </x:c>
      <x:c r="D10" s="156" t="n">
        <x:v>46148</x:v>
      </x:c>
      <x:c r="E10" s="156" t="n">
        <x:v>46218</x:v>
      </x:c>
      <x:c r="F10" s="103" t="str">
        <x:v>Official corporate filing</x:v>
      </x:c>
      <x:c r="G10" s="103" t="str">
        <x:v>Confirms the Q1 2026 results announcement and conference call date.</x:v>
      </x:c>
      <x:c r="H10" s="103" t="str">
        <x:v>https://www.sec.gov/Archives/edgar/data/1840776/000184077626000019/hgty-20260506.htm</x:v>
      </x:c>
      <x:c r="I10" s="103" t="str">
        <x:v>High.</x:v>
      </x:c>
    </x:row>
    <x:row r="11" ht="48" customHeight="1">
      <x:c r="A11" s="103" t="str">
        <x:v>S06</x:v>
      </x:c>
      <x:c r="B11" s="103" t="str">
        <x:v>Coverager</x:v>
      </x:c>
      <x:c r="C11" s="103" t="str">
        <x:v>Hagerty expands Drivers Edge Enthusiast+ program to Wisconsin</x:v>
      </x:c>
      <x:c r="D11" s="156" t="n">
        <x:v>45910</x:v>
      </x:c>
      <x:c r="E11" s="156" t="n">
        <x:v>46218</x:v>
      </x:c>
      <x:c r="F11" s="103" t="str">
        <x:v>Trade publication</x:v>
      </x:c>
      <x:c r="G11" s="103" t="str">
        <x:v>Reported Wisconsin as the second state launch and listed product features/endorsement names.</x:v>
      </x:c>
      <x:c r="H11" s="103" t="str">
        <x:v>https://coverager.com/hagerty-expands-drivers-edge-enthusiast-program-to-wisconsin/</x:v>
      </x:c>
      <x:c r="I11" s="103" t="str">
        <x:v>Medium; later issuer statement conflicts with current-state count.</x:v>
      </x:c>
    </x:row>
    <x:row r="12" ht="48" customHeight="1">
      <x:c r="A12" s="103" t="str">
        <x:v>S07</x:v>
      </x:c>
      <x:c r="B12" s="103" t="str">
        <x:v>U.S. Securities and Exchange Commission</x:v>
      </x:c>
      <x:c r="C12" s="103" t="str">
        <x:v>Hagerty Q1 2026 Form 10-Q</x:v>
      </x:c>
      <x:c r="D12" s="156" t="n">
        <x:v>46148</x:v>
      </x:c>
      <x:c r="E12" s="156" t="n">
        <x:v>46218</x:v>
      </x:c>
      <x:c r="F12" s="103" t="str">
        <x:v>Official corporate filing</x:v>
      </x:c>
      <x:c r="G12" s="103" t="str">
        <x:v>Drivers Edge held certificates of authority in 42 states as of 2026-03-31; licensing is not product approval or launch evidence.</x:v>
      </x:c>
      <x:c r="H12" s="103" t="str">
        <x:v>https://www.sec.gov/Archives/edgar/data/1840776/000184077626000021/hgty-20260331.htm</x:v>
      </x:c>
      <x:c r="I12" s="103" t="str">
        <x:v>High.</x:v>
      </x:c>
    </x:row>
    <x:row r="13" ht="48" customHeight="1">
      <x:c r="A13" s="103" t="str">
        <x:v>S08</x:v>
      </x:c>
      <x:c r="B13" s="103" t="str">
        <x:v>SERFF / NAIC</x:v>
      </x:c>
      <x:c r="C13" s="103" t="str">
        <x:v>SERFF Filing Access</x:v>
      </x:c>
      <x:c r="D13" s="156"/>
      <x:c r="E13" s="156" t="n">
        <x:v>46218</x:v>
      </x:c>
      <x:c r="F13" s="103" t="str">
        <x:v>Official filing-access information</x:v>
      </x:c>
      <x:c r="G13" s="103" t="str">
        <x:v>Explains that state-designated public filings may be searched and downloaded through participating SFA portals.</x:v>
      </x:c>
      <x:c r="H13" s="103" t="str">
        <x:v>https://www.serff.com/serff_filing_access.htm</x:v>
      </x:c>
      <x:c r="I13" s="103" t="str">
        <x:v>High.</x:v>
      </x:c>
    </x:row>
    <x:row r="14" ht="48" customHeight="1">
      <x:c r="A14" s="103" t="str">
        <x:v>S09</x:v>
      </x:c>
      <x:c r="B14" s="103" t="str">
        <x:v>Colorado Department of Regulatory Agencies</x:v>
      </x:c>
      <x:c r="C14" s="103" t="str">
        <x:v>DORA Public Information and Records</x:v>
      </x:c>
      <x:c r="D14" s="156"/>
      <x:c r="E14" s="156" t="n">
        <x:v>46218</x:v>
      </x:c>
      <x:c r="F14" s="103" t="str">
        <x:v>Official state records guidance</x:v>
      </x:c>
      <x:c r="G14" s="103" t="str">
        <x:v>Lists the Division of Insurance records contact: DORA_INS_RulesandRecords@state.co.us.</x:v>
      </x:c>
      <x:c r="H14" s="103" t="str">
        <x:v>https://dora.colorado.gov/public-information</x:v>
      </x:c>
      <x:c r="I14" s="103" t="str">
        <x:v>High.</x:v>
      </x:c>
    </x:row>
    <x:row r="15" ht="48" customHeight="1">
      <x:c r="A15" s="103" t="str">
        <x:v>S10</x:v>
      </x:c>
      <x:c r="B15" s="103" t="str">
        <x:v>Colorado Division of Insurance</x:v>
      </x:c>
      <x:c r="C15" s="103" t="str">
        <x:v>Colorado SERFF Filing Access entry page</x:v>
      </x:c>
      <x:c r="D15" s="156"/>
      <x:c r="E15" s="156" t="n">
        <x:v>46218</x:v>
      </x:c>
      <x:c r="F15" s="103" t="str">
        <x:v>Official state filing portal</x:v>
      </x:c>
      <x:c r="G15" s="103" t="str">
        <x:v>State entry point for public filing searches; direct deep-link extraction was session-restricted in this research environment.</x:v>
      </x:c>
      <x:c r="H15" s="103" t="str">
        <x:v>https://filingaccess.serff.com/sfa/home/CO</x:v>
      </x:c>
      <x:c r="I15" s="103" t="str">
        <x:v>High for portal; no attachment export retrieved.</x:v>
      </x:c>
    </x:row>
    <x:row r="16" ht="48" customHeight="1">
      <x:c r="A16" s="103" t="str">
        <x:v>S11</x:v>
      </x:c>
      <x:c r="B16" s="103" t="str">
        <x:v>Colorado Division of Insurance</x:v>
      </x:c>
      <x:c r="C16" s="103" t="str">
        <x:v>Current Rate Filing Database</x:v>
      </x:c>
      <x:c r="D16" s="156"/>
      <x:c r="E16" s="156" t="n">
        <x:v>46218</x:v>
      </x:c>
      <x:c r="F16" s="103" t="str">
        <x:v>Official state rate database</x:v>
      </x:c>
      <x:c r="G16" s="103" t="str">
        <x:v>Supplementary state rate-search route.</x:v>
      </x:c>
      <x:c r="H16" s="103" t="str">
        <x:v>https://www.dora.state.co.us/pls/real/ins_raf_report.main</x:v>
      </x:c>
      <x:c r="I16" s="103" t="str">
        <x:v>High.</x:v>
      </x:c>
    </x:row>
    <x:row r="17" ht="48" customHeight="1">
      <x:c r="A17" s="103" t="str">
        <x:v>S12</x:v>
      </x:c>
      <x:c r="B17" s="103" t="str">
        <x:v>Wisconsin Office of the Commissioner of Insurance</x:v>
      </x:c>
      <x:c r="C17" s="103" t="str">
        <x:v>Policy Forms and Rate Filings - Search</x:v>
      </x:c>
      <x:c r="D17" s="156" t="n">
        <x:v>46209</x:v>
      </x:c>
      <x:c r="E17" s="156" t="n">
        <x:v>46218</x:v>
      </x:c>
      <x:c r="F17" s="103" t="str">
        <x:v>Official state filing guidance</x:v>
      </x:c>
      <x:c r="G17" s="103" t="str">
        <x:v>States that post-2015 electronic filings are available through SERFF Filing Access subject to Wisconsin public-access law.</x:v>
      </x:c>
      <x:c r="H17" s="103" t="str">
        <x:v>https://oci.wi.gov/Pages/Companies/PolicyFormsRateFilingSearch.aspx</x:v>
      </x:c>
      <x:c r="I17" s="103" t="str">
        <x:v>High.</x:v>
      </x:c>
    </x:row>
    <x:row r="18" ht="48" customHeight="1">
      <x:c r="A18" s="103" t="str">
        <x:v>S13</x:v>
      </x:c>
      <x:c r="B18" s="103" t="str">
        <x:v>Wisconsin Office of the Commissioner of Insurance</x:v>
      </x:c>
      <x:c r="C18" s="103" t="str">
        <x:v>Access to Public Records</x:v>
      </x:c>
      <x:c r="D18" s="156" t="n">
        <x:v>46045</x:v>
      </x:c>
      <x:c r="E18" s="156" t="n">
        <x:v>46218</x:v>
      </x:c>
      <x:c r="F18" s="103" t="str">
        <x:v>Official state records guidance</x:v>
      </x:c>
      <x:c r="G18" s="103" t="str">
        <x:v>Provides the public-records email, phone, expected response windows, and fee guidance.</x:v>
      </x:c>
      <x:c r="H18" s="103" t="str">
        <x:v>https://oci.wi.gov/Pages/AboutOCI/OpenRecords.aspx</x:v>
      </x:c>
      <x:c r="I18" s="103" t="str">
        <x:v>High.</x:v>
      </x:c>
    </x:row>
    <x:row r="19" ht="48" customHeight="1">
      <x:c r="A19" s="103" t="str">
        <x:v>S14</x:v>
      </x:c>
      <x:c r="B19" s="103" t="str">
        <x:v>Nebraska Department of Insurance</x:v>
      </x:c>
      <x:c r="C19" s="103" t="str">
        <x:v>Summary of Insurance Business - Drivers Edge Insurance Company</x:v>
      </x:c>
      <x:c r="D19" s="156" t="n">
        <x:v>45657</x:v>
      </x:c>
      <x:c r="E19" s="156" t="n">
        <x:v>46218</x:v>
      </x:c>
      <x:c r="F19" s="103" t="str">
        <x:v>Official state company record</x:v>
      </x:c>
      <x:c r="G19" s="103" t="str">
        <x:v>Confirms Drivers Edge Insurance Company and NAIC ID 23795.</x:v>
      </x:c>
      <x:c r="H19" s="103" t="str">
        <x:v>https://www.nebraska.gov/insurance/appointments/search/summary.cgi?naic=23795&amp;rYear=2024&amp;type=prop</x:v>
      </x:c>
      <x:c r="I19" s="103" t="str">
        <x:v>High.</x:v>
      </x:c>
    </x:row>
    <x:row r="20" ht="48" customHeight="1">
      <x:c r="A20" s="103" t="str">
        <x:v>S15</x:v>
      </x:c>
      <x:c r="B20" s="103" t="str">
        <x:v>Nebraska Department of Insurance</x:v>
      </x:c>
      <x:c r="C20" s="103" t="str">
        <x:v>Former-name company summary</x:v>
      </x:c>
      <x:c r="D20" s="156" t="n">
        <x:v>45291</x:v>
      </x:c>
      <x:c r="E20" s="156" t="n">
        <x:v>46218</x:v>
      </x:c>
      <x:c r="F20" s="103" t="str">
        <x:v>Official state company record</x:v>
      </x:c>
      <x:c r="G20" s="103" t="str">
        <x:v>Confirms the same NAIC ID under the former name Consolidated National Insurance Company.</x:v>
      </x:c>
      <x:c r="H20" s="103" t="str">
        <x:v>https://www.nebraska.gov/insurance/appointments/search/summary.cgi?naic=23795&amp;rYear=2023&amp;type=prop</x:v>
      </x:c>
      <x:c r="I20" s="103" t="str">
        <x:v>High.</x:v>
      </x:c>
    </x:row>
    <x:row r="21" ht="48" customHeight="1">
      <x:c r="A21" s="103" t="str">
        <x:v>S16</x:v>
      </x:c>
      <x:c r="B21" s="103" t="str">
        <x:v>Hagerty</x:v>
      </x:c>
      <x:c r="C21" s="103" t="str">
        <x:v>Hagerty E-Docs</x:v>
      </x:c>
      <x:c r="D21" s="156"/>
      <x:c r="E21" s="156" t="n">
        <x:v>46218</x:v>
      </x:c>
      <x:c r="F21" s="103" t="str">
        <x:v>Official public forms index</x:v>
      </x:c>
      <x:c r="G21" s="103" t="str">
        <x:v>Crosscheck only. Inspected current-looking forms were labeled Essentia, not Drivers Edge, and were excluded from the Enthusiast+ filing set.</x:v>
      </x:c>
      <x:c r="H21" s="103" t="str">
        <x:v>https://www.hagerty.com/edocs</x:v>
      </x:c>
      <x:c r="I21" s="103" t="str">
        <x:v>High for observed carrier labels; not evidence of Drivers Edge filing contents.</x:v>
      </x:c>
    </x:row>
    <x:row r="22" ht="48" customHeight="1">
      <x:c r="A22" s="103" t="str">
        <x:v>S17</x:v>
      </x:c>
      <x:c r="B22" s="103" t="str">
        <x:v>Hagerty / SCCA-hosted document</x:v>
      </x:c>
      <x:c r="C22" s="103" t="str">
        <x:v>Motorsports Advantage marketing one-pager</x:v>
      </x:c>
      <x:c r="D22" s="156"/>
      <x:c r="E22" s="156" t="n">
        <x:v>46218</x:v>
      </x:c>
      <x:c r="F22" s="103" t="str">
        <x:v>Marketing reference; non-filing</x:v>
      </x:c>
      <x:c r="G22" s="103" t="str">
        <x:v>Feature reference only; not an official Drivers Edge rate, rule, form, or filing attachment.</x:v>
      </x:c>
      <x:c r="H22" s="103" t="str">
        <x:v>https://cdn.connectsites.net/user_files/scca/downloads/000/079/109/23-5766-US-MSP-MotorsportsAdvantageEndorsment-OnePager-8.5x11%20%281%29.pdf</x:v>
      </x:c>
      <x:c r="I22" s="103" t="str">
        <x:v>Reference only.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fba1293f847d4612"/>
  </x:tableParts>
</x:worksheet>
</file>